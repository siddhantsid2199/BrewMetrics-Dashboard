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siddh\Downloads\"/>
    </mc:Choice>
  </mc:AlternateContent>
  <xr:revisionPtr revIDLastSave="0" documentId="13_ncr:1_{C1DDE2C8-B45E-4C4B-95F7-9D7DAB3F66C9}" xr6:coauthVersionLast="47" xr6:coauthVersionMax="47" xr10:uidLastSave="{00000000-0000-0000-0000-000000000000}"/>
  <bookViews>
    <workbookView xWindow="-110" yWindow="-110" windowWidth="19420" windowHeight="11500" tabRatio="1000" xr2:uid="{00000000-000D-0000-FFFF-FFFF00000000}"/>
  </bookViews>
  <sheets>
    <sheet name="Dashboard In class" sheetId="15" r:id="rId1"/>
    <sheet name="Coffee_Sales_Dataset" sheetId="2" r:id="rId2"/>
    <sheet name="Pivot_Busyhours" sheetId="5" r:id="rId3"/>
    <sheet name="Pivot_5star_rating" sheetId="9" r:id="rId4"/>
    <sheet name="Pivot_Customertype vs Sales" sheetId="10" r:id="rId5"/>
    <sheet name="Pivot_Sales Channels" sheetId="11" r:id="rId6"/>
    <sheet name="Pivot_Map" sheetId="12" r:id="rId7"/>
    <sheet name="Pivot_Rating" sheetId="13" r:id="rId8"/>
    <sheet name="Dashboard" sheetId="14" r:id="rId9"/>
  </sheets>
  <definedNames>
    <definedName name="_xlchart.v5.0" hidden="1">Pivot_Map!$D$3</definedName>
    <definedName name="_xlchart.v5.1" hidden="1">Pivot_Map!$D$4:$D$8</definedName>
    <definedName name="_xlchart.v5.10" hidden="1">Pivot_Map!$E$3</definedName>
    <definedName name="_xlchart.v5.11" hidden="1">Pivot_Map!$E$4:$E$8</definedName>
    <definedName name="_xlchart.v5.2" hidden="1">Pivot_Map!$E$3</definedName>
    <definedName name="_xlchart.v5.3" hidden="1">Pivot_Map!$E$4:$E$8</definedName>
    <definedName name="_xlchart.v5.4" hidden="1">Pivot_Map!$D$3</definedName>
    <definedName name="_xlchart.v5.5" hidden="1">Pivot_Map!$D$4:$D$8</definedName>
    <definedName name="_xlchart.v5.6" hidden="1">Pivot_Map!$E$3</definedName>
    <definedName name="_xlchart.v5.7" hidden="1">Pivot_Map!$E$4:$E$8</definedName>
    <definedName name="_xlchart.v5.8" hidden="1">Pivot_Map!$D$3</definedName>
    <definedName name="_xlchart.v5.9" hidden="1">Pivot_Map!$D$4:$D$8</definedName>
    <definedName name="ExternalData_1" localSheetId="1" hidden="1">'Coffee_Sales_Dataset'!$A$1:$N$1001</definedName>
    <definedName name="Slicer_Coffee_Type">#N/A</definedName>
    <definedName name="Slicer_Payment_Method">#N/A</definedName>
    <definedName name="Slicer_St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3" l="1"/>
  <c r="E6" i="13"/>
  <c r="E5" i="13"/>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N32" i="15"/>
  <c r="K33"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8A8E3B-0AA5-4EAC-9387-8BEB48FBAE57}" keepAlive="1" name="Query - Coffee_Sales_Dataset" description="Connection to the 'Coffee_Sales_Dataset' query in the workbook." type="5" refreshedVersion="8" background="1" saveData="1">
    <dbPr connection="Provider=Microsoft.Mashup.OleDb.1;Data Source=$Workbook$;Location=Coffee_Sales_Dataset;Extended Properties=&quot;&quot;" command="SELECT * FROM [Coffee_Sales_Dataset]"/>
  </connection>
</connections>
</file>

<file path=xl/sharedStrings.xml><?xml version="1.0" encoding="utf-8"?>
<sst xmlns="http://schemas.openxmlformats.org/spreadsheetml/2006/main" count="8139" uniqueCount="71">
  <si>
    <t>Date</t>
  </si>
  <si>
    <t>State</t>
  </si>
  <si>
    <t>Coffee Type</t>
  </si>
  <si>
    <t>Sales Channel</t>
  </si>
  <si>
    <t>Price per Unit (USD)</t>
  </si>
  <si>
    <t>Payment Method</t>
  </si>
  <si>
    <t>Promotion Applied</t>
  </si>
  <si>
    <t>Barista Name</t>
  </si>
  <si>
    <t>Customer Type</t>
  </si>
  <si>
    <t>Wait Time (Minutes)</t>
  </si>
  <si>
    <t>Special Request</t>
  </si>
  <si>
    <t>Order Rating</t>
  </si>
  <si>
    <t>New York</t>
  </si>
  <si>
    <t>Iced Latte</t>
  </si>
  <si>
    <t>In-Store</t>
  </si>
  <si>
    <t>Cash</t>
  </si>
  <si>
    <t>No</t>
  </si>
  <si>
    <t>Maria</t>
  </si>
  <si>
    <t>Tourist</t>
  </si>
  <si>
    <t>Oat Milk</t>
  </si>
  <si>
    <t>Texas</t>
  </si>
  <si>
    <t>Caramel Macchiato</t>
  </si>
  <si>
    <t>Online</t>
  </si>
  <si>
    <t>Yes</t>
  </si>
  <si>
    <t>Chris</t>
  </si>
  <si>
    <t>Decaf</t>
  </si>
  <si>
    <t>California</t>
  </si>
  <si>
    <t>Mocha</t>
  </si>
  <si>
    <t>Mobile Pay</t>
  </si>
  <si>
    <t>Alex</t>
  </si>
  <si>
    <t>Credit Card</t>
  </si>
  <si>
    <t>Taylor</t>
  </si>
  <si>
    <t>New</t>
  </si>
  <si>
    <t>Whipped Cream</t>
  </si>
  <si>
    <t>Flat White</t>
  </si>
  <si>
    <t>Mobile App</t>
  </si>
  <si>
    <t>Extra Shot</t>
  </si>
  <si>
    <t>Double Espresso</t>
  </si>
  <si>
    <t>Cappuccino</t>
  </si>
  <si>
    <t>Almond Milk</t>
  </si>
  <si>
    <t>Regular</t>
  </si>
  <si>
    <t>Illinois</t>
  </si>
  <si>
    <t>Jamie</t>
  </si>
  <si>
    <t>Florida</t>
  </si>
  <si>
    <t>Americano</t>
  </si>
  <si>
    <t>Jordan</t>
  </si>
  <si>
    <t>Espresso</t>
  </si>
  <si>
    <t>No Sugar</t>
  </si>
  <si>
    <t>Workday</t>
  </si>
  <si>
    <t>Hour</t>
  </si>
  <si>
    <t>Row Labels</t>
  </si>
  <si>
    <t>Grand Total</t>
  </si>
  <si>
    <t>Sun</t>
  </si>
  <si>
    <t>Mon</t>
  </si>
  <si>
    <t>Tue</t>
  </si>
  <si>
    <t>Wed</t>
  </si>
  <si>
    <t>Thu</t>
  </si>
  <si>
    <t>Fri</t>
  </si>
  <si>
    <t>Sat</t>
  </si>
  <si>
    <t>Hours/Day</t>
  </si>
  <si>
    <t>Count of Order Rating</t>
  </si>
  <si>
    <t>Sales USD</t>
  </si>
  <si>
    <t>*Filtered on 5 star order rating</t>
  </si>
  <si>
    <t>Count of Price per Unit (USD)</t>
  </si>
  <si>
    <t>Average of Order Rating</t>
  </si>
  <si>
    <t>Rating</t>
  </si>
  <si>
    <t>Satisfied</t>
  </si>
  <si>
    <t>Not satisfied</t>
  </si>
  <si>
    <t>Helper</t>
  </si>
  <si>
    <t>%</t>
  </si>
  <si>
    <t>Average of Price per Unit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</si>
</sst>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
    <numFmt numFmtId="165" formatCode="#,##0.0"/>
  </numFmts>
  <fonts count="5" x14ac:knownFonts="1">
    <font>
      <sz val="11"/>
      <color theme="1"/>
      <name val="Calibri"/>
      <family val="2"/>
      <scheme val="minor"/>
    </font>
    <font>
      <sz val="11"/>
      <color theme="4"/>
      <name val="Calibri"/>
      <family val="2"/>
      <scheme val="minor"/>
    </font>
    <font>
      <sz val="11"/>
      <color theme="7" tint="-0.249977111117893"/>
      <name val="Calibri"/>
      <family val="2"/>
      <scheme val="minor"/>
    </font>
    <font>
      <b/>
      <sz val="11"/>
      <color theme="1"/>
      <name val="Calibri"/>
      <family val="2"/>
      <scheme val="minor"/>
    </font>
    <font>
      <b/>
      <sz val="11"/>
      <color theme="4"/>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7">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164" fontId="0" fillId="0" borderId="0" xfId="0" applyNumberFormat="1"/>
    <xf numFmtId="0" fontId="1" fillId="0" borderId="0" xfId="0" applyFont="1"/>
    <xf numFmtId="0" fontId="2" fillId="0" borderId="0" xfId="0" applyFont="1"/>
    <xf numFmtId="0" fontId="2" fillId="0" borderId="0" xfId="0" pivotButton="1" applyFont="1"/>
    <xf numFmtId="165" fontId="0" fillId="0" borderId="0" xfId="0" applyNumberFormat="1"/>
    <xf numFmtId="10" fontId="0" fillId="0" borderId="0" xfId="0" applyNumberFormat="1"/>
    <xf numFmtId="0" fontId="0" fillId="0" borderId="0" xfId="0" applyAlignment="1">
      <alignment horizontal="center" vertical="top"/>
    </xf>
    <xf numFmtId="0" fontId="3" fillId="2" borderId="1" xfId="0" applyFont="1" applyFill="1" applyBorder="1"/>
    <xf numFmtId="0" fontId="4" fillId="2" borderId="1" xfId="0" applyFont="1" applyFill="1" applyBorder="1"/>
    <xf numFmtId="2" fontId="0" fillId="0" borderId="0" xfId="0" applyNumberFormat="1"/>
    <xf numFmtId="0" fontId="0" fillId="3" borderId="0" xfId="0" applyFill="1"/>
  </cellXfs>
  <cellStyles count="1">
    <cellStyle name="Normal" xfId="0" builtinId="0"/>
  </cellStyles>
  <dxfs count="21">
    <dxf>
      <numFmt numFmtId="2" formatCode="0.00"/>
    </dxf>
    <dxf>
      <numFmt numFmtId="165" formatCode="#,##0.0"/>
    </dxf>
    <dxf>
      <numFmt numFmtId="165" formatCode="#,##0.0"/>
    </dxf>
    <dxf>
      <font>
        <color theme="7" tint="-0.249977111117893"/>
      </font>
    </dxf>
    <dxf>
      <font>
        <color theme="4"/>
      </font>
    </dxf>
    <dxf>
      <numFmt numFmtId="164" formatCode=";;"/>
    </dxf>
    <dxf>
      <font>
        <color theme="7" tint="-0.249977111117893"/>
      </font>
    </dxf>
    <dxf>
      <font>
        <color theme="4"/>
      </font>
    </dxf>
    <dxf>
      <numFmt numFmtId="164"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19" formatCode="dd/mm/yyyy"/>
    </dxf>
    <dxf>
      <fill>
        <patternFill>
          <bgColor rgb="FF7D3CDC"/>
        </patternFill>
      </fill>
    </dxf>
  </dxfs>
  <tableStyles count="1" defaultTableStyle="TableStyleMedium2" defaultPivotStyle="PivotStyleLight16">
    <tableStyle name="Slicer Style 1" pivot="0" table="0" count="1" xr9:uid="{B0982263-DEED-49C0-86DA-A4658BBB035F}">
      <tableStyleElement type="wholeTable" dxfId="20"/>
    </tableStyle>
  </tableStyles>
  <colors>
    <mruColors>
      <color rgb="FF7D3CDC"/>
      <color rgb="FF446FD9"/>
      <color rgb="FFEAEAE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[Coffee_Insight_Dashboard_Siddhant Singh (1).xlsx]Pivot_Customertype vs Sales!PivotTable7</c:name>
    <c:fmtId val="11"/>
  </c:pivotSource>
  <c:chart>
    <c:autoTitleDeleted val="1"/>
    <c:pivotFmts>
      <c:pivotFmt>
        <c:idx val="0"/>
        <c:spPr>
          <a:gradFill flip="none" rotWithShape="1">
            <a:gsLst>
              <a:gs pos="0">
                <a:schemeClr val="tx1"/>
              </a:gs>
              <a:gs pos="74000">
                <a:schemeClr val="accent1">
                  <a:lumMod val="45000"/>
                  <a:lumOff val="55000"/>
                </a:schemeClr>
              </a:gs>
              <a:gs pos="83000">
                <a:schemeClr val="accent1">
                  <a:lumMod val="45000"/>
                  <a:lumOff val="55000"/>
                </a:schemeClr>
              </a:gs>
              <a:gs pos="3000">
                <a:srgbClr val="7D3CDC"/>
              </a:gs>
            </a:gsLst>
            <a:lin ang="270000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tx1"/>
              </a:gs>
              <a:gs pos="74000">
                <a:schemeClr val="accent1">
                  <a:lumMod val="45000"/>
                  <a:lumOff val="55000"/>
                </a:schemeClr>
              </a:gs>
              <a:gs pos="83000">
                <a:schemeClr val="accent1">
                  <a:lumMod val="45000"/>
                  <a:lumOff val="55000"/>
                </a:schemeClr>
              </a:gs>
              <a:gs pos="3000">
                <a:srgbClr val="7D3CDC"/>
              </a:gs>
            </a:gsLst>
            <a:lin ang="270000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tx1"/>
              </a:gs>
              <a:gs pos="74000">
                <a:schemeClr val="accent1">
                  <a:lumMod val="45000"/>
                  <a:lumOff val="55000"/>
                </a:schemeClr>
              </a:gs>
              <a:gs pos="83000">
                <a:schemeClr val="accent1">
                  <a:lumMod val="45000"/>
                  <a:lumOff val="55000"/>
                </a:schemeClr>
              </a:gs>
              <a:gs pos="3000">
                <a:srgbClr val="7D3CDC"/>
              </a:gs>
            </a:gsLst>
            <a:lin ang="270000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tx1"/>
              </a:gs>
              <a:gs pos="74000">
                <a:schemeClr val="accent1">
                  <a:lumMod val="45000"/>
                  <a:lumOff val="55000"/>
                </a:schemeClr>
              </a:gs>
              <a:gs pos="83000">
                <a:schemeClr val="accent1">
                  <a:lumMod val="45000"/>
                  <a:lumOff val="55000"/>
                </a:schemeClr>
              </a:gs>
              <a:gs pos="3000">
                <a:srgbClr val="7D3CDC"/>
              </a:gs>
            </a:gsLst>
            <a:lin ang="270000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tx1"/>
              </a:gs>
              <a:gs pos="74000">
                <a:schemeClr val="accent1">
                  <a:lumMod val="45000"/>
                  <a:lumOff val="55000"/>
                </a:schemeClr>
              </a:gs>
              <a:gs pos="83000">
                <a:schemeClr val="accent1">
                  <a:lumMod val="45000"/>
                  <a:lumOff val="55000"/>
                </a:schemeClr>
              </a:gs>
              <a:gs pos="3000">
                <a:srgbClr val="7D3CDC"/>
              </a:gs>
            </a:gsLst>
            <a:lin ang="270000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43795485199356"/>
          <c:y val="0"/>
          <c:w val="0.80953784445785004"/>
          <c:h val="0.81879452310661682"/>
        </c:manualLayout>
      </c:layout>
      <c:barChart>
        <c:barDir val="bar"/>
        <c:grouping val="clustered"/>
        <c:varyColors val="0"/>
        <c:ser>
          <c:idx val="0"/>
          <c:order val="0"/>
          <c:tx>
            <c:strRef>
              <c:f>'Pivot_Customertype vs Sales'!$B$3</c:f>
              <c:strCache>
                <c:ptCount val="1"/>
                <c:pt idx="0">
                  <c:v>Total</c:v>
                </c:pt>
              </c:strCache>
            </c:strRef>
          </c:tx>
          <c:spPr>
            <a:gradFill flip="none" rotWithShape="1">
              <a:gsLst>
                <a:gs pos="0">
                  <a:schemeClr val="tx1"/>
                </a:gs>
                <a:gs pos="74000">
                  <a:schemeClr val="accent1">
                    <a:lumMod val="45000"/>
                    <a:lumOff val="55000"/>
                  </a:schemeClr>
                </a:gs>
                <a:gs pos="83000">
                  <a:schemeClr val="accent1">
                    <a:lumMod val="45000"/>
                    <a:lumOff val="55000"/>
                  </a:schemeClr>
                </a:gs>
                <a:gs pos="3000">
                  <a:srgbClr val="7D3CDC"/>
                </a:gs>
              </a:gsLst>
              <a:lin ang="2700000" scaled="1"/>
              <a:tileRect/>
            </a:gra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'Pivot_Customertype vs Sales'!$A$4:$A$7</c:f>
              <c:strCache>
                <c:ptCount val="3"/>
                <c:pt idx="0">
                  <c:v>Regular</c:v>
                </c:pt>
                <c:pt idx="1">
                  <c:v>New</c:v>
                </c:pt>
                <c:pt idx="2">
                  <c:v>Tourist</c:v>
                </c:pt>
              </c:strCache>
            </c:strRef>
          </c:cat>
          <c:val>
            <c:numRef>
              <c:f>'Pivot_Customertype vs Sales'!$B$4:$B$7</c:f>
              <c:numCache>
                <c:formatCode>#,##0.0</c:formatCode>
                <c:ptCount val="3"/>
                <c:pt idx="0">
                  <c:v>1559.0100000000009</c:v>
                </c:pt>
                <c:pt idx="1">
                  <c:v>1614.6199999999994</c:v>
                </c:pt>
                <c:pt idx="2">
                  <c:v>1807.9199999999994</c:v>
                </c:pt>
              </c:numCache>
            </c:numRef>
          </c:val>
          <c:extLst>
            <c:ext xmlns:c16="http://schemas.microsoft.com/office/drawing/2014/chart" uri="{C3380CC4-5D6E-409C-BE32-E72D297353CC}">
              <c16:uniqueId val="{00000000-7C28-4ECE-985D-F23FE2EC87E0}"/>
            </c:ext>
          </c:extLst>
        </c:ser>
        <c:dLbls>
          <c:dLblPos val="outEnd"/>
          <c:showLegendKey val="0"/>
          <c:showVal val="1"/>
          <c:showCatName val="0"/>
          <c:showSerName val="0"/>
          <c:showPercent val="0"/>
          <c:showBubbleSize val="0"/>
        </c:dLbls>
        <c:gapWidth val="182"/>
        <c:axId val="1720796303"/>
        <c:axId val="1720796783"/>
      </c:barChart>
      <c:catAx>
        <c:axId val="17207963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20796783"/>
        <c:crosses val="autoZero"/>
        <c:auto val="1"/>
        <c:lblAlgn val="ctr"/>
        <c:lblOffset val="100"/>
        <c:noMultiLvlLbl val="0"/>
      </c:catAx>
      <c:valAx>
        <c:axId val="1720796783"/>
        <c:scaling>
          <c:orientation val="minMax"/>
        </c:scaling>
        <c:delete val="1"/>
        <c:axPos val="b"/>
        <c:majorGridlines>
          <c:spPr>
            <a:ln w="9525" cap="flat" cmpd="sng" algn="ctr">
              <a:noFill/>
              <a:round/>
            </a:ln>
            <a:effectLst/>
          </c:spPr>
        </c:majorGridlines>
        <c:numFmt formatCode="#,##0.0" sourceLinked="1"/>
        <c:majorTickMark val="none"/>
        <c:minorTickMark val="none"/>
        <c:tickLblPos val="nextTo"/>
        <c:crossAx val="1720796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[Coffee_Insight_Dashboard_Siddhant Singh (1).xlsx]Pivot_Sales Channels!PivotTable7</c:name>
    <c:fmtId val="18"/>
  </c:pivotSource>
  <c:chart>
    <c:autoTitleDeleted val="1"/>
    <c:pivotFmts>
      <c:pivotFmt>
        <c:idx val="0"/>
        <c:spPr>
          <a:gradFill flip="none" rotWithShape="1">
            <a:gsLst>
              <a:gs pos="0">
                <a:schemeClr val="tx1"/>
              </a:gs>
              <a:gs pos="74000">
                <a:schemeClr val="accent1">
                  <a:lumMod val="45000"/>
                  <a:lumOff val="55000"/>
                </a:schemeClr>
              </a:gs>
              <a:gs pos="83000">
                <a:schemeClr val="accent1">
                  <a:lumMod val="45000"/>
                  <a:lumOff val="55000"/>
                </a:schemeClr>
              </a:gs>
              <a:gs pos="3000">
                <a:srgbClr val="7D3CDC"/>
              </a:gs>
            </a:gsLst>
            <a:lin ang="270000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tx1"/>
              </a:gs>
              <a:gs pos="74000">
                <a:schemeClr val="accent1">
                  <a:lumMod val="45000"/>
                  <a:lumOff val="55000"/>
                </a:schemeClr>
              </a:gs>
              <a:gs pos="83000">
                <a:schemeClr val="accent1">
                  <a:lumMod val="45000"/>
                  <a:lumOff val="55000"/>
                </a:schemeClr>
              </a:gs>
              <a:gs pos="3000">
                <a:srgbClr val="7D3CDC"/>
              </a:gs>
            </a:gsLst>
            <a:lin ang="270000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D3CDC">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D3CDC"/>
          </a:solidFill>
          <a:ln>
            <a:noFill/>
          </a:ln>
          <a:effectLst/>
        </c:spPr>
      </c:pivotFmt>
      <c:pivotFmt>
        <c:idx val="4"/>
        <c:spPr>
          <a:solidFill>
            <a:srgbClr val="7D3CDC">
              <a:alpha val="20000"/>
            </a:srgbClr>
          </a:solidFill>
          <a:ln>
            <a:noFill/>
          </a:ln>
          <a:effectLst/>
        </c:spPr>
      </c:pivotFmt>
      <c:pivotFmt>
        <c:idx val="5"/>
        <c:spPr>
          <a:solidFill>
            <a:srgbClr val="7D3CDC">
              <a:alpha val="50000"/>
            </a:srgbClr>
          </a:solidFill>
          <a:ln>
            <a:noFill/>
          </a:ln>
          <a:effectLst/>
        </c:spPr>
      </c:pivotFmt>
      <c:pivotFmt>
        <c:idx val="6"/>
        <c:spPr>
          <a:solidFill>
            <a:srgbClr val="7D3CDC">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D3CDC">
              <a:alpha val="20000"/>
            </a:srgbClr>
          </a:solidFill>
          <a:ln>
            <a:noFill/>
          </a:ln>
          <a:effectLst/>
        </c:spPr>
      </c:pivotFmt>
      <c:pivotFmt>
        <c:idx val="8"/>
        <c:spPr>
          <a:solidFill>
            <a:srgbClr val="7D3CDC"/>
          </a:solidFill>
          <a:ln>
            <a:noFill/>
          </a:ln>
          <a:effectLst/>
        </c:spPr>
      </c:pivotFmt>
      <c:pivotFmt>
        <c:idx val="9"/>
        <c:spPr>
          <a:solidFill>
            <a:srgbClr val="7D3CDC">
              <a:alpha val="50000"/>
            </a:srgbClr>
          </a:solidFill>
          <a:ln>
            <a:noFill/>
          </a:ln>
          <a:effectLst/>
        </c:spPr>
      </c:pivotFmt>
      <c:pivotFmt>
        <c:idx val="10"/>
        <c:spPr>
          <a:solidFill>
            <a:srgbClr val="7D3CDC">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D3CDC">
              <a:alpha val="20000"/>
            </a:srgbClr>
          </a:solidFill>
          <a:ln>
            <a:noFill/>
          </a:ln>
          <a:effectLst/>
        </c:spPr>
      </c:pivotFmt>
      <c:pivotFmt>
        <c:idx val="12"/>
        <c:spPr>
          <a:solidFill>
            <a:srgbClr val="7D3CDC"/>
          </a:solidFill>
          <a:ln>
            <a:noFill/>
          </a:ln>
          <a:effectLst/>
        </c:spPr>
      </c:pivotFmt>
      <c:pivotFmt>
        <c:idx val="13"/>
        <c:spPr>
          <a:solidFill>
            <a:srgbClr val="7D3CDC">
              <a:alpha val="50000"/>
            </a:srgbClr>
          </a:solidFill>
          <a:ln>
            <a:noFill/>
          </a:ln>
          <a:effectLst/>
        </c:spPr>
      </c:pivotFmt>
      <c:pivotFmt>
        <c:idx val="14"/>
        <c:spPr>
          <a:solidFill>
            <a:srgbClr val="7D3CDC">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D3CDC">
              <a:alpha val="20000"/>
            </a:srgbClr>
          </a:solidFill>
          <a:ln>
            <a:noFill/>
          </a:ln>
          <a:effectLst/>
        </c:spPr>
      </c:pivotFmt>
      <c:pivotFmt>
        <c:idx val="16"/>
        <c:spPr>
          <a:solidFill>
            <a:srgbClr val="7D3CDC"/>
          </a:solidFill>
          <a:ln>
            <a:noFill/>
          </a:ln>
          <a:effectLst/>
        </c:spPr>
      </c:pivotFmt>
      <c:pivotFmt>
        <c:idx val="17"/>
        <c:spPr>
          <a:solidFill>
            <a:srgbClr val="7D3CDC">
              <a:alpha val="50000"/>
            </a:srgbClr>
          </a:solidFill>
          <a:ln>
            <a:noFill/>
          </a:ln>
          <a:effectLst/>
        </c:spPr>
      </c:pivotFmt>
      <c:pivotFmt>
        <c:idx val="18"/>
        <c:spPr>
          <a:solidFill>
            <a:srgbClr val="7D3CDC">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rgbClr val="7D3CDC">
              <a:alpha val="20000"/>
            </a:srgbClr>
          </a:solidFill>
          <a:ln>
            <a:noFill/>
          </a:ln>
          <a:effectLst/>
        </c:spPr>
      </c:pivotFmt>
      <c:pivotFmt>
        <c:idx val="20"/>
        <c:spPr>
          <a:solidFill>
            <a:srgbClr val="7D3CDC"/>
          </a:solidFill>
          <a:ln>
            <a:noFill/>
          </a:ln>
          <a:effectLst/>
        </c:spPr>
      </c:pivotFmt>
      <c:pivotFmt>
        <c:idx val="21"/>
        <c:spPr>
          <a:solidFill>
            <a:srgbClr val="7D3CDC">
              <a:alpha val="50000"/>
            </a:srgbClr>
          </a:solidFill>
          <a:ln>
            <a:noFill/>
          </a:ln>
          <a:effectLst/>
        </c:spPr>
      </c:pivotFmt>
    </c:pivotFmts>
    <c:plotArea>
      <c:layout/>
      <c:doughnutChart>
        <c:varyColors val="1"/>
        <c:ser>
          <c:idx val="0"/>
          <c:order val="0"/>
          <c:tx>
            <c:strRef>
              <c:f>'Pivot_Sales Channels'!$B$3</c:f>
              <c:strCache>
                <c:ptCount val="1"/>
                <c:pt idx="0">
                  <c:v>Total</c:v>
                </c:pt>
              </c:strCache>
            </c:strRef>
          </c:tx>
          <c:spPr>
            <a:solidFill>
              <a:srgbClr val="7D3CDC">
                <a:alpha val="50000"/>
              </a:srgbClr>
            </a:solidFill>
          </c:spPr>
          <c:dPt>
            <c:idx val="0"/>
            <c:bubble3D val="0"/>
            <c:spPr>
              <a:solidFill>
                <a:srgbClr val="7D3CDC">
                  <a:alpha val="20000"/>
                </a:srgbClr>
              </a:solidFill>
              <a:ln>
                <a:noFill/>
              </a:ln>
              <a:effectLst/>
            </c:spPr>
            <c:extLst>
              <c:ext xmlns:c16="http://schemas.microsoft.com/office/drawing/2014/chart" uri="{C3380CC4-5D6E-409C-BE32-E72D297353CC}">
                <c16:uniqueId val="{00000001-430D-4DBD-B719-75AFCCF66778}"/>
              </c:ext>
            </c:extLst>
          </c:dPt>
          <c:dPt>
            <c:idx val="1"/>
            <c:bubble3D val="0"/>
            <c:spPr>
              <a:solidFill>
                <a:srgbClr val="7D3CDC"/>
              </a:solidFill>
              <a:ln>
                <a:noFill/>
              </a:ln>
              <a:effectLst/>
            </c:spPr>
            <c:extLst>
              <c:ext xmlns:c16="http://schemas.microsoft.com/office/drawing/2014/chart" uri="{C3380CC4-5D6E-409C-BE32-E72D297353CC}">
                <c16:uniqueId val="{00000003-430D-4DBD-B719-75AFCCF66778}"/>
              </c:ext>
            </c:extLst>
          </c:dPt>
          <c:dPt>
            <c:idx val="2"/>
            <c:bubble3D val="0"/>
            <c:spPr>
              <a:solidFill>
                <a:srgbClr val="7D3CDC">
                  <a:alpha val="50000"/>
                </a:srgbClr>
              </a:solidFill>
              <a:ln>
                <a:noFill/>
              </a:ln>
              <a:effectLst/>
            </c:spPr>
            <c:extLst>
              <c:ext xmlns:c16="http://schemas.microsoft.com/office/drawing/2014/chart" uri="{C3380CC4-5D6E-409C-BE32-E72D297353CC}">
                <c16:uniqueId val="{00000005-430D-4DBD-B719-75AFCCF667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'Pivot_Sales Channels'!$A$4:$A$7</c:f>
              <c:strCache>
                <c:ptCount val="3"/>
                <c:pt idx="0">
                  <c:v>In-Store</c:v>
                </c:pt>
                <c:pt idx="1">
                  <c:v>Mobile App</c:v>
                </c:pt>
                <c:pt idx="2">
                  <c:v>Online</c:v>
                </c:pt>
              </c:strCache>
            </c:strRef>
          </c:cat>
          <c:val>
            <c:numRef>
              <c:f>'Pivot_Sales Channels'!$B$4:$B$7</c:f>
              <c:numCache>
                <c:formatCode>0.00%</c:formatCode>
                <c:ptCount val="3"/>
                <c:pt idx="0">
                  <c:v>0.35799999999999998</c:v>
                </c:pt>
                <c:pt idx="1">
                  <c:v>0.317</c:v>
                </c:pt>
                <c:pt idx="2">
                  <c:v>0.32500000000000001</c:v>
                </c:pt>
              </c:numCache>
            </c:numRef>
          </c:val>
          <c:extLst>
            <c:ext xmlns:c16="http://schemas.microsoft.com/office/drawing/2014/chart" uri="{C3380CC4-5D6E-409C-BE32-E72D297353CC}">
              <c16:uniqueId val="{00000006-430D-4DBD-B719-75AFCCF6677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c:spPr>
          <c:dPt>
            <c:idx val="0"/>
            <c:bubble3D val="0"/>
            <c:spPr>
              <a:solidFill>
                <a:srgbClr val="7030A0"/>
              </a:solidFill>
              <a:ln w="19050">
                <a:solidFill>
                  <a:schemeClr val="lt1"/>
                </a:solidFill>
              </a:ln>
              <a:effectLst/>
            </c:spPr>
            <c:extLst>
              <c:ext xmlns:c16="http://schemas.microsoft.com/office/drawing/2014/chart" uri="{C3380CC4-5D6E-409C-BE32-E72D297353CC}">
                <c16:uniqueId val="{00000001-CEA6-4AE3-8F63-913260474C4E}"/>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CEA6-4AE3-8F63-913260474C4E}"/>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CEA6-4AE3-8F63-913260474C4E}"/>
              </c:ext>
            </c:extLst>
          </c:dPt>
          <c:val>
            <c:numRef>
              <c:f>Pivot_Rating!$E$5:$E$7</c:f>
              <c:numCache>
                <c:formatCode>General</c:formatCode>
                <c:ptCount val="3"/>
                <c:pt idx="0">
                  <c:v>61.46</c:v>
                </c:pt>
                <c:pt idx="1">
                  <c:v>38.6</c:v>
                </c:pt>
                <c:pt idx="2">
                  <c:v>100</c:v>
                </c:pt>
              </c:numCache>
            </c:numRef>
          </c:val>
          <c:extLst>
            <c:ext xmlns:c16="http://schemas.microsoft.com/office/drawing/2014/chart" uri="{C3380CC4-5D6E-409C-BE32-E72D297353CC}">
              <c16:uniqueId val="{00000006-CEA6-4AE3-8F63-913260474C4E}"/>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[Coffee_Insight_Dashboard_Siddhant Singh (1).xlsx]Pivot_Customertype vs Sales!PivotTable7</c:name>
    <c:fmtId val="3"/>
  </c:pivotSource>
  <c:chart>
    <c:autoTitleDeleted val="1"/>
    <c:pivotFmts>
      <c:pivotFmt>
        <c:idx val="0"/>
        <c:spPr>
          <a:gradFill flip="none" rotWithShape="1">
            <a:gsLst>
              <a:gs pos="0">
                <a:schemeClr val="tx1"/>
              </a:gs>
              <a:gs pos="74000">
                <a:schemeClr val="accent1">
                  <a:lumMod val="45000"/>
                  <a:lumOff val="55000"/>
                </a:schemeClr>
              </a:gs>
              <a:gs pos="83000">
                <a:schemeClr val="accent1">
                  <a:lumMod val="45000"/>
                  <a:lumOff val="55000"/>
                </a:schemeClr>
              </a:gs>
              <a:gs pos="3000">
                <a:srgbClr val="7D3CDC"/>
              </a:gs>
            </a:gsLst>
            <a:lin ang="270000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'Pivot_Customertype vs Sales'!$B$3</c:f>
              <c:strCache>
                <c:ptCount val="1"/>
                <c:pt idx="0">
                  <c:v>Total</c:v>
                </c:pt>
              </c:strCache>
            </c:strRef>
          </c:tx>
          <c:spPr>
            <a:gradFill flip="none" rotWithShape="1">
              <a:gsLst>
                <a:gs pos="0">
                  <a:schemeClr val="tx1"/>
                </a:gs>
                <a:gs pos="74000">
                  <a:schemeClr val="accent1">
                    <a:lumMod val="45000"/>
                    <a:lumOff val="55000"/>
                  </a:schemeClr>
                </a:gs>
                <a:gs pos="83000">
                  <a:schemeClr val="accent1">
                    <a:lumMod val="45000"/>
                    <a:lumOff val="55000"/>
                  </a:schemeClr>
                </a:gs>
                <a:gs pos="3000">
                  <a:srgbClr val="7D3CDC"/>
                </a:gs>
              </a:gsLst>
              <a:lin ang="2700000" scaled="1"/>
              <a:tileRect/>
            </a:gra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'Pivot_Customertype vs Sales'!$A$4:$A$7</c:f>
              <c:strCache>
                <c:ptCount val="3"/>
                <c:pt idx="0">
                  <c:v>Regular</c:v>
                </c:pt>
                <c:pt idx="1">
                  <c:v>New</c:v>
                </c:pt>
                <c:pt idx="2">
                  <c:v>Tourist</c:v>
                </c:pt>
              </c:strCache>
            </c:strRef>
          </c:cat>
          <c:val>
            <c:numRef>
              <c:f>'Pivot_Customertype vs Sales'!$B$4:$B$7</c:f>
              <c:numCache>
                <c:formatCode>#,##0.0</c:formatCode>
                <c:ptCount val="3"/>
                <c:pt idx="0">
                  <c:v>1559.0100000000009</c:v>
                </c:pt>
                <c:pt idx="1">
                  <c:v>1614.6199999999994</c:v>
                </c:pt>
                <c:pt idx="2">
                  <c:v>1807.9199999999994</c:v>
                </c:pt>
              </c:numCache>
            </c:numRef>
          </c:val>
          <c:extLst>
            <c:ext xmlns:c16="http://schemas.microsoft.com/office/drawing/2014/chart" uri="{C3380CC4-5D6E-409C-BE32-E72D297353CC}">
              <c16:uniqueId val="{00000000-C7DD-402C-AEE2-B4A57DFFA651}"/>
            </c:ext>
          </c:extLst>
        </c:ser>
        <c:dLbls>
          <c:dLblPos val="outEnd"/>
          <c:showLegendKey val="0"/>
          <c:showVal val="1"/>
          <c:showCatName val="0"/>
          <c:showSerName val="0"/>
          <c:showPercent val="0"/>
          <c:showBubbleSize val="0"/>
        </c:dLbls>
        <c:gapWidth val="182"/>
        <c:axId val="1720796303"/>
        <c:axId val="1720796783"/>
      </c:barChart>
      <c:catAx>
        <c:axId val="17207963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20796783"/>
        <c:crosses val="autoZero"/>
        <c:auto val="1"/>
        <c:lblAlgn val="ctr"/>
        <c:lblOffset val="100"/>
        <c:noMultiLvlLbl val="0"/>
      </c:catAx>
      <c:valAx>
        <c:axId val="1720796783"/>
        <c:scaling>
          <c:orientation val="minMax"/>
        </c:scaling>
        <c:delete val="1"/>
        <c:axPos val="b"/>
        <c:majorGridlines>
          <c:spPr>
            <a:ln w="9525" cap="flat" cmpd="sng" algn="ctr">
              <a:noFill/>
              <a:round/>
            </a:ln>
            <a:effectLst/>
          </c:spPr>
        </c:majorGridlines>
        <c:numFmt formatCode="#,##0.0" sourceLinked="1"/>
        <c:majorTickMark val="none"/>
        <c:minorTickMark val="none"/>
        <c:tickLblPos val="nextTo"/>
        <c:crossAx val="1720796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[Coffee_Insight_Dashboard_Siddhant Singh (1).xlsx]Pivot_Sales Channels!PivotTable7</c:name>
    <c:fmtId val="6"/>
  </c:pivotSource>
  <c:chart>
    <c:autoTitleDeleted val="1"/>
    <c:pivotFmts>
      <c:pivotFmt>
        <c:idx val="0"/>
        <c:spPr>
          <a:gradFill flip="none" rotWithShape="1">
            <a:gsLst>
              <a:gs pos="0">
                <a:schemeClr val="tx1"/>
              </a:gs>
              <a:gs pos="74000">
                <a:schemeClr val="accent1">
                  <a:lumMod val="45000"/>
                  <a:lumOff val="55000"/>
                </a:schemeClr>
              </a:gs>
              <a:gs pos="83000">
                <a:schemeClr val="accent1">
                  <a:lumMod val="45000"/>
                  <a:lumOff val="55000"/>
                </a:schemeClr>
              </a:gs>
              <a:gs pos="3000">
                <a:srgbClr val="7D3CDC"/>
              </a:gs>
            </a:gsLst>
            <a:lin ang="270000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tx1"/>
              </a:gs>
              <a:gs pos="74000">
                <a:schemeClr val="accent1">
                  <a:lumMod val="45000"/>
                  <a:lumOff val="55000"/>
                </a:schemeClr>
              </a:gs>
              <a:gs pos="83000">
                <a:schemeClr val="accent1">
                  <a:lumMod val="45000"/>
                  <a:lumOff val="55000"/>
                </a:schemeClr>
              </a:gs>
              <a:gs pos="3000">
                <a:srgbClr val="7D3CDC"/>
              </a:gs>
            </a:gsLst>
            <a:lin ang="270000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D3CDC">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D3CDC"/>
          </a:solidFill>
          <a:ln>
            <a:noFill/>
          </a:ln>
          <a:effectLst/>
        </c:spPr>
      </c:pivotFmt>
      <c:pivotFmt>
        <c:idx val="4"/>
        <c:spPr>
          <a:solidFill>
            <a:srgbClr val="7D3CDC">
              <a:alpha val="20000"/>
            </a:srgbClr>
          </a:solidFill>
          <a:ln>
            <a:noFill/>
          </a:ln>
          <a:effectLst/>
        </c:spPr>
      </c:pivotFmt>
      <c:pivotFmt>
        <c:idx val="5"/>
        <c:spPr>
          <a:solidFill>
            <a:srgbClr val="7D3CDC">
              <a:alpha val="50000"/>
            </a:srgbClr>
          </a:solidFill>
          <a:ln>
            <a:noFill/>
          </a:ln>
          <a:effectLst/>
        </c:spPr>
      </c:pivotFmt>
    </c:pivotFmts>
    <c:plotArea>
      <c:layout/>
      <c:doughnutChart>
        <c:varyColors val="1"/>
        <c:ser>
          <c:idx val="0"/>
          <c:order val="0"/>
          <c:tx>
            <c:strRef>
              <c:f>'Pivot_Sales Channels'!$B$3</c:f>
              <c:strCache>
                <c:ptCount val="1"/>
                <c:pt idx="0">
                  <c:v>Total</c:v>
                </c:pt>
              </c:strCache>
            </c:strRef>
          </c:tx>
          <c:spPr>
            <a:solidFill>
              <a:srgbClr val="7D3CDC">
                <a:alpha val="50000"/>
              </a:srgbClr>
            </a:solidFill>
          </c:spPr>
          <c:dPt>
            <c:idx val="0"/>
            <c:bubble3D val="0"/>
            <c:spPr>
              <a:solidFill>
                <a:srgbClr val="7D3CDC">
                  <a:alpha val="20000"/>
                </a:srgbClr>
              </a:solidFill>
              <a:ln>
                <a:noFill/>
              </a:ln>
              <a:effectLst/>
            </c:spPr>
            <c:extLst>
              <c:ext xmlns:c16="http://schemas.microsoft.com/office/drawing/2014/chart" uri="{C3380CC4-5D6E-409C-BE32-E72D297353CC}">
                <c16:uniqueId val="{00000004-36D6-4A0E-B954-DE716007B8E5}"/>
              </c:ext>
            </c:extLst>
          </c:dPt>
          <c:dPt>
            <c:idx val="1"/>
            <c:bubble3D val="0"/>
            <c:spPr>
              <a:solidFill>
                <a:srgbClr val="7D3CDC"/>
              </a:solidFill>
              <a:ln>
                <a:noFill/>
              </a:ln>
              <a:effectLst/>
            </c:spPr>
            <c:extLst>
              <c:ext xmlns:c16="http://schemas.microsoft.com/office/drawing/2014/chart" uri="{C3380CC4-5D6E-409C-BE32-E72D297353CC}">
                <c16:uniqueId val="{00000003-36D6-4A0E-B954-DE716007B8E5}"/>
              </c:ext>
            </c:extLst>
          </c:dPt>
          <c:dPt>
            <c:idx val="2"/>
            <c:bubble3D val="0"/>
            <c:spPr>
              <a:solidFill>
                <a:srgbClr val="7D3CDC">
                  <a:alpha val="50000"/>
                </a:srgbClr>
              </a:solidFill>
              <a:ln>
                <a:noFill/>
              </a:ln>
              <a:effectLst/>
            </c:spPr>
            <c:extLst>
              <c:ext xmlns:c16="http://schemas.microsoft.com/office/drawing/2014/chart" uri="{C3380CC4-5D6E-409C-BE32-E72D297353CC}">
                <c16:uniqueId val="{00000005-2FFA-4297-8C00-EF34E79F05D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'Pivot_Sales Channels'!$A$4:$A$7</c:f>
              <c:strCache>
                <c:ptCount val="3"/>
                <c:pt idx="0">
                  <c:v>In-Store</c:v>
                </c:pt>
                <c:pt idx="1">
                  <c:v>Mobile App</c:v>
                </c:pt>
                <c:pt idx="2">
                  <c:v>Online</c:v>
                </c:pt>
              </c:strCache>
            </c:strRef>
          </c:cat>
          <c:val>
            <c:numRef>
              <c:f>'Pivot_Sales Channels'!$B$4:$B$7</c:f>
              <c:numCache>
                <c:formatCode>0.00%</c:formatCode>
                <c:ptCount val="3"/>
                <c:pt idx="0">
                  <c:v>0.35799999999999998</c:v>
                </c:pt>
                <c:pt idx="1">
                  <c:v>0.317</c:v>
                </c:pt>
                <c:pt idx="2">
                  <c:v>0.32500000000000001</c:v>
                </c:pt>
              </c:numCache>
            </c:numRef>
          </c:val>
          <c:extLst>
            <c:ext xmlns:c16="http://schemas.microsoft.com/office/drawing/2014/chart" uri="{C3380CC4-5D6E-409C-BE32-E72D297353CC}">
              <c16:uniqueId val="{00000001-36D6-4A0E-B954-DE716007B8E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c:spPr>
          <c:dPt>
            <c:idx val="0"/>
            <c:bubble3D val="0"/>
            <c:spPr>
              <a:solidFill>
                <a:srgbClr val="7030A0"/>
              </a:solidFill>
              <a:ln w="19050">
                <a:solidFill>
                  <a:schemeClr val="lt1"/>
                </a:solidFill>
              </a:ln>
              <a:effectLst/>
            </c:spPr>
            <c:extLst>
              <c:ext xmlns:c16="http://schemas.microsoft.com/office/drawing/2014/chart" uri="{C3380CC4-5D6E-409C-BE32-E72D297353CC}">
                <c16:uniqueId val="{00000002-B537-40FA-B28C-FE11D5FF33EB}"/>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B537-40FA-B28C-FE11D5FF33EB}"/>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1-B537-40FA-B28C-FE11D5FF33EB}"/>
              </c:ext>
            </c:extLst>
          </c:dPt>
          <c:val>
            <c:numRef>
              <c:f>Pivot_Rating!$E$5:$E$7</c:f>
              <c:numCache>
                <c:formatCode>General</c:formatCode>
                <c:ptCount val="3"/>
                <c:pt idx="0">
                  <c:v>61.46</c:v>
                </c:pt>
                <c:pt idx="1">
                  <c:v>38.6</c:v>
                </c:pt>
                <c:pt idx="2">
                  <c:v>100</c:v>
                </c:pt>
              </c:numCache>
            </c:numRef>
          </c:val>
          <c:extLst>
            <c:ext xmlns:c16="http://schemas.microsoft.com/office/drawing/2014/chart" uri="{C3380CC4-5D6E-409C-BE32-E72D297353CC}">
              <c16:uniqueId val="{00000000-B537-40FA-B28C-FE11D5FF33EB}"/>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[Coffee_Insight_Dashboard_Siddhant Singh (1).xlsx]Pivot_Customertype vs Sales!PivotTable7</c:name>
    <c:fmtId val="8"/>
  </c:pivotSource>
  <c:chart>
    <c:autoTitleDeleted val="1"/>
    <c:pivotFmts>
      <c:pivotFmt>
        <c:idx val="0"/>
        <c:spPr>
          <a:gradFill flip="none" rotWithShape="1">
            <a:gsLst>
              <a:gs pos="0">
                <a:schemeClr val="tx1"/>
              </a:gs>
              <a:gs pos="74000">
                <a:schemeClr val="accent1">
                  <a:lumMod val="45000"/>
                  <a:lumOff val="55000"/>
                </a:schemeClr>
              </a:gs>
              <a:gs pos="83000">
                <a:schemeClr val="accent1">
                  <a:lumMod val="45000"/>
                  <a:lumOff val="55000"/>
                </a:schemeClr>
              </a:gs>
              <a:gs pos="3000">
                <a:srgbClr val="7D3CDC"/>
              </a:gs>
            </a:gsLst>
            <a:lin ang="270000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tx1"/>
              </a:gs>
              <a:gs pos="74000">
                <a:schemeClr val="accent1">
                  <a:lumMod val="45000"/>
                  <a:lumOff val="55000"/>
                </a:schemeClr>
              </a:gs>
              <a:gs pos="83000">
                <a:schemeClr val="accent1">
                  <a:lumMod val="45000"/>
                  <a:lumOff val="55000"/>
                </a:schemeClr>
              </a:gs>
              <a:gs pos="3000">
                <a:srgbClr val="7D3CDC"/>
              </a:gs>
            </a:gsLst>
            <a:lin ang="270000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tx1"/>
              </a:gs>
              <a:gs pos="74000">
                <a:schemeClr val="accent1">
                  <a:lumMod val="45000"/>
                  <a:lumOff val="55000"/>
                </a:schemeClr>
              </a:gs>
              <a:gs pos="83000">
                <a:schemeClr val="accent1">
                  <a:lumMod val="45000"/>
                  <a:lumOff val="55000"/>
                </a:schemeClr>
              </a:gs>
              <a:gs pos="3000">
                <a:srgbClr val="7D3CDC"/>
              </a:gs>
            </a:gsLst>
            <a:lin ang="270000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'Pivot_Customertype vs Sales'!$B$3</c:f>
              <c:strCache>
                <c:ptCount val="1"/>
                <c:pt idx="0">
                  <c:v>Total</c:v>
                </c:pt>
              </c:strCache>
            </c:strRef>
          </c:tx>
          <c:spPr>
            <a:gradFill flip="none" rotWithShape="1">
              <a:gsLst>
                <a:gs pos="0">
                  <a:schemeClr val="tx1"/>
                </a:gs>
                <a:gs pos="74000">
                  <a:schemeClr val="accent1">
                    <a:lumMod val="45000"/>
                    <a:lumOff val="55000"/>
                  </a:schemeClr>
                </a:gs>
                <a:gs pos="83000">
                  <a:schemeClr val="accent1">
                    <a:lumMod val="45000"/>
                    <a:lumOff val="55000"/>
                  </a:schemeClr>
                </a:gs>
                <a:gs pos="3000">
                  <a:srgbClr val="7D3CDC"/>
                </a:gs>
              </a:gsLst>
              <a:lin ang="2700000" scaled="1"/>
              <a:tileRect/>
            </a:gra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'Pivot_Customertype vs Sales'!$A$4:$A$7</c:f>
              <c:strCache>
                <c:ptCount val="3"/>
                <c:pt idx="0">
                  <c:v>Regular</c:v>
                </c:pt>
                <c:pt idx="1">
                  <c:v>New</c:v>
                </c:pt>
                <c:pt idx="2">
                  <c:v>Tourist</c:v>
                </c:pt>
              </c:strCache>
            </c:strRef>
          </c:cat>
          <c:val>
            <c:numRef>
              <c:f>'Pivot_Customertype vs Sales'!$B$4:$B$7</c:f>
              <c:numCache>
                <c:formatCode>#,##0.0</c:formatCode>
                <c:ptCount val="3"/>
                <c:pt idx="0">
                  <c:v>1559.0100000000009</c:v>
                </c:pt>
                <c:pt idx="1">
                  <c:v>1614.6199999999994</c:v>
                </c:pt>
                <c:pt idx="2">
                  <c:v>1807.9199999999994</c:v>
                </c:pt>
              </c:numCache>
            </c:numRef>
          </c:val>
          <c:extLst>
            <c:ext xmlns:c16="http://schemas.microsoft.com/office/drawing/2014/chart" uri="{C3380CC4-5D6E-409C-BE32-E72D297353CC}">
              <c16:uniqueId val="{00000000-849C-4C45-A05C-E33A84483198}"/>
            </c:ext>
          </c:extLst>
        </c:ser>
        <c:dLbls>
          <c:dLblPos val="outEnd"/>
          <c:showLegendKey val="0"/>
          <c:showVal val="1"/>
          <c:showCatName val="0"/>
          <c:showSerName val="0"/>
          <c:showPercent val="0"/>
          <c:showBubbleSize val="0"/>
        </c:dLbls>
        <c:gapWidth val="182"/>
        <c:axId val="1720796303"/>
        <c:axId val="1720796783"/>
      </c:barChart>
      <c:catAx>
        <c:axId val="17207963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20796783"/>
        <c:crosses val="autoZero"/>
        <c:auto val="1"/>
        <c:lblAlgn val="ctr"/>
        <c:lblOffset val="100"/>
        <c:noMultiLvlLbl val="0"/>
      </c:catAx>
      <c:valAx>
        <c:axId val="1720796783"/>
        <c:scaling>
          <c:orientation val="minMax"/>
        </c:scaling>
        <c:delete val="1"/>
        <c:axPos val="b"/>
        <c:majorGridlines>
          <c:spPr>
            <a:ln w="9525" cap="flat" cmpd="sng" algn="ctr">
              <a:noFill/>
              <a:round/>
            </a:ln>
            <a:effectLst/>
          </c:spPr>
        </c:majorGridlines>
        <c:numFmt formatCode="#,##0.0" sourceLinked="1"/>
        <c:majorTickMark val="none"/>
        <c:minorTickMark val="none"/>
        <c:tickLblPos val="nextTo"/>
        <c:crossAx val="1720796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[Coffee_Insight_Dashboard_Siddhant Singh (1).xlsx]Pivot_Sales Channels!PivotTable7</c:name>
    <c:fmtId val="15"/>
  </c:pivotSource>
  <c:chart>
    <c:autoTitleDeleted val="1"/>
    <c:pivotFmts>
      <c:pivotFmt>
        <c:idx val="0"/>
        <c:spPr>
          <a:gradFill flip="none" rotWithShape="1">
            <a:gsLst>
              <a:gs pos="0">
                <a:schemeClr val="tx1"/>
              </a:gs>
              <a:gs pos="74000">
                <a:schemeClr val="accent1">
                  <a:lumMod val="45000"/>
                  <a:lumOff val="55000"/>
                </a:schemeClr>
              </a:gs>
              <a:gs pos="83000">
                <a:schemeClr val="accent1">
                  <a:lumMod val="45000"/>
                  <a:lumOff val="55000"/>
                </a:schemeClr>
              </a:gs>
              <a:gs pos="3000">
                <a:srgbClr val="7D3CDC"/>
              </a:gs>
            </a:gsLst>
            <a:lin ang="270000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tx1"/>
              </a:gs>
              <a:gs pos="74000">
                <a:schemeClr val="accent1">
                  <a:lumMod val="45000"/>
                  <a:lumOff val="55000"/>
                </a:schemeClr>
              </a:gs>
              <a:gs pos="83000">
                <a:schemeClr val="accent1">
                  <a:lumMod val="45000"/>
                  <a:lumOff val="55000"/>
                </a:schemeClr>
              </a:gs>
              <a:gs pos="3000">
                <a:srgbClr val="7D3CDC"/>
              </a:gs>
            </a:gsLst>
            <a:lin ang="270000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D3CDC">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D3CDC"/>
          </a:solidFill>
          <a:ln>
            <a:noFill/>
          </a:ln>
          <a:effectLst/>
        </c:spPr>
      </c:pivotFmt>
      <c:pivotFmt>
        <c:idx val="4"/>
        <c:spPr>
          <a:solidFill>
            <a:srgbClr val="7D3CDC">
              <a:alpha val="20000"/>
            </a:srgbClr>
          </a:solidFill>
          <a:ln>
            <a:noFill/>
          </a:ln>
          <a:effectLst/>
        </c:spPr>
      </c:pivotFmt>
      <c:pivotFmt>
        <c:idx val="5"/>
        <c:spPr>
          <a:solidFill>
            <a:srgbClr val="7D3CDC">
              <a:alpha val="50000"/>
            </a:srgbClr>
          </a:solidFill>
          <a:ln>
            <a:noFill/>
          </a:ln>
          <a:effectLst/>
        </c:spPr>
      </c:pivotFmt>
      <c:pivotFmt>
        <c:idx val="6"/>
        <c:spPr>
          <a:solidFill>
            <a:srgbClr val="7D3CDC">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D3CDC">
              <a:alpha val="20000"/>
            </a:srgbClr>
          </a:solidFill>
          <a:ln>
            <a:noFill/>
          </a:ln>
          <a:effectLst/>
        </c:spPr>
      </c:pivotFmt>
      <c:pivotFmt>
        <c:idx val="8"/>
        <c:spPr>
          <a:solidFill>
            <a:srgbClr val="7D3CDC"/>
          </a:solidFill>
          <a:ln>
            <a:noFill/>
          </a:ln>
          <a:effectLst/>
        </c:spPr>
      </c:pivotFmt>
      <c:pivotFmt>
        <c:idx val="9"/>
        <c:spPr>
          <a:solidFill>
            <a:srgbClr val="7D3CDC">
              <a:alpha val="50000"/>
            </a:srgbClr>
          </a:solidFill>
          <a:ln>
            <a:noFill/>
          </a:ln>
          <a:effectLst/>
        </c:spPr>
      </c:pivotFmt>
      <c:pivotFmt>
        <c:idx val="10"/>
        <c:spPr>
          <a:solidFill>
            <a:srgbClr val="7D3CDC">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D3CDC">
              <a:alpha val="20000"/>
            </a:srgbClr>
          </a:solidFill>
          <a:ln>
            <a:noFill/>
          </a:ln>
          <a:effectLst/>
        </c:spPr>
      </c:pivotFmt>
      <c:pivotFmt>
        <c:idx val="12"/>
        <c:spPr>
          <a:solidFill>
            <a:srgbClr val="7D3CDC"/>
          </a:solidFill>
          <a:ln>
            <a:noFill/>
          </a:ln>
          <a:effectLst/>
        </c:spPr>
      </c:pivotFmt>
      <c:pivotFmt>
        <c:idx val="13"/>
        <c:spPr>
          <a:solidFill>
            <a:srgbClr val="7D3CDC">
              <a:alpha val="50000"/>
            </a:srgbClr>
          </a:solidFill>
          <a:ln>
            <a:noFill/>
          </a:ln>
          <a:effectLst/>
        </c:spPr>
      </c:pivotFmt>
    </c:pivotFmts>
    <c:plotArea>
      <c:layout/>
      <c:doughnutChart>
        <c:varyColors val="1"/>
        <c:ser>
          <c:idx val="0"/>
          <c:order val="0"/>
          <c:tx>
            <c:strRef>
              <c:f>'Pivot_Sales Channels'!$B$3</c:f>
              <c:strCache>
                <c:ptCount val="1"/>
                <c:pt idx="0">
                  <c:v>Total</c:v>
                </c:pt>
              </c:strCache>
            </c:strRef>
          </c:tx>
          <c:spPr>
            <a:solidFill>
              <a:srgbClr val="7D3CDC">
                <a:alpha val="50000"/>
              </a:srgbClr>
            </a:solidFill>
          </c:spPr>
          <c:dPt>
            <c:idx val="0"/>
            <c:bubble3D val="0"/>
            <c:spPr>
              <a:solidFill>
                <a:srgbClr val="7D3CDC">
                  <a:alpha val="20000"/>
                </a:srgbClr>
              </a:solidFill>
              <a:ln>
                <a:noFill/>
              </a:ln>
              <a:effectLst/>
            </c:spPr>
            <c:extLst>
              <c:ext xmlns:c16="http://schemas.microsoft.com/office/drawing/2014/chart" uri="{C3380CC4-5D6E-409C-BE32-E72D297353CC}">
                <c16:uniqueId val="{00000001-DD64-4C1E-8983-7A616F006F00}"/>
              </c:ext>
            </c:extLst>
          </c:dPt>
          <c:dPt>
            <c:idx val="1"/>
            <c:bubble3D val="0"/>
            <c:spPr>
              <a:solidFill>
                <a:srgbClr val="7D3CDC"/>
              </a:solidFill>
              <a:ln>
                <a:noFill/>
              </a:ln>
              <a:effectLst/>
            </c:spPr>
            <c:extLst>
              <c:ext xmlns:c16="http://schemas.microsoft.com/office/drawing/2014/chart" uri="{C3380CC4-5D6E-409C-BE32-E72D297353CC}">
                <c16:uniqueId val="{00000003-DD64-4C1E-8983-7A616F006F00}"/>
              </c:ext>
            </c:extLst>
          </c:dPt>
          <c:dPt>
            <c:idx val="2"/>
            <c:bubble3D val="0"/>
            <c:spPr>
              <a:solidFill>
                <a:srgbClr val="7D3CDC">
                  <a:alpha val="50000"/>
                </a:srgbClr>
              </a:solidFill>
              <a:ln>
                <a:noFill/>
              </a:ln>
              <a:effectLst/>
            </c:spPr>
            <c:extLst>
              <c:ext xmlns:c16="http://schemas.microsoft.com/office/drawing/2014/chart" uri="{C3380CC4-5D6E-409C-BE32-E72D297353CC}">
                <c16:uniqueId val="{00000005-DD64-4C1E-8983-7A616F006F0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'Pivot_Sales Channels'!$A$4:$A$7</c:f>
              <c:strCache>
                <c:ptCount val="3"/>
                <c:pt idx="0">
                  <c:v>In-Store</c:v>
                </c:pt>
                <c:pt idx="1">
                  <c:v>Mobile App</c:v>
                </c:pt>
                <c:pt idx="2">
                  <c:v>Online</c:v>
                </c:pt>
              </c:strCache>
            </c:strRef>
          </c:cat>
          <c:val>
            <c:numRef>
              <c:f>'Pivot_Sales Channels'!$B$4:$B$7</c:f>
              <c:numCache>
                <c:formatCode>0.00%</c:formatCode>
                <c:ptCount val="3"/>
                <c:pt idx="0">
                  <c:v>0.35799999999999998</c:v>
                </c:pt>
                <c:pt idx="1">
                  <c:v>0.317</c:v>
                </c:pt>
                <c:pt idx="2">
                  <c:v>0.32500000000000001</c:v>
                </c:pt>
              </c:numCache>
            </c:numRef>
          </c:val>
          <c:extLst>
            <c:ext xmlns:c16="http://schemas.microsoft.com/office/drawing/2014/chart" uri="{C3380CC4-5D6E-409C-BE32-E72D297353CC}">
              <c16:uniqueId val="{00000006-DD64-4C1E-8983-7A616F006F0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c:spPr>
          <c:dPt>
            <c:idx val="0"/>
            <c:bubble3D val="0"/>
            <c:spPr>
              <a:solidFill>
                <a:srgbClr val="7030A0"/>
              </a:solidFill>
              <a:ln w="19050">
                <a:solidFill>
                  <a:schemeClr val="lt1"/>
                </a:solidFill>
              </a:ln>
              <a:effectLst/>
            </c:spPr>
            <c:extLst>
              <c:ext xmlns:c16="http://schemas.microsoft.com/office/drawing/2014/chart" uri="{C3380CC4-5D6E-409C-BE32-E72D297353CC}">
                <c16:uniqueId val="{00000001-7A9F-46A7-A318-9521962FA6E5}"/>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7A9F-46A7-A318-9521962FA6E5}"/>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7A9F-46A7-A318-9521962FA6E5}"/>
              </c:ext>
            </c:extLst>
          </c:dPt>
          <c:val>
            <c:numRef>
              <c:f>Pivot_Rating!$E$5:$E$7</c:f>
              <c:numCache>
                <c:formatCode>General</c:formatCode>
                <c:ptCount val="3"/>
                <c:pt idx="0">
                  <c:v>61.46</c:v>
                </c:pt>
                <c:pt idx="1">
                  <c:v>38.6</c:v>
                </c:pt>
                <c:pt idx="2">
                  <c:v>100</c:v>
                </c:pt>
              </c:numCache>
            </c:numRef>
          </c:val>
          <c:extLst>
            <c:ext xmlns:c16="http://schemas.microsoft.com/office/drawing/2014/chart" uri="{C3380CC4-5D6E-409C-BE32-E72D297353CC}">
              <c16:uniqueId val="{00000006-7A9F-46A7-A318-9521962FA6E5}"/>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3AFD04BC-0335-4200-A3F4-C2C37DB236AE}">
          <cx:dataLabels>
            <cx:visibility seriesName="0" categoryName="0" value="1"/>
          </cx:dataLabels>
          <cx:dataId val="0"/>
          <cx:layoutPr>
            <cx:geography cultureLanguage="en-US" cultureRegion="US" attribution="Powered by Bing">
              <cx:geoCache provider="{E9337A44-BEBE-4D9F-B70C-5C5E7DAFC167}">
                <cx:binary>7HvZbtxI0u6rGL4+dOe+DKYHOCRrUWm1rHbbviFkWeaWZJLJJJPk0/9Rsrtbkj32DM7gAAP8BUOy
iszKZKxffBH197v5b3fm/ta9mBvTDn+7m399WXjf/e2XX4a74r65HV415Z2zg/3sX93Z5hf7+XN5
d//LJ3cbyjb/hSDMfrkrbp2/n1/+4+/wafm9PbN3t7607evx3i3X98No/PCDa9+99OL2U1O2aTl4
V955/OvLrbGu/HT78sV960u/3Czd/a8vn9z08sUvzz/qm21fGDiZHz/BWqJecc05JlS/fGFsm399
P1LkFVOSMqIoenjRPza9uG1g4b9wkodz3H765O6HAZ7k4fejhU+ODe+fvXxxZ8fWH6WVg+B+fflb
W/r7Ty/e+Ft/P7x8UQ42+XJDYo9n/+3Nw8P+8lTe//j7szfg8Z+980glz2X1s0vfaCS5NeVn69ry
P6gUKl8RzoTQWH+RPX6qG4z1K4ElkZhh/fB6qpt/7UzfV8/jtc80lPzf/0oNnRhTtrYEA/pPOQ1D
rzBhmHGOvohfPdWP0q8wU4Jyxb9cB9/6svcX3/lXTvR97fy18pluTv47vefiPrx4b139h3z+3wMa
I6801YRRSv6MW4/jmuSvBFzhArMvuhF/7P1FN//Kib6vm79WPtPNxfv/Sr+5uZ9v/4NOQ/ErJqhi
CuPvBjWtX1FQmpaS/OlUj53mp8f5vla+Lnumkpt3/xUq+XE+fBzOntz5b2IAql9xRLlkVH7XZUAz
CCsqqP7qMuypyzxL0//8WN/X0LPlT57k/xMG+Of44E/slN76280D6HoEEX589eFxAQk+W/qjNPRF
dieffn1JhSbykSKPH/Ikify+WMCG+R+qeLTm/nbwv76MMGKvEKdECgQRDwNeePki3H+5hDFcklpR
qhWonb980Vrni19fMg66RoQqwSQTSFNIbYMdHy6hV+CYErz3CAmlwuRPrHtlzZLb9k9xfP37RTs2
V7Zs/QAf/PJF9+Wu40k5UogDaqYaoCdjTFM4Qnd3ew1PBDfj/5ONAZc868PF2HzKB5MW5uMjaXxn
AxDWDzeAOP94AzdT03QzbKAqEReqiUd9W04XpU6K5tOPt+Igyad7YaU4BRBNmeaMI/R0rwUP2HDD
8HnFzYKqLm4iQpFYYq1I3fMPQzXn6q6wmfJohzoyRGtiDV/K9oAo6vPmk+2tkvllPrICabnLXI52
i2rH+1IhVTZno2NDxE6R6NYTM+gqczeqQsupYJHNbpbebytS8sPgK3xV9bYq46XK+tYnpCV5rKjj
PiaTiMIQh4lqn3LT9EX9ptckn1wiWDtJm8IhGh+XYiFD3I7k4HBX/rbMZjw1WT/KZJ0WE7bNVBra
nErPq5TPYr1QuObhQ2SRiOsob8pYeeISJDmjlyyS3XpaeV1EbwKKStZu6JRnOuoSX1d+znbSuHLY
PWjkq59+1f4Xc7uz3eLKvPhaXf355z9ubAP/HrD/X28ei7O//jr/o6r74V27e3vEBsPzm46n+fOz
4DBfT3f01Cd/fBM2/klg+FIk/pOL/1rUAGcX4Gl/loDfRI3rAkqnFyeDuW3ByP8KN18Xfg0dEgPA
RQQLiEKCKI3Aeb6GDrikNGNIY6mFehw5yCtYccS9CgsGIQc8+o/IAR8HXoH10Uf4vxM1INA8dTWm
4EURBA7G4Fz0GNQeu3Xv8tE1Wtt9JIc2rpbCvtE18eUmV7rZlIS/C800nZuoK+Nq7N6ZnEcnKMgL
YkdTJ81a1Gk3sOa1npr2yozoLc9QXsad6autZUGl6xjRE4elSdgSyW21zCFWg7zozFTHZAb/moO7
1bQ5F8Gc0yjsMt9lqXdcJ2NoeGymUcWTKz+PaCwvGpBj0suujcfW9jGK1BrPnIS4ROup1ehK4IHG
2oVbO4c55rXbLGypY+fLz4Op6rSh+bKRVl1IOu9CKbuky9vPum7PA56us5kXMSvHLSP1+bisV6xa
TlEOd7kqiueivF06b1Pbr3fc1wcz4Tsrxbt+GbbWZCZxTUF/z3q2L50ScUCD3tghW+M2UhfY03f1
ZG4lWvEW5eEaufr8KAHfjCpltflcdW2UDLmvttQsNqVNqOMxl0U8hekmp+FatbNIFBH5iTP6LmS1
3uGC7fN8Oa1HYk9WKN4SiEogGIQSxssDKUaSzPV8I4rlOnTsXUHrQz6bW9dXt3blF7KgTsSCDRsG
DxQYlOd+uWIGdLVQv+1118cRqw8rG7N49kUTQwisYmJBUKRwWZxx52NNULEpa+2TMZrsqe/KZZNH
R1kWze2IlxCjZa1jH+wC0XHYdAxuiPr1KgzoypOwG4v1FKu8SaIJnXbSRslUF5+pgds4Ls/rej4l
oJy9slrEVQlPaNnyds18FhsvTFpqGqX1ABtNparSQrP1zPHqYJf1rWN9Fhd8vmkQT+elDUlbOJ9m
trxtp6A3hsx3yq6nE8nLpCpceVH38l05o4+qp5c6lDgRAW8X4vcrH92+n6ebtef7suw8GCrd5w3o
KELKJLWffDyO66mwS7EJAfSpKaYHLcES5tX7uCcNjbsBvW1zfKdp8HEzuzb2uTlgOd30brxhs/nc
oGpJkLA+HZv5hma4iOvSd1tDrN6sIioSjMsyeZA7bsWF1uyd7dtqKxi/6DiTW39cB88ZF7MEU6Ti
XSndshczmGOE54uORN2HKot0IqtiSV2UTa+pALMzc54lS894smg/7Xu5TIfe8ulkaIQ6macouqyL
xWz6tWsu26hbtqgw06Ep+iEhkaFAvQ0flsmJM6zqLgersWXPUlcXXZXqpqeprNdwm0nrojjviBG7
ivXt27rN3jZzJMZ0ZYMu44aUyVxkF6ytPzi6TEk9m81ciCVZaZl2fnGbns0FTp0QoorL2eUHZX0V
C9lfmKi4ai2zmxCxtzbCeTKMnG+mkd/O7eLu2paM4JVVsTGij5Vcqrhbtdg2ZTOmZLHZFfaQ5PMW
zH+tyJ3FtouHvuniYkKJmAneUmlBbwu4wLiCGfYZRulMmLpkSI67mYDRLbV8JyNxMZI+nGST+xwF
d8pEfXiUdL4Dzo7g6xH6gygO6FYDyATXl1ziZ+CsrAQbq1DbPZuiOqZj75NMzRcl78/XDIv4x7sd
seTz3TQkNMoZYliJZ/BMszC2YpHtPgdXT1tcH4ihRSwoBPQf7wTo+PlOFGgfCZshKGWfA8Eg5Uyr
rLN74utbnUE0PIbjCocloUM82BP4H9r+eE8gk77dU0ECpwoDnpTPZJnTVhdqyNr94nmx4cN0Y2dw
7IiyfYi4SY7Pa8x66gaIbj/emtLv7a0FR1JijiU7yuMRiu/qPKwV4NT90DiaVrZRV0smimO4OK1s
Ve+Rnu/CME/bOkzToZoG8Fvd0tgVy10hMjDX9XTMJ8i6lO+1bqKkGt2GqHAaBIRvJUiX1Axs1Vbn
rXDbhk/Xc5O/RbxoUjGzi1GZKJmt1TvObfc+51wkTEF4+PGTfseEKIPCiGOBESfkmQkRU+rGEtbu
CzJsmUVXSK9Xzer6n0iUf0+iDNMjtILKjKtnEtUBqxkugq1qw06Geb5acMk2yEAQboWu0kHV5z7H
zWszLVfSo+Z1kUMOZWv+uZ8gLh+hSlUDgMBkPs2jIYt1GG8iLS6om3aFgnDPu7JJ8rwQu34m87uc
k2XX5KTbzOVSno7IDddtPb+dHaT9kZTs4EvVbILw9pS15ees5CJuawNanJXdzVH1ObPrW5WP29UP
kLw7ui8Wvi+KtkzyZs1i2s2ntYxMQsb1Si49jQmBz9Yq+uB4vSQSA8b6scK+E2Eok+pYrypJuHqm
sFVGtmcRbfdrwA9wYobIxjsi4ijQ/Y/3AoT9jQdyBHlKKSk1J8frj7zAkaWUhi3tntfTNRvKQ2N/
FjAfPOlZDJPiWCsff2qinu1RFn3tDULt3uqp2w7lTBKWrXfHSF+udNl5lx1qwvY6Ihch08VGtuYQ
zdnvQ1V9VGJqY9JMLlamovupgiReaIhO3dKcY5x/XkWgG5mV9d5QscYVpyEe0TqcmVJsJtX9pjy8
LQaVn7ClXBKoXUOMMfVJr/tuSxwpYqp7shvnzseIlJ95CybYl/X5NNeHmudLokQFABUHQL+4S9q2
KJMJ+WvbkmLD6Hr6E518x2NBF5opqJcRYw81+yOltKTzs12ado8NFApT0ZQJ9L4AwUc1PHMBEigB
bqVmURcNF12SDQ7FK24ufQW2nNXtJhLtuA3ZGmIvsE3HAr0LVUdTheQa15O4yEYpkjHjF4UmUAo7
iESdDTaV1fIWkXC3DiguZflmpoAOdQ8P7KJ5Vxfo7QJALO6yottRE3a6C9c5F2NcObBP1kHgG8QU
Yh2xKm0yo3eEr29156bzHwvpO04COeP4wlRD9UaeGm7Ie2l8mNp9UG0KEGeOZYDjMDTGWZf/RCMY
Q9vquZ8oyMIQ1jAm6huf7BldKGFju3dkaDdYDDZVWXXIIFNpDPpZLZjkukCBNBEIU1UFCDA356IG
ADjaTMS21V1SNlO/0WJt4tIMPm4X9XGo8Vk0qUujmyEpNKD9ubU0pd1w11Tr9WyW00YekzGYWU7r
2ywcUWogSbWi835s02q2JAG4upl8pbYeVPpQXq5spmnJ4Ubt6oOIPKzowrTtstHHZvXFyazmq4ci
KGtnmwZf20M7hpvSQyGp6nxM1h5KPb6GG+dzFC9Mx5pON6TGV31UHigFtIblmJZtvaTH/0QNvJNN
R4PsxmmLmRs2RzcaZn5hZbgR+bGA4HUE/tRFiekBLaGsOp/7WqWyg7tdxN/1FQcX81l/pvl857xP
wwgCrkx5XlKoWfQMUJwZ9q4qputAmUio5fupbQ7RVB3Wpu9jl4MDe28OUBTvmgwyS5lPYJjgHSL4
c4P5h2II7aHG/GIappQStyTHwmheXbkLvbOnCpC98ewdceXP8rH4jnsD1uFcQysHLAo9y5NmoVVP
GG/2g1zu2mG6HhDkvQnKrIyDWx/x10Opbb3GW68B6T34fFv47RKGEPcVLOsbmta+rTa61qmaHJWp
8XmfEKLajZ7HZW/wEEGBVjd9nLNy07cmv+sjo887p4t0zSEv+rXQZy3E8mSV9IJEEGMqv7ydKMAt
5GiXCFSOyZz7OjYKkHUOhSHkw4JaUEgOMFtW442fIII64q+dgpJUj+Z8GsdrxsdyZ42YN6WradqH
9bQpwk2VNSptcLTG3C53Yli7rev8tYTqYF+X4mKCJAJF5nhDxXx1RPNe/pFf/5dh+24L8i+iDLit
I5b45wzbKdw73tXLY3bt66Kv7JrCr7SEeoRrKfgDT/aVW4O+MdRCwIZDbSQVxxzi9VdeHno0mBF9
bJ1RIQhGUAV8ZdeoeMW0gqYnh3EAgY6r/uAQr74giB/x8vgbMAO9AuD8uIbeAECN50gX2kCFU2uW
Hyac+SKhFMvXAefrlobW78pe6sOEPlZRmE+6nrEQV1bp68lOfu9kM+1oj/sd8iXQOY/E+PWkjzsG
nHxT6RB4uGPrgAhovyPyzOfngS+8JkqcyIl39lLrGl2qVYxwhijj4OGjfVNiFjFwlwwICqrjqJuG
pJn1mH1SbYtfD5ir3m26RTby97WL8oul6INPWDHg901ReOE2ZurW7QpkuUoNrwi6bAauhihlwkdq
HyAbpQzVrS9SbAKr59QyWbvfimXK93aOmiokmpv+WmWDWVImB9rEUd3qg3Ij3liyVJvZ6ZtejYUb
NzooerViMf6mbWfi4PpmirUhJo/HUPUfm6VB1yyjtoon5roqKQuLlljVfMbbKSOFOXhqTb0tgZw3
wHlS9rrth7QOedi2Lns7Z3m0c+XqDn1e4d040uGuRIW71A2fU1ENpzi3h86K4Ua25XyF9bzs5DD6
0ywrpsMcTVFayrV3sdGVuDhm8bM2L7ZRWdVALozYXkdMv0e0GuIIZnhsutameEeyrJMxGnk4j3Ib
vV7HWs+JLJZhE8ppPsvl+gaNubl0y1jG86pbGQ9B4Hyr6oh9dENTxborBoCLnK3JSFEprhHwM9dT
2dKkyVRzxadVFlNCHa7PaWsG+luVuyKecVRermu/YUtGgBA04WZBaI7bgrYns+j4zpim3XbSF3WC
nRiTAbo1m7WVeD/TrNvIVUcxXVG/mVFnT9jqQ4L7XLwGqfenStRuW0mDDjnAqoPGQh0KjEyeZi0y
7zpgk26stNXnPmDJk3qMujf9UK4XtCXzGZ2Q/AQUqdiyzPebpoendwB3EgMM1IaU1osY5M62ax/m
Pu7qrritwexjSLBz4sHS4nU4crFyChcwCDGd8jCMG8NKvWN9YTY+WgHsh5LCA3l6XfjGbQHLkzh3
ZQEm7RqZbcME1COAEybecfiQJJpNFGdKjxsOJegtEKZF0lTLck/6PDvvm4Klap7dnnVsCokHaPZ+
IMvqkkwW+AQ6S5VLbaBLkaxetstusoRUseTDoGLSN5IkXPfGxojqJTW5yY/VRBbd8Bnydswi40/0
7PCp7rjlmxnkeDLJ1Q1xg01xlteiPZ2LANIDUndN2FRtqmEqtmYhvIpblbG7JrAgABIGd7OGrj3T
RmsQ39rX5wAIsi21OksI9NLAuwrVszg3LJt2kzDUAFzQ4bVsUcl3srbipPbuN12E9aOc1nmThYGd
aFHZY2tMN2mHI3sBkTC8n4pFubhTYkFxk68tTmvI1DrJQxuW2A5OfmgzqceU926uYouxmi5o07GT
Ga/Bxo1WsorxBCz12WKlJ7FepunE5sLydIAg0iRVpswlt1Y4wCE5uRwMC6+Fm/AQr20xzfHSDuaS
gWPsAlFFFQc72WjrBtxNaedWcSEgHABu0KaMx8w0bzPf9tflSL3dzIbQc+jC9mdR7+2QStqjS6Cj
7Y20wIymeCxZiixcF2CjeuPwUhymlbvzQIriqiSh/q1rcHujuMdJvoxN2nSh3kB4huDLh7q+q3If
AXZkgHDjCJj7q6FcTPSuo/kakrnv9TWhQZUbiZoclNI5YHkYavS9W2l/WBoc3ueqMMm0QLcD+6nf
z7ZL10hELs5HW+wRqSYU+75gp4Weqq0Mk3vDqV2rGKjE4jUGOud3OzXltVzmBu8HN+RX0JPuunha
fA2khCyGD3ZBbRMz3EJ0cEtlNpkY69sCylscczxP5141k41zHADWLVTVJq4XX1xGs4/qlE8DbGdy
P32G+K6vdVSEbS/F8EFEGrbINVrPGMRmaCfR6sTVZN70gfcbiA3zSSXr7N1UTxh+gNFBnAcnrymt
4wXZ1gBbW0D9iBrSJhXv5RnOuc5juZCijtGA+4OeQ5mdTL4fT70S4kFt+0gVpw1yURGPFB5ywnIz
FOKuoiikQTHg1fqZvi2x706qTsorTQsMuzZ3pB80GCKv6eUcdWfQR4aQw81ZvqjsbgYSU8uxiQWP
5gR4qAjq4bbbdB2rLhZu5Y7ZqIMF60wuW3B0FodShQs+EgS4eiRpUywkHh38gN529AFo4P61I3Q+
ZbxnJhm6on3PuJ7uJmqG0xoGV1LX2Hl3xCUfTVTbO7BSTqE7J0sIHZWc1GYpsuJssNNUxJBO3SlV
/TzEnBaSJnhYJduMS7SwNDRO0+3iotKm8wrNP1F532560dcfmZd5vVmAnZwB6+ckS6shWtbYG2hM
xKqQ4bYdlFl3XV1OUTJOyL0vh6J+CxAO1FXcQrU+XUaI1dcLEm/qOeO7qmryZkOZk2vSDgU9H0qg
0WIgGcklUAzsBCCW/QDkvd/6MWpS6xHoK4NWigVnqdoPlPcNfGY5fSK4rTdIZOyYRF1zrvoBnw0Q
zsCLhmVN8hWK5hhwF+mgzvAZGIgk9S3W8v0QYZHyBVOWhEp3h0plkYzB6yIW02XOimQ0WQDCw/bN
dSiQv7BVtbxmAgN3YSZEUzFgmsfOkGg7DsN1rgMkaxh/PC+4LdLZgoudlURgnup5GIYEunK0jXnD
8o02xZRm1SLvQjX3HxXwRVPs1kgfJBvCEWBy4jZNBV2iBa+exS649QSGNqSNtR3FmW/QyuKuNCOJ
52iVfSyrajrr8cq7OEAcqRLXMsETgCfud1LJJXo9Udaw3QhJ/zV4LTA4CGwg22iopQ5T5SATsLJs
+33dgzzTOWRFBqmVAf6yhqo384wZtExlNBz5e3GqXA2BttC02ykrTHUO9HU9JxDam4uqVfNbR3R/
jWmQH/pMVTsrcmhj1WUd3TGcRdDkkX276wc3Q7swbxCNC7xCyuhlMe7KpsNXBCYcmoPqSg0zILL7
rFvEysSgHJ10qjIoae0UxQMdBbRsxr6g/lSohVjxBWT/b1n3pax7Mlz2uEIDYvVRNfLN2MSzGbW/
ysGHdV/rOiGgrqNUcAnDchrDDMQfUxMwe/UKBp00gjIN0Ko4svpfCzuYp4C2lISyiqjjcMQfVR1W
MMcK7Qag5mDOW8Ow979T1T1r1Bx3hJYU1HPHcTAY6npeOhlcuRaHmt8rqOpGvSEd64CPR91Urm85
H7v6lkWOD9sWJgMgUHoCcwVzAsNF6GPeOgZtYUuAQj/ogi9jWusIvCfoxgznhjddBGCnnnn3kdce
uLQ0EuAlNMmlZPheAg87Xhvo6ppbmKPqsjva0F5c5KLsOwoIrxzgKKzjrrkEHO1Dm+aGOygubOBN
c4ahYwBHzpsGL6fQjG6rz9EAGMf8pMB8OjHGhEaAdDUXTB9H7wl6RrFLoCDHQhTqPgu2rfq9b4Ah
2xs2AYzbA+b2ZUjWsoPvAxiUlSTbPrKo79S3D2zrXxQ/7C8llUCAUnWsvOEwT9nYtaJqgFm+8lOF
a1qXibcUMlisNYlgNsXNAYJK6gqfM+jds2jt2qsAxRh0XDA7EvgHL4p2qGNre6iILjRUunDtx4d8
yhgziSjMuCkwoeP89NEsn54R5kkimKGg0SeAXxMiab7KXPZbo5inKG6dF+JDzVHmT3687zPdHPdl
mklCOPRV1TdjP90I6NhGVH3KF7A5EU+oM8O7gmWkzeNQlWN52WbwnR7oaxRQevysg/yUeTg+NvQ2
YbaJaGjykG97rHwqIzQX9FMkjexpwgMS/BYcKfIndoXuz0UZYYvPad0v45t6QGgt4qGAOTn0k77W
U94TTsIJMFCcqyN1RGC886kCvCgBHMDgwV2m15a7ne27JoPJlKwZ9AIjg24GrfxY9t8+vJLQqhdA
2MPEFbD/T7csZJGZakHuExMBvHy7YLHiestdGAegWqD4Eh/cCFLvoW0hpfgA/MTk9GYqLerCTwwB
U9jtkZeAADSMfz04KoVw+ryxl+u14rrz0ceiBL4p2sOEz9EhmtkW8P0hoEzYyqBHMCyAg2ZNKJyK
A90xvmk6ARMqbYRd+0Y3RePatOfWkWuYZ2yHjz+W2ZGKenxK6H1B0wkxaIpDDKfHobzHLcExZMqh
fp0/zg7mbRDwIDUCYaE5UA5jWY5O0ZsOZkOPTgMzRsdfZZeP/66wMBYwxgvkxXHMl0Foe3oM1ZPB
L4OwH1vDI4jhFUQvQEPTgvzCT2nGIe4PMFFX3zYVbyGiuq5xGIaWoioCyrwvINoeI/9SwKq2XM10
yua6s81Pwgp+bmPwlSYqJAyDAKkPjL54Tu0BudjpdqUfh4yIqNlUfujMeNWvvuzaJPQLkO5JBPwi
XLNL39gF2ivrAjOlXZedDNqZKofhvhVGYmGsBzofcQtTjRlMd3EUmWvR6HxtEvgW3AwhkUTVgmH0
dtUGPrUuswD9jh/r/1mvS0Ji0wKajwQmGCHvwtjAU8m3yBdZNXf6DlWEiw8Mmu/RGyJqDup3FLrt
+ykoaLgkqGGOyFg6M0joEKwID4mn7Sx/qwIaozc/OdeXNPaXacJ3lgg0xDWAi4egBuOaT0+GUN9a
WRbDzq0wAzdsCJ+PkXxEjIz28wAsmBKJHfIuDDpusrWADpPnucfNKSR8IKXzxNbQXKVnhM1tha6a
jOe53S9AI3B7kc1ljeclyQiI+v3Q902fb1wFsxNAdplxJT5BMCk8NKlyHJXmjM7YUnGll4dMUgs1
RfQyaxvcz+d1XkzAntTjJEqsY1RBmtv3q5Blk5qo6sCHjZm4dokEmhKSZd0ECb9yYxU4voBxJvGB
aFeMJ/WDNEPRkIonOpoXsKQwkQhCiCX/Q9iZLceNa0v7iRgBkOB0S7KqNFuWLLWtG4Rle3MmMRAT
n/4krT7x/+0TsfumFZZKqiIIAguZX64uiukBfBWGm6IyMflDoqcUfyAa4uMRFZhYuG9EFHTvq1Fv
MwUhqUGy9E0m8mkw1dpDCwRILTcI6BXxHre7HFr8FyWNw/juEsIzP+fSJvI6J9GYxSdRrHjLefRD
Ym+Ii3nf1pOfte4vk5fTML0kqxnK5CELW8lwTs9IFNsbMD4K0zj0CTxb4B1BJ7LpRjOXMPMGnydQ
MoZuK1ZeR2ZtHZkrmaDyih9L0JG5O7USMIP8kobS7usXQsKxGHI6Qnh/WDft1uxLL0jG2gbzHEvx
uVOS0qGeaaHVf0IeS13cpJl38RtNfdiKBzY7Lj4vZTmM8WlYdESmShCS+a1G7gDr0GlZA+5t43y8
qwAM1ovV1hLTPS1qAK/c3Y2l3vSOU+bg+pslKgsFsqfviL4wApv6PSPzGLqGMy6WpZrzZVZfFymL
yFRAknOM/j6r465JrCVtdlfMfY7CaemmLDY1Tw3FnZ8ZtHQoOMtW4MvH1Jh61OxvSz6NGbmoEtUE
pCFFsplW0IrWHB8jHqHAujGyJYxctRbPYimjCfBd2qZV17buGTQ/fMfQO37pmU2uepLs17Py9sqo
dn3KVQYypky7h7wHyFFLZtUXjkl9xdp01RWevu59UGL62pJDnCgpn0BrJNuFAsWuXbykt4Ugb+uI
x3FxIrvLXC+anHUAXCWJDkXas9Ow9ubTPkwbOWHmbqcikARKlc7mH50wzzFl4laxqL2drd4Ai0FN
wCbeXtnVlGBQXfE5F53Emij6n2BWeTN1ooVtvSxNykt5U+zxfA584aqCUsbwp4uw1GxY8rPDn7wu
otC9K7+aC/YM/lNC/LqMnk57FcohPXcDWZ8Fy+IdYhmRMAyStX1xfi++T9GSwhs38xdXxP2JxBu5
AYbe9dUaRckd29L9rDa9/NJDzj+TKO1R621J+ZNCN7RVTgV9svHQ9WcRluhE9bw9acu262MpaHTw
5ibRCp52OrsCsnXJu+Jrb+MyXONMYH7omA1wZ4zYVN32EKkqOLjFr2JL87mJeKRu5hLadMPoNnz2
NhnrNJ3X21RvVAJe7NbvZNDizueM3OqMHjOUp72oWGvdjVfG35N8tNfFvEY3/Zh0MXSzfvpJnYNS
su8FeNkNZ7JvTkj3S0YQ1+Ke7t+1HlaIcfBSbsp915i53QSZAtWmMo3Y3ehvMtPKtiLIajwEmmMh
Ru6lti6Zkht4mZO4UV6qcyxMfIvUh6+GJH1NXfhBDAerSvH4WLg9zZxL0letn20OsWhNTizflgfR
MfUtCBB8A4nN1urKAG0exzrvW+gvEeym79bIFfbEtFyAsIPtIvP22UOu+qw7CKxAjLf2RXZBflVe
zHElvfE1p/CyqgGfL6mAbPIRD57vIO37wj2WsYbiu+x2+D7MAvRvS2bIbD30fGHp53JlxbWIVVEb
RfgNpGX2XReZvxt2qmwlVmbwpnyruIlkHVrT3mVFtPbVRMfyu4rAbTaFFHKo0kHLx8xlI+IzMsvq
st/zq42u3SNqHHlKXKde4nURF2s8vQzCZt9Vwl/csA8vu5z34iIFC9Ug5/ZXwIBcui035rSmJDxv
qkx5BZQ73NKxBRXVQdnPSuj08FBTWrUgrF/KZSvfExBzXwbF13e72/2XwQRvEMeJ7xkfkgvBTtFI
L7fnGRxRlbrF3kVKj287xGHwQ5SjqjU7e+gCYdjLPFYkMvRFhF17zK4AR/Fa6GW4jEDBX1AXJ/j8
Nr6hZIEcnSX62yS4fCyBmF/RMJXP86yAyegB7hdEedAMy9w/LIxsN8ow97hohI9UUbAfyWixOMQy
2AcGof6Ec6f7BCjM3HqVu+veAXyqVlMsF57NrOlkhtMp4PTyeo8Uv4O9qD7v8CxeCqzb3+RebF+w
4bdXeNjy+51GG+q/rD9PJU/vejfRpN7mcmqKPYAgJajjz3sbrY/jWHSPLVwBWZdiImcF2/Sb2Axr
wYLsoOpLZm5R5I1VG80rYgl7OWPNnv0pycfiiq6+rWH5sk+FbZNLZ1T0M+Ix6ve7AOcRgbEwe/BM
TW7EXBR3Y5rYfDsRxJonUECl4HcuEu1jaej0EAEDfJ029R2/01Z66+mrnlHBDCYfHnw54OiaCtrf
wOuN30yEGFw9dY7cB5ublz62Vl46wMmsLjua3zK+quIM5R/m8dwVolm9ZvAHAIE0RbnPeTXsYFuq
OeHLwxppQm9DJHOMdUbcpu5kad10pjDW3PXCoCQnnkXwucoeVIpX3XrqQJU9DW1v55OakAC4nftx
7ZtILSlOk5zT6JJbrfcnQL7KdJej9CBNKf06rSNGbXXtgfcVmZpqmqNyqdPZcHs/TmbQdWJo+8Xl
OzIUK5myOxx1OG0cRYl4u+GAu72mfbcXCusIAJYU4DBpl6jlV3bL8ps09mQZvoBu5FC2g5ekNDcx
FjtyXbDOhoucwqKazurUPJdRO8L7itupVBWiAS3CPrCl/XOfgH1F8INNn9cAZubisiQMSKfJmNy5
cvBLHStJ8vt8wnLa4HCxN+uy9zdDvPV1RvPxZouC18OnKURZuScY/oX4uQGgMI84JAURp6AGNzYU
WxOyIZtihOf0iueh2LWsDQ3xfGLUwMg8EgVZNS/C7zBKvVyqZA77c5YbsNJLz9L11Do45mMPiRFU
Wu+vkhZIe5MVpIPkDpuVXo+tEkA3TZoH+Lw+fMm2eHuI0tLn8Gw501XOxkTVIbTZKxWR+mlLlCaJ
EiG+rCunyam1HayYGiVcF631piOjM1fBlH4KEVtzFGamCP1UYyXd8IIVwT3f/8AiJIvs1IlJVGkr
qS9P45zTvDuJGB5Aek8jm5mXoVhmfjXIgn1vrX3b9659aTvx1sLcHSocE+Zn5/LhxAuuLgSbB8Ei
kalnYM/7LRzd6UElCDTZTpW1kGIXFdh3glDlnM7PapmyRilkK03RAwxXdpt/bC3fz/kK/EG2nt+L
EftKTb12stmx2bDHEt7Lc54qpZreFvwIAmHCVL7t3U/kJMbPQsLbOek8b2EjLeuzkXprT8YDebvO
lrnNqwgUyfW8DrKJFzmd4Rykz8tI6KmEhXM78jS6j0fPwHZltl5bTeqxxLGoiWNuvy8GAQs4YvFU
IRY5zQ0prUSoiGbrgx4Lt10L5UBqa0d8LUdYGizTVlTAIjnO33O0mGud4eJOAdGQ552jSwyP9SQv
QwR7ReGhdCAnR/WAXR6bf5+NSBgNqC/wEfgTdp3+bI4gmllE9zr0LX0DaOPPfqTlZSXlfM5FPjxG
A1G1nbPuK8zQl2kgOEnh4HbOYz58W128rfDU1vVbQri6MXHCfcXhaxc1zBl2wwUsvrEl/Mx6b+uC
xcmnAceSG4us74+xS/K3kbf06wij5M7SJWlSIdfrJLThdc2neDzWNC+qZCDyPuM8Qd2KxfGYhOwH
G2ccxMIyH7u2j/X7aouoRxam77FDzTiyXC/p0q+1Vr1HyGnaEbaDRT/QOpmwjlQZeJX0fhI6fu/A
+QAERhYOCcIp74p6xN+tlyzDnOiCSK/nzMR5gyO8nRRqrbG9mcW6/SVwauvqUSQJecPG6xQQ3cLZ
q2gbs2YTQ3TVyzR+yQbWneluR1P1IRKf0tQP7wYYNbYHnDzPq4FsWa08Te5goqlbEXY6AbhESXPn
tRHvCDT6vtZMobDt7eR/bFvAs4KHEuc0I9KE/UQMDD8sB2tPy2CTG0gYCC653u8o5vPU/kKE0vIz
cl7bLQs4v1URypGtQZA3ShFkm6GXkN2mr5uepm+5sL4edaKbiUSSPBiX0+cNp7zyzDfUcFW2uW66
OBRVN1j9FnfysgNrIH2J0lPtGkBE0jkKW5QnEFPALKXipISFOiu1wCQCYTV3AxvtuQXcKst5rIcR
RRrSjjjG2poH2ceoqZOF718XbZbxU7xSpxucKviIJa3M1h2hRgpkKFwimP4L+5SZhBfVSGWffJ+Q
UYmW2kaFB+2Bjj2jJ/djt2ZrWeO07Zk4fPRZG9injqSh6ZBaLmCuQwljoVls4PN4C4sbkg6iVziA
icfJwu5JKg+JrDRnZYTsv7btyNa2cXhUcovlO0kWkBlertl2blGrLdemg5X7Hy0Re0lP3Tj283JK
ZaDjMydxlNuLiIZ+WxoVWESGxwHmC+4Dgty6NwOyeIvzFhIhLv/XHAFuxzjqYQkNaCiffk1xxO2e
pcdsfYtEBv1gm0rIDFFMuRe3YL0JTsIp1nGchPEc7qCNGCc+u0At3fG8SYqs2jcjXAereSlc2COc
bPngMmwRWI63V9NBUCjuNhSU/oEMJQmsNq02crzs8Jdxt7DlId7znhRmsTOy5JsJy21icHl7hdZO
cazrLAX3xp+TDWmT7JStwN+TG2KMhNvdJP2GGgdnh1aeBQxOrMcRUqpjOrX3AEsCSndRYsUMSNXp
rWCXfsvnEMS5YzZOZI/4gDKA707t4lk/nYRzbC2hHSxrcbej9CtOPJoyDkPc8lKYijJZslMe9oRd
VKzmV1GY6SXaVxDkCCiSomIGzw6gdHQHIMuIKgvKYafGE7g4kL5WxUvuqz2W22eYLSb8VihvSjDR
jylJ7VUCjutuJTypxzgz9wMNYT6JZN6uN1uSSwK37XkAp5FfS5RwcN8XERgwdTcuF7WRuN58IRyC
CsSOP8VO+Iillc28yrCPmmZL9vCke1CXKBCi6YQKFCdEPogUuErGtrkBE+zfo537ICraOkmfChjQ
aYMOZssPhZCEArttcTRY9ghwPVED7U4oJ5S+Mh2CKz/byB+KCypqcCb72LVneFyWR+fZ0KJ8MbEs
l5oTtq7g6oi+onrNv00WbQ90nfO4XWsIiv1Bx+RBP8xFRpBLJKnZvurdKQBfSvC5QxytlBYFEo1v
GUKA5UOLkzfIG4k6/N4Lwzyin2N+yscMAZZWr5XeTQphGuSUmAPg7GB0Uyzgyao82roLNF/cmNy3
QPZ8Ia/kEeWuDQSz930AUicQh/lsIrLiOkFKZ1QgU4Wb3bASwNtpMKv7FQGJgHg4iPYuwjKs33C4
dN3nfJjVUXUlcX+FCia7USxP+3cskUjcJJYNT2De+L2fo/ZnCzZKVIXb/dXGuYEysu+9B7dA3Evh
U/PoFEiIBwELUFYun1espvkMWHFMyycK+TBvymF11xSiRd+4pO3/ApgPDzYdNbta2DDU0qn0WfJ2
PW/xQr5mYLyqMvd706lpf2aJ3kMF7yg8wI+O+yY22sIQmxahq7K3pb1uM7VimV92wDEtR9yjcMAz
KqdwGq7FAqLoDGo5AbaZwJRtWouEJDSamUOF2UTOTZW0WqIoWIK+T4wwd21MEd4jaSuQlN8m8cX5
fEPyeFtwlfOY5W9MdUWLaGzHPsnoqHg1egQhhhqF0FeIdpQwFkbZdw029MFBFrLucZ+hAFR7JkR2
Gi0Shk1C5v60S4/fQcRPX7eezKKxifiP091yirn2tdvS8C3HamFv/bYo0UzSFk86VZvB26WpxIGg
hwo0x+t9MvH4FljZmL+XEQ9zpSgvb6Ooi9/D1I+gXoV+TGY91LQv4u9wFMxyWnRehrpP9QC9GYhL
aIwLoF4nBd7mZLq+mLD+qmRC4jMO6XnLXPoaIeXjH6BcjcjLsXUO1QRi7ltfLm2ogH6oh5WXmpxy
l4Li2ctYYcvkJJ1PMx26L8B8lauxb6KqQ33edImSxTFu2SeXOMjQSbzyhwLxQGT6FW0ra6ZviZ7X
r2pb16pDa7SnfMNjU5StxZSf1Lc2cqRFbeWjGnwTvVcG1oiG7vK2tCa6VgMe6kb1Y/5pM9t6swFB
qnEiH++gC+RXESfFKxRjsFft0mbvIt6Tk2dEP1kwXdejXo+UjC3cUa2R+TotF0g8udbFlU66JWvA
1qJwmvvSX5Y0ttMTSIO+URC3kLjWjNUySQ0SYSW9XcLancFT068dD/5ryTeKaKkhsJ3T8TQXE/8P
0AHSsJRtLwXK/QtlnL6vrR2/EvxKWkUeAxcn0Vc1swIhmai/CNCWlS/M93Vet0dhSEDOdFsJxXOw
P5ZtNKKioWy+YD9A6sUUGpGvPL2FihbdORmrvwaIHcBhcVCR6H6Ddg4dXV+jYmLPQwfwqGZQ9a+F
WGi6VoObQPL9CAbqvzqNAnqQescGNc62gdHNQ/4VJ9p1Fk+K6ZWliJ8BSPcnjQi1hN0vwY6ACPNh
mCW8BuTP1k8shMPsdbE/zN5kJfBAr4npkHW6RqAqbC+89y79kS5sHa/A588bqzlTZAOsZ1PmFBav
scze8nmGgT2UtAdWBHyQ7igbCxIQVBszRfy1ATHJ0yoDDXJmbHHFW7Ysh8suxTh50Op52qFFAeq8
ZYZKGrK2PUnJ2tVe+xFl/HD2ARwJHhqEeFhaBduJ9ReRUch1k0HWz9uTFi6MXVftfTsCcED+nsLc
wBwEM31ph3Yn8rNNig1HmD7xmVKva+G4HRq3pwXOfXGW9H54GIZVm7UBQl5k9EREYrR8N+Nuaajw
V9DfoXYrQ0lW7aLDynDFwYIMZQ3F+rgSlrWknC5d620u/zJRu8dp1fMCEf4K/eXyzN9Gm8aB+XYI
mk9Z7QnYXfsvDMg/3X24hmjClcHfR6cUmHTwZP7pzfVpQOap7fOf4yoOQ2PGbcLtn0fQzKh6V9hS
/2JU/hOsON4RqAnMyoNvOBqr/OEQQ5xDT6KuXX7NH+9o+1TgoJWki4JfrfOOGVVvlvgorrse6Tf9
L5f8h1MKpiND+YA+M4QmSHdAa//nNaMqXaRdrHjLIa/DoREEThViXNxgLa0pkrzHA/DhDk44Z+Jn
5jd4ISg/PBzvtiSTZ+OSf0cf2PHm/88sPT4cWtIBOUBgMSmgSP0xPFC6NXa/VbwJBd4AijBO6+w+
pl0SbhNtAs46JQ6J++uMWR7yCpEOJzsEW2OXPbVy59EVVh5k5tQhsTwUPTotwU5idkaqczTpYWSv
Gkc16EjHse1JqGHcX/cpG6FXkmk68J4ePjWs7BVBf3wzQTskJFRn7+FyJyked6TydtJuRSNQc+sz
1CSP3xqhbgDFkr/fvizaCJHdYvXgbasVniQ+eR8tB0W1iXQev3sNTlycS6uoRS2x7tudUiN8HmQl
VHxwi3z2Vy0DhvRtKRbOXlGqUpioedGCyLJwlQFz/Xe3+p+Pw+/Rz3Fsw8REYg3Ng/6YGlgd0XME
mu4bcrka+6KPSY5ixq3DOl2ja4TDFP3v7/gntxHnoDZiGA7g90A5/fmOWhHduTlx3xIUnZiMzrDD
G43hzQNzyqyElw9RHucAaI1m0+19/mE9/vePcYB//5h3CRo54VFHOiwm6MCR/HHlewJZDLrl/Dqz
Zd6SaltNGv3CIUqC2+hQwtGT4vnaP1pksmECC4C4LXogbTEgdaTU3YSjT9xKNO4qMgSQ1VQExGto
Zp+2AjxxLdPdr7eYRNB4BlgEh1PFM3pgEVjR7dNqO2xP13wYt4ORsCxNPsVxnItQJaNKvP3o2PXR
m/fx45H6/9NdfxIgaEVXEIBZuGpcbQJ68p/LwJjxbnFS5y/WLAS4H8S6GLif3Y95CxSZsauOIhEj
UTGXh8YA2P6YvRE2xeOpQD+RmD9znx3fjGUPL/iqF9j6AZNIJLHpWSLYhS1lT8OIp467+aAPaShm
PJ05lXiM/uUm/jPvzBBvLQCAAO9IcQfR9vKP1VzCh9/XYYmRnu8SPFubaI8PsEWJOR7d388xGokE
fDbe+eMRx1p5LClKSCA5UUcBPFKfHt9a5ajH70Ccc7RqcqADoG4FqF4PXHq8qu+S4xJDO2f6PEa5
Ss6iUDbRdQBZg8v9l0v757ZxXFoJXByJcVqQFK1w/7i0DcJhPpk1vCSotTD8m5KYWvu09+uPjRQj
9K2woenUax4vB0k0RyvFDfHZPLXhtM8Z3dozOiAZ9wKeT2E4oAgnmH2J3bGaLH1UYooxN4ljdTNY
Nq/6GJsPzslgt/CG/cYJ/gUalWIoYAFjKLYth4xQp/Ae8EgcoXz862N8jqVw/P7fB+GPZ7QAWAUO
LUdzCQC65P9AgdTtLAuZjL7YOQfgff4AAeOu8HasweBiV/0XTCr+Yzs63pIlKYkJtiXwF38iqmRY
AdsJn3/RhmKGQJrbMKFASWF82CAYslPcRXCJKsSaQHVcTZYvgLuw6GGUnPLT9ohUCopE6HqswGKA
B9I+wfrBq3CMxYO/+QUb1d+3DfHkBUPpp2LBs4Kn6Lgd7eiPGwER6yjUyjAAOyEopvFJUqhd++uY
wVH4NzoXPSH/uSbi4o9NAIsERdD1/7KnAOc0jGD4HRCIsgkBTzMiXc0d4u8PIAqYCifZqUwUaO4V
lwPy1Er28oZMJvFpJcCFRbeqnSN2Dx0CwRDp4Pz9gAlPrhw3LGvGHDHun2yYdvU0r9mM9u8QZt0n
ZinBKbsYlhKxegQgmUZjCJdCkVCy436tspnM9C4hipYNpKmS1oPfDEKoaMUjkQzqFquAWrR+tHgY
7K5cmBBmSAc2nMuYGvacTVtgkGQ9Nc5cROk6ykG68RYCUgdcaKrzfXL7DgAYU1GgvA44jkNbHbKz
LfMWYvoc+f2Ly9a4fzVsaqGysS2mdQDJu4YKjQN02ZRHZKtuobNdof7c0PGRIFTOETcgF+poF5/R
MqboyEmM68xeQmrbMUIyFUDTFw/ma7uP9LZET9gxcvMzVVmmXvbctssK232lnf5c+n0aL7wHB37e
YdTPiHGMaxJ3dQ6dWBbvdIZB9LOLwf/4BlMlyF+l2ZyDdzA5TQfIJ4tMiwbEZIpOW3yG6P4ABiYa
xwukY7ge3a+uWBIE+2tPk0Kx+z1ZLaY03H+kh9ATjGwZOS0LIl75tSl53013S+pHgGiDbTdn71zK
274/c2BLJn3iCzTF60O1b4sz5kqG5JWw+6GjTrroXQnjmGU4jXVcQYy4dq2OOvQ46GfsNrB5oD2G
xorepF/XyED4vMbkcBGvHRQEkNhGoOoq0XkrQW+fT1Oc5/iyfXwz6hFZBNlWgn8GwLRqJt93g7ac
9mbIFJTzK+qjKM/rMKSjyS8g7ug8VSmzx74IKq3H5bRJik3lu+cBLV2REevKtP0UnHAif0TDNJxB
z/mYRLG4Hk0oC/spAwPSl5Usy4PezhU6R42vect5tEOVmzRGKgoSS/Y9Vm3ZpbdRwlU+3dFe9nR6
HAYHwewE1szp9vS/6FsSHx8pWJzI4xNpu9DLhsCLU0WzINeULl/jFiqqxIke2cwX0xZS1grEMEY2
LkyPHaSG/nr8EXx+lCwV0oFHTY9wNq6+Fh08o+w8dO4YsWTaRnxZdbdFz8ucH0s+s1tb5HXpthUT
YIcOnV22Us14nfi41A4YEYZPDsfJCHuJ5ni3qaMQ0BcoPbgvVLAuTv+ikz/GeWEIFW1NZCKFWxEt
QA3YL7igJU4cqu9RadWuoCGXdV90qYlwB5mR5nUbFtMvGK+o21cwBTuj/r5A0A8fpcedFjB9MbPw
Dgl+JN955I8JlqnouPNQ7/E9dDM5hsZaBIxhcm2FdPgMdtF42/rv61EqSeQ7ogkdvpeCqUPwLGW8
RDzOlUDlK4F8Lsbi79nDd32oCvkQHRcHa+f3YCBUhLn3d41bpvvBU8aJThGqJr2Knv8e6ujj5f87
yB+vA1ONxpN5DDQir+kCN/IdLShEry5IaQdctIx3/F834CNC0STPQJXbFcnQjxu17hAdoABsAYzc
NZThALGBjvD2M6TTzYpRsvE84SWxKCk+FYBwbstqJOEoets5BcBXQ0QgEjLe7xFc0dwTVyg/rqmL
e5zR0JVnyRy9gghzcMzk49Z+TA+QRxPGJ4MyiC9pPh0X77PQYZ62FLI1CgnWZfhmWEEJdC87etia
DXxilxzD+zGRdhMMPiUu8vgrtFeQvHE2yxPMLr11x0f/GNBodzv+gZQZmgacIpIu43ANqSH34tKS
NMZvux6KtL37gEeFdri/vQVy+U6zdsH0gWU4HxevLIrdTxr08fEHEcHGF2bRBhUjspDjcZj39Pj8
i8nazr2YI3bdn5cWgO1zJxPaJlejDjndbpOPudIPutzyy99DDm9R4eP4D8oUO8CKNx9EP2KftxRk
DnlB5TYUSBnLaEOrL6LR1xfW09DBfYMDK5ACmeBLQk744CzzFbItSGPsr/jeGEyGZjsjikUfbpJS
T3692tBbbZ4R5WMTgtpct9CnAEAi/Q/YT2p8QdGYTg+IzeO/AbRv9pYSR0HnSqSepgcLTxGigFMD
3p12UKJes4WjK8OJh/2Y+/BNs0OXSqDkgbBU3WSK0zRji51PPlqgxUKyxFblv4FeHbDegCVex/Hq
7+ANRO5ODWfTTTjv/ghMsyS5EkOH4bgkv58ZNFGeMOoawBHfX5OuWN32AjKqc9kVbOnj0n3ZagwR
2qLtI64IXfR0esp2cgCqG0Ri/Ix6ccwakP3HFP9ImhR6dPhtauLjerce3W4Bk2OC4/WyR2gkQv59
hy9YohnsUqLJXh+y+T6ByIxXZHAgMaltajSyBx8iy07TCVCyWYAmx9ctlzv+xv4RUuA4lgOOlikb
oT2BDsbRd55xdlrqbYIwkd5C3z+ep425HnGldiw2LJVJxqFDP2hIlBhmnPWOwTN9ckgFsUFMfXkc
JmjfEFTDhKv85lCeISPp0IALjUzLZDjiHMCesfwgF51kMNwA/Ad+8nwAXXrOnEgn3UC6oBkD94kD
7htr0XkYFjf2atz8PWI7rgrcxrFtzCk/xhyuH8Xk+xjJYQNw8JD0pAd4DR1x5vnncTcuelYopqEq
7LCoszest5hfkUOjzXAZGDmuAfBxhMUfx8tDpZrghx5aALoDOvGWlegmQt/RDjWbHrJMigAWIobH
GP0H2NvgOcTRMpnSSk9ICqGF00Rz9Yrshhu3L6SVQ9uCUw5J559cjtpG/ixtbyUweg7wGmwyQPi5
rKN41+PrzkzM1spgd4BfvFG6oqbM8xQcmsEsn4cyri2+CccZbb2Q4fPN31fycS+lAMWYgmJNDhSe
/2bV/4bpS5BDmHWo/o+Ht9fz8QowURgzPvwm4lNKIrwC6MbxQp5AnZhPOLkfKbB+4gKPcotqkT/s
W6DiBEDjkLHxqY6f/D1l/4bk0/z4kUYdkL0dy2nU1soH9GKqaKxI8Wi6vEWrBEcQ8n1jYedlfO3k
cjzlbbQfcqBGog5fGMqy7RpIOeY3I0hqPSDhcXzy8TffXX68UapKbGkwAnCzP05sSz/s+YE5wnz8
PH4sWODXjr8sC3rEdqJJHiKkRm8CxhpEuuWK/rwICkTP5kMv3Rzyjvamj9ujjOuYx3vkdjo+lvn9
wEXriH0EQOJvCl3ERyCzgdN/zMn8f9g7s93IsbPLvkq/AA0ezrwNxqzQFJpSuiGUKYkzecjD+el7
UVllV6r8V6HQNw1024AND5kxkYffsPfa4WxkycqOFVP0TZzmi1Hg5xeCY2Y59DLPWdwFlhJaehEb
Zu56fzP4+tLQM8vhfOAKZr/HRPhPBhzANxSnmTTuYlATvGs3ikbuhqHimK01a7mD4F8vd1ef1Mt7
/+teepmj/mHOurw8c280R0sYFa//Zc6KPLrSBuUyqvp5NKbMgJfvH2VhfvXXL/XFasTdpCPw5bUY
WfGvztLW/wEMOHhZzbJXlL9fI3oGPjSoZWhZ13CZlived+JlCN4lKb9whQyH++S3w/Gv38uvIwRb
17l+PMGw33FNk+vc+PW9hL1pML5No7tlPu+8JLZY6nF2ZS70lorS+e++5z+/INYfBgeO5wNRsv0v
c8UsbnSRF3p4/ikgiTKe+Af30ybz25391x9QLGO7//ywyydkdkvWBAJZqFVsN379hGOeWlHZ5s75
txNjQO/JRTQhwrTt7WgpD2W5DOfmthvQZa6LrlzO80+7lKZmi+fR37yjX6903hGtlOfz8EJlzc7p
q4Fw8nVtcCezPkNjW26qgbqOe3zs2KnW28TrE34C1h4Td6Zv8nCgtNDi5Y2wfKu7OehrOvutjRrb
5lGOdQRCOGpy/u/cH6G4SqAcmnUw/HT+yZ/H7F9/iK8/Iz+cpZuke5BjBDPmK/OX527dGpCZrmKV
LSfT/FkISWWX3e2keZ1FXNS/EWb/ZTr7317P1vkhl38Ap/4ynHVHqhHD07ur3x57YxSjw9MrTtYK
j0wS/aPRmq0z8idSg8/HSgpk89fjwEQmLMo+SXncLBYqiuTl13CznPuiVPXywPjrD/jr+cN81mf9
ZHEH4ty3mGh+mWcighqThqXyHohek9kBm1HXfHFAgP/tLfjnl+KnY7vneBadvvv1sxWhUUxd5ET7
n6VIbzMd4TqCksS/fX6qf0Rz+J/SK/4YXvF/lJWxvJv/y2IwWB8sB9G/r/A/8Rzulkib/xW8NhXZ
cFyb/wE6/PZHfw/CIB6Rv4plDOvJZRvzO9FB80y4DTyvGMj+TvH7HdVn/wtZE7Y14mAci9aNa0n9
jNAxycjAcmPDrYSFYrDy/idQB0Bcvx6ubG3RlnFb8neyMuFW+fVw7VBMlk2aVHuW1mLY+HFmEhVQ
QgKLl12eU0JbDcoo9W79xJz7lZGUydXgsBXs89jz1o3ZCWiSifnkYNW54cFf3vXKCWkgxHgjZ3OQ
e5cTcC8btHwr7iH7IlkY6m5WVghuxswp1gjR0MCg7vXNEzDu+CoTFVD3nMfvsZvrvN7UyOSQf00T
KOasc+JxjbOn/FBFx9YJSY3FxkJZsB/S8SaLQ2hkFfbJDTIB89iwAywQgNtluuakM+JDPyrsedXk
XBq4SIiRMULz0KHDpJBnYwXaVC8BW9X9s17wpliAhu07ryLAzlglQ8OwK5W58hBzxvzF+bTxJ9s8
jCF88YB5ZJVt0NkRlgDNw91AgSs+En7wvR3a441T2kO0wQUavs2OzUw9Q6P6JGfN5e/lnT2BsVBP
5aBnZ+iE4w1u2Ph66MLyXiqvum5V008XY41HZ035zu4tjF0PBVGBjSfQBePY1RxL73bMeF81hFfq
UhGGBYqsBLW1lY7u7ZzM8kVEnncT5uCGYefxUF+HlBDl2s+Haut6BfCj2T2MspDXyGP9GxsYQXxK
kTzsFd/ftq9q/4R4ut7NcTyc4s43tmPc03onNvJ3IWrvVgP2DUo8Bhc7efa+EIBjAcGK+7DKrAPK
ZvOo5Qkos86trrOm5qCerWLaOG4qjrB9hqDOs84CoGvYaj9rRctnFubWLJP6+wBk9nmhBjxJ5KVm
4JNP4QS4KdUbXZa3wTUKCA91qn87yoiCAXTuHSDZ6HY05xGsEBW2H9i9+ULKhlJYJTWb7i7Whldv
zlB0K+GfJGq7aMuTPDpaY1om+5CB2nzougnieYI77GSEGgClwXChNOmjV1Lkm37aHlBE2sxYBtmd
XXJtslNsjv6N9DTBypCp90MpJusyxuc6RAjMEfKuPBQos41jBHDZLhon3Q/xD6cDG1ONL6LZT3ZS
ec81qMyVBm+uDlAUmiG/jzb0K9Yh7LM3kBi8LVLC2ej2mH+09tg6SJQOeV1PyZMhKdeONv/Afsnl
882F7Xg3DQ05Fll4yUOrv0j6Vj3FdXHFEDA65WB//R+preH4WhlmUVnaEQCRW65dI9cfWLegqpkn
jDdzO29C/JFbneHXij4up5WKhsekRUqo+XF1qVAmodZpz2kn4nWSSzAbbsqGEPhVPDw6Thg5e25v
7b6MzHAHFWtu6H7MQgYUwRI/goGECVnCFpCyit7skvewn/RkxIHYGd16akdUNp6eHqoOVREornM1
o0NOVXhIe2SmPvqF40BVvnFHVL9Wi2yoBg1GZIb2ZgN8rPOwCepw3o2eSHdTYgjsOa3LNGK8a0G4
rGkld16b2o+MRPDtdV2HbaKrrgdPh99kGqu+gVevLZLfyELa3tPLclQ40TYsVaCAJFxAO1Pv8Kzo
Lo3wmUXtsB+HOr8rHQjUaV+xcl3kw1au+huBHH5bs5FGmR9PO4uwrKT2pl2Omy6IY5UD08gEmyD+
lADaHyRNA90u8+bnKoQdOeXu9Syby5ZZUiANWJeZWWEECEv8vo6mXzZNOFw7Kvfo0qvvIBbrXZkI
b5OEjB6IfEuBVNkqqJiO7OcK4nDe99oxLRKcYgAnV50bvVSJgdZTgCfP3Amtg99V0IOr5gkf3bAH
y9c+pF3TcmEM2i5qxo+ucfLdFKfTpm0Gcd8LI3wxMyYAK1hi1rJIgd1JwrB+6ByQ3nuzsOyLsk5Q
l9B7k7UUVcjwusw6AiLLg2W/cdvJ2N8laBLWabHsyG2r4KpwZvdqUjVm2j6bk3Tj1Ul79vElP/o1
CkmTwc2GZ298Nfte/b2ssgqAOO6yb5jyi63oIN5D6vG2hWrxucy9fEYNrD/5TaRtWsYVQcV+86r0
jOoCX1KzL8zCu0V7UV4qZ9Su0VawFakLzER+3W0jBU2xMUIxrrqxzcQRX0d08rPCY0NUoi/N24SU
tMwA7byqnQRO7IDe02aoGfSGMK9MLI/U6vGIqUSWyc4lEW7nSixmrBfQXEIAodfotMdW6uqJK66s
10k3yAvdbM5OmFa3JPLoV2aalWuv5Zvuci4Da9jqOGJYhpGsZBhsHXtloeMM3fTdVFbx3hUNYRnM
q+ld2nCweQ4607F0eWIH6VTba8dOxEMVd/059jPvDXFktJE+FoA6NF40v/sAlhZ9cwxnXGmIOnGm
2A8lHdEl91TGZDvrV73gnJunOnyIGmtHCsoLAMUfQBjsHSuRdjWHM6DWZPo29ZPPcLiinHeb17rI
2Yea+iGLx2zTCEO+RyEDqyzVsE55Zrrvja6sAmOeGMo5objJFYjeTA3ZbSmcqzJqyxM5HN2maA0d
P1zUJ22AbXeQGyWK+Sqiv97IQr11iGnJCqKUor5IZhO5p9nne1ekM9Z2nWGDvxyuAF6XYqb2ghb0
+gpMhLmJyzB5hQBwrxlOtTaHWn+JDTfZVyxi3hvRnLtefIQgwr0mwYOquc9lTrRObbfJbsx0nNtT
OJ+k3jGuNOvnKkKGPuNlHMos5OyUctOXNe4n9Nb7dJyKg9nLg03Hs0od8ZAgjzyxkgNpkjhiy46T
PIAUNLPU013T4++u2vHOmmOF5yguGdPYQRen81tL/QlKBCgy2Tp9kCgWs6uwMAGwTmW/sZ2qRaKr
iu3YVQigNe9HGBnf4NyGzzqAxWvTJwOt8OzbWrRcV/aPwijEIZk7jGtxIi9kSXBWVxvvbjEE1AVv
itFKvO54S2yC1LD3ZJiuFMjYTVJjFuo9J95RsbhnoU0RiY9DukWSOl6zFAxvsD8fG370Kmd1FOu4
mZUV2K7kEhVetJ7i0Vg3IhVXpkwfmFQ5RJ9Bz5NDYncr5ArVuYu7Kkjhtbu9w6eLqpXFIx2yqXLW
ypnZySW7pdisRXkNazVaVmTY9aoPO4n2NXumVazp18Ber2dQqXncqqBRWGxl8dLkPiZ9Nd4PqruR
or2GaXpJtYZJy5mJw2jDEbtll1EDgkchejFe4S3CmWebpFyugALYpzLFPOwUdRnEsFyNybWR1mfF
fGPgVfqZtfCPGr//J/MPaa+Y9/zPjd/lK1uFr9mHP//Q7y0fCagMAphy6JYO7uo/FD/N9SGtM5Rg
Rqm73iet7/eez/8XlgqiCVke2ZQJOtqV33s+918e4zpBi+IyQAEl9k96vl8FQDYvz+iOoRokLrhv
zle5Lsq4lMS+bN67kbBngiKs8hSN0fRQCG7xCG/E30iOvk4reEHXdOlZ4TKZSHC+DEbwlrFfn51p
P45pc6trfR84kEd2f/gR/st86deZ7OfHoplaGmIktn+Gzre20pFWxuN+amuEFcZY32ZVw5kFk3PD
vC5fCdUMa6tOtbNiNfLw1y+PeO1rJ62zBV/IciCb+JK/svfoCDz46W67hxCa44tlTLnFGarvET56
pxHm3XFMx0bhiXfBwsjQDBUyvUTjBNBN+64C5x9h6fSmSzVwOAIKBo7iwecghS/j/4u5nubKzDXa
8BHRDnTUUE2s+7xp+qjbKTubqZdhV/bmPcNGDJGuUx8LesxvYVKzf+uLz8pJ4FWBs0DniZJy3uuo
/+4d05BXzZCJewO7ww1HfngcHCVfvaJIeFpX/fQRKz5RX+b9Y97B5yaRtjzh7of4FSaeYAhqlKc4
1KsXdobyWQCh0envE/+kyIjCFueEZ793aeF6JfXqwFcFuypaptvATyzL3PHk5WPqrjI27pwYPGsn
kAlQ2a7tei5PFXsRlPQRDmjpJs1thbeS8tqFvZ+2rsf+J57R8Yz0aHoxrM0waY4ZnrNbVbThce7c
cefUgp6knXk7Zts/pnrRP9bp7Nzx6xgbxGlAhgwCzzpnrH9M7NDhTwquoaGcHuI2rJ6hoPPL1LLU
987gcw8NhCaZbemfHIjx+xpGycfQyelBb/gjEO/Uk1NxaIdjZB3qqBX3rK7VUwqh8rREjp2KAmsF
tq3aSldIiSiAnW5mW5PnVB+SdE1YHcamqo3sLJ3YZ1cXOUFqVM0PK+Q/RhkYuSBKDTy7mO/I3EU7
AmGZ29lDbLFzki4/QK+RV5MrB7ivaR6vFX7TcqNT8x8YKXirlqklGCCChTQRZudoAM3neHF9xRpk
YeJG/TtyiQUz12bbgggpDg1RvSRj3T+GfjVfYsfjrzJpTyAJeisx8ol9iBZXIWK1wNFq+xrZXR9Y
Pp/FsVKETD4zgT7LuBR7lG3vIkuARSSGdR3BMtug0MBOib9xXRBCB6gLeuPHkEXy1c19OxiHME3X
7agl5bqKQ9zpelj/gPo3X5ZDPD0YQ5Hs8HFmoOrrbEtyQvumUwjdwxAf1oSdzVuh8d2qiN8x7Zav
erlE83Ls39k8Z9s5m8g8rmd+Ccup6LoE1z8EX/mcR254zFX2PGiqO8ZJU1xH3gdqYx2ftYbvna19
YRxiZb/oBrwaMgy6x8jg2lxio5KdoVfknlr5C+q3/r21XHkliXw+8Po9yY/8UA6WxG1YW/JaFqZ1
7beDfd1NobgvEyWfO2quF621uFpJlNzSSlQvZmGTEIio4W70Jg8SRuphSimH6hUpkyqDhPXsym/8
bP354byYm0BVSjtj9Czb9cjy8nLwJoZQSsvOU9XSjxOwDI6jFeGR/UsROIOe7NvKYEY1MpDa2cy6
f0hkL/xMBaKyYIq9+psgDfWU6hMjdof9xVXrGJFnPHmZLzLnua/Kof2RQIB5TkRZZLjMzblEldvO
GpHOuj50l7RQoX0cIrOzzmY2TavaGqcH4U14F5yO0hRYWLOukY5suQ5ZnrToNDHCjy1HU1dedRXc
cTga/tHSspuWPe4t2JCzZnfwxWSxhcFt386NzdlJzuJVY0d3oR1eFdgx12RyRfvImONDYWQPiqnu
Bqh1t+ms6TvpdRjK+u4ti43ioJURdiwrPqDZiFal6OSpgqK9yW2sYgrB5Rvex3oTJQobYR1uSRQQ
R4Qa/lpMjYvayI7WkYySK0CT06Xmy37C+RoeEbMctUzSseU1pjDph/XBMnTCBbQRU5se2ZjeMuT5
RZ5/RHJuPRRCpbuDvzUFvlWep9JNNgaW74s0jiQdaDpsnZgbtk4LcZFM4bjp8HEcZjQ7Ab5L/aCj
rd4jPp4C2Zrephow6UjT47YsGX/EOinAAO70iwGx376LxB1TXH/rWK46iRIhwsbgu/+BAWtg9Fb7
mLeLmd8QfB4xqoZMXNyyuAKrsDl1yoDIZOjdIRp8QQPnO6C02Jitp1D9MCtEq5Ed8czjAe7B7uAx
FxtjCwvOqc/LGmsl2kxh/u9iSNqZRriHN754dg+0xSQrtwS1wRAvy57xY1YueBpn2uFahbnrIuld
Q7NFQdpbJqBns76lOvO2FsMl9yA5X/X1xCHCMChDH7qS3FeXzF/kxUDbSeKKbhyMUaq1GcfcVWqD
h79elcv6bmqFfZROMz7MgwlIPC0AVygC0fK12WvVkVnf/ApUyD4YUzHf47+rogAD/X5EJXcAdTPd
APOa133Y1ceMYIfAMfKCy52WOIeNs0EfZN26ysJ0E06iQ7Y1MMyV3rbWYO5oPmS0AQXGmvlf+s11
SKLGfzeQDbIMZ/D1b4n0QOQRkfcoNJ7l2IkPCT44E7Fjv460yH/MvUjsGMSKjWNW8cHr0Zn4Q2hd
VoCywBUO2rnAXX6FZms6QojtcbvZfmwxX26Kdyz4V3E4uyd/bA2yMwe82ivgh/a6sOLsUqpZHGSM
EpHgGae5yOfQfIZQhXndtdHsr4wBSn88of6hUUv1d1kURU7qTemMaz3V+8OM5iWQhdbsACTZz0Pe
JQkRMUkK0y0ioM2EangplNXP0UqUZBs8+72OJBuXS8KKsVTMksYy27qx3X+vUgGvBlUZdYGsb/FA
5WsH+1i18Uh4uCDGZOlxJzd1ufyK+ABotTn5taosRCUK9xyChmQ/khiiAhYn9vUEdHFP2yy/G0x3
6fgkI1B+Gx23PCVSmpo8h3Ix71NbESpihDaHs2zfPIBSkpwPo2JimikeOJJT+KPMc2xYkxaeZeYu
90BGmeCGOgHhkU1othsTvVnH0r6ek0Q7a5WUfNzEjLcdbn1vHaHLArM4FTFxQ6P8jiF+lpsY2s6V
mHk6o5kjFOOz+IKXwfJGTOoN1UzqrQ30I9TJ5AXScE6TsaEMRU8BqEatloIRlzTBEusUvtTBdJ3y
lOO53WPcHdaIlziMm5TgvEISA7yObcXDHVGTdi4jv3tMUG9eI7fM1iVZiVfR/Pku/PqbSQ5Hsgrr
ejmU52L6ID+PWSTp0fnBr2txwzFYvpnSqfq1FiHwVZSJRyda1klFw9uZlJx2MRC6xzjR+e1ErXll
oBfNtMPLMl3ofcrn7/phDclm2lUUW89SsYlAuUj5CxXk2W3H/GCAzlktrKR7nHHThzdJZi9zWEFH
QegskkFNq2mZ86ywqeWHDGD/7d80EV+cjEsXg4LDo2lkM2Q67le/D/JfU+ZM4/djzVlCPIVMN3Xh
T9tqGrkqknJY++zJPnpj6veJZzIIF8arl8qngYn5JgGdtdHYL4F4KapLkBPWc4+N+JJpVXahs816
MSzmZJfYiMr+oolj74BlK1vrVjJvk5EvEqpLSnJsYl/rIgbAgqWD9MPCP/HgnrfliGvRiqmimroD
dbX8smwItXMfNc6dBk/qo/BQoa6M0rKgKSiubUQ71BsDfruu48KJw4paiSaFehAQCmJBiAgl7JqC
O+CzRhrLub4tczYeK+Ev5VJGIUXUFFEKJDjhLMzkxhhDeZWZwjulXc2zH2pfAJKqf4xmjV2Pbxv5
C7vJzDkimHTJegiHiC8pSSKOAtWOGzsiRTPopBnm2t40CVZBd2q0bBHXfKDSeMQnI0i/NmV2cJ05
jw5kdiTrcF7+i0WfGK51BTQ0CBmpeT00K8+4gDut3twcGh+nILVUo8cpWNQw5hNHpU9aDhd/vMpH
SijUeTqzUIor2hh9T9fDpe1Z6klPKfENrN+BsrUKB68v50tQa0WAclx+n9IuQzjOYLDrearp2TDv
w7mlkMMaj2w8yV/chrp9HoV89oac3PBmSuDrLd+dnxGUc5xnvnxudu0MVdc8CG7Y28zsk12YxW4Z
kMSTH1rbq16ZXVav1gRaqDVyAygZFqit2XrNDR2Ad5pqGK3dQLPl5CU7y4IakuAL84CdvHppl5q6
jP08iIuWFZk156gMp3zomDJGxaFRKdVi6ZoYSxL3tjCb7lFHmboxSqN6taEw7XSLylYKupZ1U87c
eW0l1JOR0sjXdS5JJUxIoSeAo3rF8uGt8XhTkSLDat2gsmfuEaV3JdsRwf/Y6nP9oyrRi6J+zleK
qhyutzXvy5izCPkN0xBj4FYf/eXoWrzwW3tyl9WqUX8bJtc7iYH2FoOIf4qEbI4JieAnh3nxruHg
2pW6YQeVV/aPHnF7q3aYkp23dN6+R5lfsJLZQ02mM2Nj8OFxl86gz2f5zAr8ph9diam/pc0BhXEt
ShhsxRA7gUAfAHJ8KViWdz1aPsMDL6m4MKp8+Q3MIT+I5VYd6WR5kGQDUM9Evtj12G3Hpkgd3JmD
sen6hI50aRqSUadxikervtXLhl+mwpD+9nkGyjIqCQeN8E1mSM7QRzYD/bTp8FUtzWCVu9PFHDnT
5dgz1fi8DI2R1pfLu9b3Y6dNl1ZEp2mqqb797LRLk8sHcVHOXpOOtSaO65DjlCAWgQcZCirv1IVk
r3y2ZVqk8TVYNR0Fgx6++mWAMifetM0kjfgQxx8N8MZLZOmc8SNmRWx/IzMIL2JqoMsxO4PTHIHB
xBk5qRCLg65yx5u66xmKlFg32MiylxxnPtGijKZ5nrkFKyLL7g1yxxm7YBoKZKdVG3wbtJEyQheB
DZPzZSzsayNz7DseNDowHKdXT23aMImZraz+BhmIAYXdDvWPiGXpRoFIf4AWT7+MUPwA+Xep1y2O
NTqp8PjZIWsejbWn3LIBVprwNxXkjm7rmSPOFLz8Z9/sYv++HDNmZmXFdkzTtXfiAZYyBWY1+MeC
h1St9Gz789JMGBlJi5a8rER4Rq1XnmQFGw0dtnfyWlV/qwSzC6EiZhndUqPgV46ve4sKN4j0lsNd
M9RblfvVyxjhvWl0Vv2DyzlbDTFfYWzXzQ+9NPlBsoxAQkXZulGsgPbEuvmn5Xqum+UYVmGlLnKF
xBkuqkutkTX8cb+tsZuaPGjjZdo41OnyFKAwfhEel4Q1d+xa6rB6xcAWXcPMpF3HOhQ4mUXhxUm0
AsecrcNl6vBZVng+k6koK7NzQSrddgYzsXbQE95/PhtEy+it86L42uXIp99neNVrNlLNSIM15A8+
Wyqfb7ieMuN+aKY+8AuLuUVFBWLRhjBtT8U9m3a1Sjp+SIzf+WHK9fI0m115sg2Kh2L5DWLqpWel
hoY01bmiKBoEpxn43sdpoDyRGXMRvcqNe61gdRdyjn2rlCefY7yIR/pGJ/gcxeBssQ6eIcNjVILp
TEcGGYrTREKaUNk2QmXLRnic911LkVlwY+9a02T6VGGyDCa9r16IWWIwiIX7EdEHJVpLwQLiYFgb
DPU2POy5eD6P2dHl26Bjny6ayoqe6KYmuYI2udRxaqT7b8zxpqFZfpAu1RLmE1rFXvV8mUA+dnHP
fYRmkaeW00tqa5NrTUMcOuIifDEgkSdgQ+36OEB8fHWXo9JEQbxpiCe5nj0DkY+T2EwbNLUxsWpR
7tKqck82TAXL1p0uXcAK92btdu8uJoxdy1tfserixk18ij+ZV/K7KhpKjprt1AGDJcWjRDJjuOVL
39t8awv/4QAkllulz/gOgGdThfZD/Y2qJLXYxE5sW3K98qlbOht9k4YXcwWFoX8EdomyhI3juu/4
wSciAy7Bc4Xnz//4eWNORcojRhNd88OGiHaWPFQO5dyONyN2ti3MumSHyIYbOrHqYwTvBPER7sFr
S7ozLBE7mS+lM1MJIyrdjir76Ky5ApKpaBw+B3Suki+WQUcwLFUAGFNKYaA53Y4Gjk9M/i/A833n
Wc9zE5EpvEzAWxrZDYBPXiwDoHuEu1f9jeJRLJP7PyhzqVYhExiL7tgWaI+/SoG7yoQ6k9bt3iIM
IA4cgAfXLijRDQ7J8DjB+MJCTfFNbvV440YVPnplm/uZ4iAKsYBqJfl8ykTPBI68/tZ16Kf7xBgf
OBLm7V/X1uJX7+9SWmNjIL3IdEimdZAw/6p0QxaTuQD+1V5LUEn2qnTuJkkvhmWGDL6OxoRpBYWo
YM9+n7WK0opRxjGj5nlNJaPVzx/7r9/UZxTur9+gabufdAaP3c6fdiMRQDwDaZvaF+QZcaGh/l0r
r6tP86D1uwZe7prufd5MePQodEAAfUtRne0IVKGTs/rsnA5cVGbucBqEdvVGyJl76zmRBCpaUxhq
TYUGvrW19V+/8//SqSwi++XXd8EtMCz59etsDCy5Ed6qfaQZ9THEbbVM7qke67RubiGms4lgB77u
ORNf1LQ4OIeSvrBr7d92L/9/Vfl3QdKWu1zl//Oq8vD2Gld/lKaKn3/itz0lum8WlSb/FBauSdZm
/9amCuH+yzBNYZMYDTQX0epva0rL/xf6bVZ6iI9xezgLX+i3NaVFKLXPraUbpg2Eh2XfP1lTetZX
lf3yNyxScVZqiHH/FNOTiRCHnhs6V3aMFoUDY6wvAMwxltDwy9ruAnMpMrM8wlFy8jtqXtv/Lgz3
PUZEd2dhV7YDckHuHUeMT5mrJRfM+kZodpj8wpUsHaacPm5WssbMeWrPWg7tZBVHw1A/6Fyq2gr9
eG4WF5mfqF3f52kK1CAGGohWy9sS3FgeCE4yA9LX66CYRLQui9xao7YnpiBhR7lJ/e42k37bLCV4
eMpNKU+qM9rdBAfmiC1veAMP8GIVrfdmgXB7Rnvp7nTJLdMUmR6QTu8cqDteTViLfF4vnojENZr4
AsHduNfh1AOv8rSrkvjqETlMv43ZpzVh0Phs02DMyU4U/dZW8DXR7g7ptRbHxlM/jSerM+Va0PMz
EYz186TQP7RdXa77Vn/KGfc+jPY4XY+0/Dtp+DR2gJt7nVgWsy9urVSr91bXGFcNsPdDB4csABmf
nAhLHA40uckl6RavHEJoKyTpnrZ0sosaDBX6Da3/rjI3PODVNbdZKfL3Ik+azZx64h0XngdqTjXV
3jeSd0YGDaPIZPxmC/qmVZSkLGakFwXofrwXw+iIinUhNYxe9VQkxRNGi+QS6fIMLX/on0OwfRsA
qxAnswR/s3SLcoWXrV/auh6Gvpn4xZ07jxaZyXosD8sV+VAjYd6Sc4e8Fw4jkn6jq5NV7Lot755w
A4bmPVj93nQmKpBx6MDpiehsZSK7gaw2IwFhuBDPVo3q0yADMtFHm1cxaSoAeO0ARKAdZLeV3LFl
zU/k300nkBTmpQFyhJF9OAB7JHKhVAp0r2flPJd0kyyiTCPZkUQHxsCDJXaY1ocTqwPqYrtUpzb0
ZtS8zhBBR8i1IJfShnnTwtCdOuleCIkKE/CJq1+x0tRXTuNTTjUM5Tm3HWzRjLa7R3OcuoGBHyxH
yrR6AlTmwoIkSIepPN1oRuINScSF4V8g9x1TwI5MTDC1VM3WH8YT7q7h5CI9Pqp5Uqi5yFlBfWfE
H1U3M2b1cp9GOHNOjU0K3MwMnal6yoyWCnhlNtpASicDgsCUpty6qe4/sVhH49W4FzIskxsQ+uQ2
R7b+vXdEviXkwvnBjHI+YhPvKUP62NkNjYZITbTDNybY5o2WhS4LHg+jalv5UVBmw3TBssNqA89D
NkQg9yDXkLLjzdQZ841rW9VmXnCljjPiRB5N46CMrDkzx7d3HjOMRxte0i2qNmI+0jBDMuRHTI+l
iVqPTGaGNT4fyQFfgXc594mQd4d6NSPeRvvdpzvQW9MmGbz5AfLvuKIaFdvY1j0iVDBhNq0VXsYA
82/wgK4xqDb3RIE6ZyS++6Y0ZwThOn37COK+47aGQW2MhyQsUExReN+khUF+ySAUfE7pTXdQsOVl
oXrj3jDq9CVBJk7AItKxbmiGA5z2ODyUAF7vxrSGx4KUlBGWflm4SOjLarhFyNqcppToeA5P/UpB
GGa+UoJiLQgJ72kP15E56AzqBXEktnMlrbo8sGAyDuCSydQWqgjGkriy5UcGnxsSwpPIew0YVEi7
YbZ3sx9P74UuKdc1d9ozF2PpgWuXaHOBCgrFTAxI0852oMkQAocc5Loxt2CLuvGhzHVEWQwvArKf
nEt9LDUyDDmIfGzr6zDzvWcYh/F+kgO4pzEnhtpqJ414Xtt55iFIh+T72rtIa5LVhtgMJsfqPuBe
VFcWkuuzqh0RSBizAIn012guYBSKnL0cecE7r1daExCAET+zhm9PTZGfybBnO+w7ZWA2jbwwyHW+
IWyv2g4MPm90QUirAg1cr1rCyDcWVNVdYaEFM0zGvADi+nUHN+89WlR2iFV+QP5HuMuZCXIhI/K2
cWztFGtWzSzaHp7k6CeBJeR8drwBbaRZOc+QCrg3TIeka4RkB3az42UZdxoHVjSwMUqslyzvS1Bf
dXIlwrIEg1uJ1wEQ0pp16kMIGTswhsnY270j2Thp4OqTRIxrqc/egRiN86yLA9UDbscGDtoGkQA/
MAIKf+0m/e0gs+hJ+9/sndly3EqWZf+lnxvXMA9m3f0ABGIiIziTol5glChhBhxwDA58fS/czCrT
VVbl/YF6SLNMS4pEBAD34+fsvbZyCCAfcRMsbpPh25ZLg5gdVbie0nUDw+WdCeeGuLOBXI+sm1ok
B/1WcmZ7XNfxfkxJ6ekqvboBjAfdm2fvGWBEfU5QyPJK0BMJDLpwa5qdAl97LIlXRyBAwFJoWQkK
PWgFx1y5aG/9oYrJvyUwzU9ui1KUB8jM44msZD+kuwgyV9T2iReKUUqNvjgdgGlzuCfFxE/q29Tp
Wb7nZP6g/SMODHjcm3WS3nc4VtU3uDHalablg2Qc/7T69gumBHktmeHezjNDxh4R1MGH4h93jje9
yDobz45bf2ChxixQ4DLoyrw9TOOC2X2tPBdNdyrxAzOCtvPUfkSt0N7jcUDmyc41hUXxYKTCfNdI
ir8N2JWz0DKS6c1gLHSs1sm5rUVenAEq71ur6CKYUHela78qbbZD3a+rGL5Ggk13qp4ZCovDCB/k
TvjEsOPvsPZ6l/zwSwhUsB+ygy8DspKZDx1lW623mW3PN8Ip0y9TwJDNk1h6xFp1zJyc9afTVc9Z
3ZCLURbeU5lwCYNRDhHXB0aosC4TqyoSUONrgs44xFOQ3TEXva1m+ofKVbfoHeyXqiubc1dYdmxr
/XTI+yygd1kmX3F/q4ONBOEruAU3ZAgRxO1kTidg/eO+IjN9NlhXSD0x9inOiNImQrsaydceobb3
C+c/zy/WcxAsoVemFVP6G6/FiRVC16VTXjGhzXy9jZh/Vy+F5jZPFFUlAnSfrd4xEi+kx+YXdy1a
iQPoJHElpXxfu1u6s9KJtrcw0jTK0Q4A6+u9npnprUdrIu7NYjymSbH1PObCve8coU6ZXRl7FNP9
bimwCc/2/FUarLWt1zviMIPovRPMSaPSQUbQroTWOP6sPkY/8Wljd+SEgrd3HURDKXBkd+nsndOu
6nuDMPirSztLp8z9qNOAqZyZ/qzHutsXBMK0ETFX/WmRuk/qR6kdabuUbuR1JeJ7wy6biyC1LLJK
243nqQZKqdnpZzL08HRgerGluWRUI7tRj2VZ3FH3RoSHV/vZdGlEJ4IdFBfmeWUdiNiExS7DsEkz
WdN/chp3oBmBGITbhGLXJSrDyOuesePYx7IqHxxvBXcsIXPfJAlRGF1jFiedW/2VEUB6ZP6TxF4z
wnJMF1meeznKKM00uesYD9th5yXely7T+wANvweHddUfPFrIRLAtaXE15sH4rpD4361KsSBMSBOs
pDTxaKw0p598lYxFsksmUrm+52M9wYmoG3A6z56Cx09ShQNQ54aZeNA+z8vEt9YOn9gQljBoqJRD
usLGijwNPMMUNXPh7JwAHjIi5LTZaRi2B5pei/ohXJF9zgFXSI3gfOHfIO9J5wTNHwpuLBgI/Y3J
ZxAORupMAkR36QQ/3RLJCaQ5B6W49Hv+onYpg6DbjSkJLfQxRBumQjWffaIblzZX/sk1DXJQZg5z
V290nzFtIWTrHffTJtEiCVdvFTeJE8yxA17msa87C+143Z81dDMPOp33HdqABYViNo9Hu0J7wmpA
W6xDh9/alDDmLOswTfPySJQPpHwUADhdpH3u9Z4SwNGtGEGz2jnuUoNzJn34RicI9EXlk/0mgYOo
UOaCRCJpaER8McqNiIkoHme4A8SDDMs7zK07rIh8rXoVqCc1B+luInqI5HVEc5cF1hVSQAkFmsAO
oA5Y/8cwSYV/57MLIx9X3XgqpEGNLEVTn1VdFM+pXw3vhN27nJnkdF2aNX2qnVXu/e3LhvNWHLRg
4PTloAa4askEepop0hS7o9BPSyG7J9x1+rDLW350XAMHgnXfPA4pMUJpZ3SvfdYbXwxB76Zp09cE
UMytbaI6D9dGZ/ZoCtIFyBqlFz/pNx6Ai6cpU3KbGwJUv4wqsx+arPvw1p6urcC6Rnhzpq8RgGy2
/XxN7Y1IBM4bx1/1Vuio2/2CEEHfDAyk5HDyDxyFhpeyH+fPCf8ZPiA7vZF1KmCgpM2+6AteQsWI
LezdwVlCjh7UOqDvzF2SOfO3laqPil9jItO3arnvaKZluyao8sc+DajEurXvwqlgeCcxuMXoSoPT
TLsehdRa3DrZlJ9qzABXMmQ5wCqXh0nXvlV+u75kZEvAhzZcPpy1sGjoTrm80Spn3GdMMN3Wwlvv
tKVdd9UokgN80uqx2eoka+W56lesIQbaqHMCAQOViKlFeR60x6ZIYOhxLIMr12yFrOH0t+hkqjBv
sIaxgmEBRG/GAFHmoLG/tMPs13dGWUgrrhaXw1hnsAtgFJXku5DrLUnIoSWyfm4OlvneCLTi6GYY
H/IGlNrbwGhRPdO4oyWHPY8D73A/6pIk6ngcaaQJwEO9mm/4Snosem3aMd6zpNGOZfi/GTjIzMbK
cF1TdUg0r3uGmqtef2n/3P+jsfgXROpvHVtU39ALHHqNVGV0d34nJYtOzUVlGfOVhruDJ8/MQKQA
d1GI2nDzJulXs7YOU2GecWPtgXbsnczAUkgi0rjikxpiPuqBAOUdwP2/UXD/Tgj489pcUzds16M/
a2468l+oGrUBAFhPzPkqRH/1BLVicmRu/e+/gf/qjwB6tdGjb2KL378ApxgUh95pvmLIDbf/uGRw
Nl77j27z/7Qk/6YlSeMPYf5/35GMPsi2Bz6V/8Ux/49/9Z9dSfsPun02xngcQTyr/ML5hxz+7/9C
ymL/AVqBFoyt/8lXpmH5H31JfPEGscLcVoNnx/ilL2mZf2CooL/o676PEQHl/v/7P3+hCsvf/vdf
XiH+xq9DD50OJ8xaEPCepcOvtbcn7JfHdGCHFt04qmszWySUz4QzhNTXHimV3jw9uJqznAs1NWWs
6yU7S2tPL6Utt/0oaLq3X769/+qF/pcm6YbxCDYKhI0HBbjvX6/GbhZRBoibrmbXGNe0XBnfY6Ym
Y0pNdDqoMu3x3ZsEE/q+9oeO9nxPOgEUP8+mReE1n8EwcC4IsoysFWRqL9BKfIMGpZP8MIAIqr+Z
w/z5Gv8y8ti+v+0Fhx6z9YixcP52xSg2uLfLcAWTmaY7F9jny4Rewtoz7mupixdlFLvcY8Cxei5p
HUupW4eaaAhj109UWeyN0ohyTThMRXOs0EOdoa+hWC7h57VFdl+OhB1iwJU7cCTBq8y6G8Cgjopz
qbkXzhFT/Tdr17/eBo8WuseNoIzCLPHb2uUt1GyaqOSV3PDgtU2Zl4Q2HS/B3jOq+1n1wZNIjOrL
v7/9v69mnrGhzT0LnQI+I9PaLuuXZ9HRsRUgZWvwn67GFezheCVTGpBkkv3NzvH7xrH9pYATogdE
CHCu/9tzJhqwWR1xj1cShO0PuLd9dUhwnphhKbJY77A1RJa++NjnLGeu/+6h2R6KXx8aPiUSW8dk
VkG7nnHTXz8o1JWcwpkQUQ4nDknzo/NRVts1oBiUMZk0bbjo3PrDXHW0D7uy9X4gMAajil3vVrlW
r0fWXBA4WdCMfLF6YVocR5blh9AmsdO1taY5TKuwPzoWc8y/m5T+643yvW3ZgA0D79mzN/fSLzdK
d0encZxEu2Dnrj/yHux7aGjl0NjUPCDqzzh+ym+QF4n/XTsIdeRM0A0yJu/n4K0rJ7UsRRLTFtOP
HK7Z5+SIzDv/+4fJdv7lJjML4iFi80XCwNu5jVB/uUq393MdSKF1KWxgVgGSKYQVdCqVFezxOo8I
YDv9YaoXevok4HlRbzQHafYCN7ogLqDq6kdRObUKPZTLmL9rbD5yGELhdOKF6FYqDLBrSHKKIqcN
bRVzmBSyuc5Ck2T7EAOTpkZAJ3glvT0yp6w+EvFZPZpFek8vzFJhNXr4CpLueUDmbu3cCdGgkS8m
a4M9rjT9Z7+4rTLHf08wy54zRsK3VFRTEM16RrAKD11OqdMj8JoXf93RrdR2a6G+C0k87gjzDcZc
PXj7RHJWsBPTfO4yYwZH7GkGFXtWJt8CKM24PZpO+zrWRDsLIUmtIeP3BCej+swnDnWhsOryKQ8S
5YUTcSZQSPoxWvgeDii6grtuJjzWpse/NwxlTFgHPGr1aYZoi9E7S+JaWj0qzuAuS9AAMVRqhyNb
jQmdBSsLcTNe9UXVenZj9oF4cghJO4xBoZl76dbrh++2HKN1xRh9Kn1UolD6P+Aezz9lykwgWs1B
59CRmlO6V0PR8nLMc7ygrff3fUt3thqs+tjwo5DM7L7liybUOSxkUWhEdc1e6LWOAlEwVElkYWWt
yRAr49SGlPEwM8/b5bJHHFjwJA0oBudA4uj21K1LplWVPIxzN9R1SEAo+aufWZKZ5vouZ01teVZB
z1LefkcuXwwW/Idh5KR1HcqBmPtzkHfrYQL3nJxq8LkiLMyqfdI3iUfBlHyMRu4BPWWiXhW3i1nB
rkkQdiH5Lucups+f6lFf4Wy5yzrdJey6XLw52y10hYdbVw4WT9Sc0GSYo5G9cO9qWZHcTbw6LkMn
2uk8cBaZHvuGmVUQQokhBSxWBGZGWgJiloiaBNBg1GIEqqMsGDnMzxUwgVgmVAV7p0lx0furw4rZ
mCV4nTrrwTtMcknlPQFtAPzaNPd/auPk5fpOb5kX5rY/+leH5nlybixv8BywDIrez4LCkdWN/NQ0
g0CSyGnt9kEvm3y/VG69HHWJzB1lK5lUkaecpTrgMM+1iNtqvmmiXg16626Ju7+sde2OxE7GVePQ
NG9FXQcYyfuAtmkJSuVxHZEZ7bHVm8ZNxuHfY5IGTmc4JP0kmic2Y+tM2I5Z7kfBFcTtUCFx9A21
Ykcq6L1fap9I91jjVel38LnGc88oudqliZWOO49xqwhzT1KfNCsJGT/IPQrcnc8F1DtY9Fl3MvTc
PqIWpU2Fmx7TTt7myW4dk5KgprkXAbDqubDBBKAgQYlerNqNnlT23hBJ6nC5gSdiY4GofGJCC4en
DOyM7At+LjQCErV4fFLIa2rOsbIMKte+YuSDgBnmvEcmCvomXzFYTLaGjaSazfHqigAoQBN0w8UZ
G7aklKSPzXAFT8jaM0I0mneGvE127qApq72cnTW/IbxgeLYL0/lwVIKIkYk2Pz02Cu8UhvCciwfz
iPPNIrWBk34S55CzmQ8jKQuRaE9PjC7mb2TKWIR1zmkS+6XDiRlbAr/HqVrY6Wg7jetKMrj9IAfH
eDYGQi/D2QXPHg0Qp1UMp7fIj70yTdKdPSSUd7nmBa+N3m0PZ1F08uBVMpP3arEHP9I7PHhhNjdc
WEsMuHHDDha8Mrrn6a5ZJfudbwSqPQ0ySMz7oifo/dH0mwDCj11g7xpgXlB8Zou6d+jdK/xGNX+6
bREkb9P8YT3opbd9+O3SkbRv1yVqgylMw6cYIXZAzQTRsUZBOfHqMMso84cGdSA5viNVQcr/x5pq
Dk121xn2QvyWJTLsptncq/FSaxkdw1wfOxy6m9M6XoCjbosGL1PEJ2IBIbdzq5Nxp76S5Bmcwfnl
fgibu+S5AGv6MTeb90D1xfJoDUqXN1guzOKmFUDmnnDXzQfZ6Ma1C9LunagYF1EBknnz3Pq0L2/I
AiJGDR9YR94uFEGG63ytke51y/eyKp17NUqSBjt9mcq32a03cVBCGijs4W0NyTscnJwDfNT+5gKx
Qbh18Ibkrt7Xs0DA4Nksc0s/Z495O8gbYlK35qPZm0BRK8dmO8rM4LUvtCmNK7PhNVm1xApONmrR
jkH80ixn3+CRiudtxY4Lh8zPPSmgU8wmM3c3Rj/i8kkCHF7stBYSRK9nqMipOnjWFsr084riwfgc
ZLMgYkZqMhHkbvKrVG1kK8p40HUnZrsE82pkiMH4n6bhohaveiomCQPDk0e7RmB8XGeXm0NEslwP
oirb9oInyL7VBp3xbNY1wIpSIPUZknXmKc9UIvJTDxqWEZZOSeM/kzPJhTOdPHaBpXuiQ27kX4x2
tfwpXKnAlhd8b1rALyOTPs6ICEjPWiLmb1mKUx2rnnTLU4627EFJDSpQP3YyjyFY8JDm5lBY93C2
Vudau2LLjhYMhS42FBVgDlQ3Mp6Juq7j2W8wHvSrxzjTx0MUG8rCxzgxTe0PK/kO24xCpbSHk0WX
USKk273NBJM8F1nPs8ZOF7zyrNfyvgkaDKqjKQLQyHXmEq0xvqcLo3STxA6jenQIl553s5MO9sVO
Kn96xL4TEJIL54Q8UShu3Z6DAwqQ3BrK9tbrRWbdm4p09RNBFESg5orJ06XsNXTctdwML1Rj43Cp
qmQbxwKb3tMRowE4K50OaGfz3tMv83LyfzLv8mdV+j+dlL/ppCC+2loL/30r5fmH+pC/irv++S/+
2UYJrD9A4bI+GQHcY28DBf5nG0V3/+CMCo6BYygaeJNzwH9QKFz4FPRdvA0MoVOIcqL8p7zLdP7w
2Y0J7gEeQRcFqsVvbZN/20bhZPHXMx15aKjLaDGYtkGJwt/662kDbovG8KDVQTGb/duksTTJavn+
Zyoir2YXZ5oBPqduy0dv9i9SiumLOxXdk2ihL2OtP48LDoXO99aL3ZKXuOBTSA7T1gEAR659jJ5H
cojb6iiV/ITC3nFMSqzGg4/9YNt5adahBmfHOxH7weYe2EzAX2TFhsARpFxb1uZyEOLii15n/qZP
M9Mi5M4Extuky5WFvV/XVAc2JOa+716QX6NuDDlhVgbTf+VyEjWTYIhxMdhyn1W0/c+DneYVezhB
EBhzlbksQZzjNTHOuHDNV5sqsANB1RotCm47UT59fG9xTiNeQx3Yz5J7xXOyaJSHoeGVU7fLWgeJ
apP4n6lbsIisJoC+Lua0rjOYwlyQ608Q/goB3K6y5QFasXnj69Yqo9ENspukQJESzRSVcj/pRTEB
Di5AL/htcazTVryrJh9qUmCt4VhAGYhnLIbvCzGQIbOY7JjL/CkFWMDNGgvSGpr2WJjza9Hm1gHS
AbPEOkiPFN7Ziv0jzd5ylbO9LAwFPF9dOHRTTo7jG5486q9K3lu1yqgBJybOU+p+H1Qys7vP78DG
wdThBS2VRX5r+UqPi5SowCjOvm9/S3MOPUzxRsbvIygEeIEHOH2vGvKvEA4Q+7KXeXvfbA4gjh+n
NX91K/MngM/hZpUtmSFlel2zzotY7d7bWp4RszXHcsgFggZrp9baDOUi3BshSMqC836fpYTTlGb5
KnQt343Qh2JiOX+4eeNeandN7uegdZliKurBcSSHCn0vqQUlym3cZWqd7kwCAnbThHE8NbDc2/OU
3aI56y/+gGkHHZJ+IqSN0AWFVpxQySxaJRE4+WhONMWIEgbUoJDpL0uMg0l7TLdQ6KZIf8AXae8c
bXiCIaWIN6Hy1wXrN7tjfmxK1wVOraO3ahe4xI0z7gffsU+sC9m+R927x6sJPSnTgsPkzj9ap6yJ
ESJhO2HtCMuUbJIIEsC31trQZA5bS5r26TZzl7u2tepQNsMSOavm4hya2PE0hpW+qZ4NpwGlX5Wv
WpWc1rUhZEKKDtuM9uZwcmKgqYpz1jlA6oWd/4QL338dVw9r8BAW5YwNWk4d41hOmuTJTuV447oD
b/xIBPHOslftZzu4jQUrCmx22NIVTnd9McFYWmqlHc1SHx8hec7eU2WX4h45K4rALiE4QNBf3QNe
I/mb6TE4PVLAnjlOD9Gg41g75EVrnpsx7dHgY4JDQmU1JQQdqAZjhXpbT6bpniQ5I5omHos0mCqs
Wkotn3iSdD1OPXs5j0PeHE3cHHNw4EibKxJ0XV1xsjQcHN5yHn4aXcdwkCEw/FU1jtlPhowB79oc
dJy49U7MV5OC5x1EwcxAm+ISg8yEST9rgppMIV9EBFWZB91s+WQl9oClILsdLPsHcTtm1Oqw6xxr
IotZ4JjWRWfFCULAA9yuPDT99YuiPfSK+VRdq0L74JV6M4ltDxtKsLjuIEpqnX0tyHHf9RWVb6Pl
n4n0+12O4/+1Jv6XPCtsEBcTM43BSWa1dqtRG/eAVF+6yizJ1wos4JooLc5GQIPAs6bbCZbro20F
2hPtcu/DrJ18l5ZBF5Hl3JNqn2a8xjNnlThh/srxdtEvJEW0MdYG6IPDMFw5q7RkCOTNvtX05dBv
b21JKOED9i3OYh0tYECaGYea6b7KbAq5RR5nA30GSTboKDp/RVafuA09jOW9GVvnaE918L035YOn
tpMiGcwktfvDFxeFGgcJXYtNazqh4PB3WKEschYNMfxMWtuOyY7TbpbRyRglj8auIUsgFq2io53S
ksFeynrgL1dEgHhhNH26LDm9r2YZvV3eKESQksbMhPY0hveRHrKAYHOcfH6EshBRrdEfaDv3rMHD
JRhZtVZaiSFtd55EIthOQ0lcrjv3DiSh+XH0V3q1PmjaFmIH7M82OHYK5MvSBadenxIIj4pS3g3q
70xhp1jXNr2poSEYk2UHU7HljBX4pnwO8iLAalkuu86uAprw3SnQAupbtKmq814Idkb6EeDz1KXI
IwCsK8qRrWJvFNKqsVZQLrpPeIwXsGcj+YSUzuu80Q8x7dyZVCa3puLGNvpS7Od8QFjIKPOIvRj/
IKcs4BSExfhpWcGI5DOPZVGFaMFZ7zr3K9SWhXOwZ8RZOXzFXV/eOCJJQmNpUM9Z8xKKpTBueQbk
QeZ2tpnYfo5uFeyVWL+mxBITvA7fMSxwe1/oBCUwPVFUsvGn32phzJFeDThgSzOJMpii19mGQJ9V
pghdPX1vDecn5MMfNk7cfeVQMEzKfquxckR1KTtYC/yqtbf7UICA/AkOBdGCLModZ1wwxbCf7klM
KB4Cs0WN7JvrLYE0fA1eSbcxoR808XaxSk1v/tKyYQwWqjyEhlMKBBWvGOu6m1ffzIYQ7dpc2tNo
10ReTd4SNYHW7GWx1remYc4xYUw25uPlmyToOpwIigjngGuAm8DwCnjjK0Ck9b7Exc0XirDBRQI9
qoYvTHD501AW77z25QBctPGfO8/h3zIEeOrH5AQDi+Md8KCHkbbjvYPk5d0r3CfHdRGuVul1SzU5
WvjyLLg3mIQcmfBFwxi2X6DlzhEhaj1wDT+218Q1o056pJ3j4l92K1kuYY5c2YjS1vx0GlzVu4X7
HJrCaO8mYx2O+qq8I/0u/+tcoqsfdfWdjIDhbtUtrYgnnOLHgpPfHQL7CUEuJkhWVjHg485AqZhT
gKhqSxcQev3YEbb8OHMw0yNWTY0Sw6Tb7diy+il7Bo/bi5pyTxk2MYbwevcghOHwyjSgoI/AFlca
DCbb/JJaT6RIj5GHwhGBQ/FFuoH+rUm7czVD0NgVbUaPMbU+0bA54GBz87uRFlodrbYboJ3NR3US
zF4I3i2zYtzRz1Pf9cqvdqId5dNKP/mUsHhepkyrDkHj3q9ucwMMZfB2E9uBOhraWvA4u5P3maQe
/UlTejCGnPzNEcTgGYSR7Pp6rmInJxlRkJ+F9bqjs9giKn3scbjmYAp1eVUljrpQT5jYeYMY0x2i
hqHeAbBe7ho/pw1mEHKUQOfaG1gxY8Ix5GHoXe1QOEVSHzqvyt9Yzco3trjxS8VZ8qkshuSoF15+
0p2Zijfp3HOH4KAArSQT8o3duQKmlBfLDYKLzb2BszPQaACHmT6XHG6r4Gx2oACyWhklZulG0LlO
CXLTUWYOqxredH8ldVDM09GXbXDDJGK4s9Osf2ktpy95/9qCBKKOKMd6M+pRXa2vQT/UbcHxQc7P
zCdMqNGOPQbk0AvLBdMrlinOC96HG6JDaN/6pHu/zGjx3S9kHwJxRcDFzkqoQsCL2CNdXnoXArWN
su5KVGD2TgvPRbLsjU/V2jDoxFuiXeBR5e9J7TT7PvFrUmNWjKZIr/Vd4Rcp5CW71PxQ1nP9picq
eZj40aNCkX/u6+CJKUZDEdaN35q6weOSeRgLhjW96RtK0qqZuoHJ6VQ/G/RyQ4ab5gH9S3lLCHq3
X+ohg+7QVZHQ1grzdy+c/Ww08wNQ9r7fOStA8WLKy3gqjPG2bhiZ2WbRHKGspfcmVIXl0feKvr1D
raScXZAqvXPLiCmZSbFQY6FfpB/i7jBp2VBu5gBjw5KemP3UDqmLnpECr/W9Xh4LWGFBOBfLtN5U
ytYiVxZGXK2i6bGZZ6yjyq8UpZNrHYfMdd5MXMTjbgX44B37knfxGx4ncA1akaS3+UT6DCxwvS9i
008xCptwFPA0eMwNs6Fvb6dBE8dRBsaj6gbOAvBEDiuOFowxi3aG8StOPc8kTjYrvwXelUeJOXo/
awy03/VmAzf3DPhQ+NfiWaL/zd8NY+vy28EM7RaLty/XFWIu6LUfrS/SozvWlODYlLWoy3vvdS1m
Pc5dVueYSDNc3aZcP4B3yBs8wAgFzeraekI/tPza82p2w4PAMfQFQ3/9SH/YOa8C5pFZ22KHescS
oZHVTNZKOYStjp1Vp6V8IEfUiPq+QOFud7TXucYXSRUZQ9AOohX6U5yy11Gcd0uszH4AhuWdYA5P
u5aDO/K2PNj3pW5+OLayj3XZC2SorEwYcv3QQwx3yFNr2vUtnAArrwFllQRjf6sCjI0VoDdLZcEn
/IG7iSvB8KADnjLN5YiwvqOUGtPbkiOtoi1vb1BzglVEoJwYkzbnGx5KUsyKPItnFHpxULGNE9FW
fgWThBwj8GpsnolFXBU7STO7DQ3cChor1vklsgta5OA9alR3nnY34P56FHN2HGnlYbPH2+CkDYMn
RvoVSrAs+yGEa1+ShKDNnehSsOoa765k4R+R6S5VVkVo82pczUCvPDUvD9mgB9dJQW+CGe8eS0zO
MbR0FkycAWf8F/c+Iu5QSqlaICTpB8OUAjHeMqDwMzr/WmodIYK1XsZGldj4OwLrPSXCNLRmIp6i
Os/qd03I984idyqb/IPtbDyRVkyfumJjZZK7npYaHoHBwTPHcIwBTDVpBVocRjlyc3cH1eTDCaws
nrhb2MHVF+FziEj9HbP+z6aovshi2p63UW9jRkIl1iLLitHgmKSWBcm5yCVzeGziYZ3qbkTNbOiR
1qiiQujMnpfaqrtt3WITQ0rvYNDbj8zezm8r8Fn39B90fTfaivS8SejTVQ7U2/CezF23tX/AGYqN
AFQhI4begPBT/zE3HNGKoYBZZg9klGmd+VAMHh0B0X8fMjWcabESK4PX90xfa5dlizgBX+/YgLXy
bHr19LCWWbpP8+4b5zVKsaXJYWcBgTihJiZ2OWUQ9wbkGj7ENF8sWv2vlFLPuUbUqNcP3k3mWuQS
qJXCEVZWMq8b7nnUeizl49fA6C4zs5wwK8xXYt4QHEy2TZO+9yMoXf5bRihoaG15e4HuQ2HBtftM
TpMD+6g0b5olu8215n0Q9MAXmT0hI/5JFAz130J11KTM2bLWfLc2hp81NfandKp+p6e9tRNa/arw
6v4UoLLgIZCCNIR0PSi+YUBBDXfrR0B6OhLetIC/Jvzk66SPYMbUNPU0KJb5sTM2cWzlJ1DFaUDM
OAftJaf4B9tsV8o5lKMVPDYsWAz1LaeFRTkl3riFIA4ab0Idu3rZn8Exh/Oap4qjTgIFjI9zYQwh
7tBRU1gbpdaGJgAvIyR1uWriiRg7GY/4766b9OrEf+H/Khv/J3mvj3bRsnj4eXYOhF6eF4fN1bDm
70kpxu5Q0rKP8XdAE/OYSzmVOhMzV/KqG6/I7ZuoMgaktebWC9wcQkswMr02XIDjzkCVlxvOwXSo
hBl/sSS4qp/mY9GOR2/qvqb+elY88FGVI/YtU+1CuiO1TuV0ZMJ7ZxTlwx76nBczkqzOwqH91wW0
8BtK/YjK1IwSTIB9Oj0EBbMJYKo7iG8O4RPNA4xHXAL14oFIKE0U0UOGB2ehgbjW2t1s2m+5Ycub
IdHEbu5d8hErqzlkukjjvK2Noyo4nPXOKE8NDns6Fzj89dL5BFAfPIwaQySGoXmUtcvXMiX7wCQ+
mBTfPg+Zq39LnMl4mn3sJK6COIVJp51/ONKbnlj7mCW4DvZRhD1nxMAXH5d8ZCQEX1e9r9FnITky
7oHNHPE4XVABMLQAf4KELJ8DshVSAx13oWfluWN/hDbS7kuosB+oXdt3x7eteldq6/odiRTca2Mp
tY8WsTlQCWhMBRteH+I7V0efALNbr+SI5AV+kcGqREmBCyG26mX5Rp3Fq5UKFDUQvu/a2Uou65CN
37Xc/Zn2xoLkFkvAuaMN/YDFM4mcHO9nJEDgvfjKGe9NM7PXa495FGm8V7cHuqCbAmHArbCuzKYM
ook9ZuM5ticzh9JC1IXY5wQpcF5ItKuR984UOWwGxzyZnpfUeaFCcJ66JG33abcMR96DBYWSBCgR
+K8zTsNQZI35lOpAzmVm3fmGTD5qLGtRAT01MjyTuIyKQ7p2M5sUNbcVcRF4+KfshhpiUHvcYi2c
wdwdz3bD+hO6A5rvQ5rMamsSVVt2qd9R09SuAZ1yxR1rwZ8gkgpVyGuPN++m63wGYFmL5itE9BIc
FlEkZDEWxrvbqsC6wkTXnyd+AfN3EsvexnIAAiU8EsMtGtSAgRjuXf4/e2fS3DaQbem/0tF7vMCQ
iQQWvSFBUqTmwZKsDUKyLcxzYvz1/cE1tC277ai3fouqcFXYBIkhcfPec77j9HV/obh7cBfVoz6M
TZlcLDUC3oAXFpjXto+omOYRibatC81rfq2EWGU+k/ypXkQbI6fI+lSf1TgtNo0x4WDpPOHh9DVy
CGGeM93LvtY0nzALuIh2sEjWtgGz8HsASByl2K6jMJoCemrz3ZwNE5YVHjTsmxPqQdWx8Ya+nIPv
MYs6GJz6faS83jEiIOiMsn7pXPNUE9sTyLofD9gJmltQkvZTSsoodgXBgg0y1LrpiLOG6t4M3l0n
W96nrGXVTb4Yw5Mhkv7kwC7p4V/63mU7G/opg4RyBYp4PgAGtGD3Dp1ziylB3QGoZPsCQ8w/N4zY
fkOckZ105w33tu3QDJ3snqe0KllWN4X0SpuaEQNGIruUh3IUvLH6ka7gBnUGbhY6/Jr3CS68/Dy1
7Bm3lTtKrnSR7rDrRGkwZd3NEnVAht25tncObagHc1HRKcUnvy1zsMU5c/bPodVRqC2u9gI6He1V
7EOn2ERp0jz17mpfNHjrRphaedljGWCzk5DT3aWH2hiRytMaPW+RPB2H0dQ7ppjZRW2VJYgYZZkX
FUycT8Ra64lVNikCknaAXbYiZDnRxm2dNfWVnEfvrIgtIp2HBfNTR9YCxDXuEqMd9aWXF84z3VuD
l9hYP5jUdxcQLkZsvVT/tDMVXRojviNaBAon5GKa9lW6jequuOy1/8UYLGvH4hQi3JeEcs+LdekP
PBpOasdkDDjHKra8mxIP2nGc5XByDUU+rRvCo9TsOnoqRizBuj11KHsujVZlF6hZ30pvsnYDw9t9
6s2vEVqVLaA9dgbYzJDYhwW9snZ+BD0S7hWG1l1tI3YzuNEP8VB326GdkZChr6c7m5WoKn20abEz
WYFLtthGy4pa1lzaz0kO6pWtwnI2t5O78CLr+htP4X6j0MORWsrVHjHJOMFqxMsmRUmV0c8asgs8
BYyFGd/QY7WoNKp4b8Ek20BwvpLZwv9vhrgX8fyPZDFv7CF79Dv72YG0GEgIvYmAUkqn5NUv8V34
EQOPcYyjoCOtPcBhUe1tKxNnoygOIkrvFq9mqyAAPPlQszEGLddOnDibPG2eENulN25EQJFBJHrT
6MOwiOHFgD2OBdZ4hhFk7s2FCnlqjORQD7yoMci9FrAbb8e+uSX1KZ83sJR5tVvrRjDOjWvP8aET
mAR8YSSwL8i3/yoM1V8CJm8Zvk+CyTbuuY3wxTNUZSz0xXQBHnE6tvk/hdn/M7b+y9jaAkPAoPf/
P7beI8tNvr7+OLj+57/55+DaM/+LjzAl4HckaPK71Pif+n9PrXNrF48BUlpCOBUD8n8Nri24JGwF
fYcvYEKlYdz9r8G1+C9Jd41BN3I+EmZ8+Z8Mrj9oZJmOOxIVMt4ZtGfchx+4NxF9Ku5sykPb7iO9
zTMflZ8AC7ICNXwoQbItIaAxg4DUOXjBD+fqN3r/DzpiFFyI/FeKESN4yZx+/XY/KHSbJlr8gTbW
YWT+t1Nz4WKbtPMAUmhx9t84lO9J0hsEkIKPsQ2tk7JWUucfxMqhy216AXRboFh5wAP+80NxKn0H
KBsX/WPC62JNGVNLAVxjBWOSztYELaz5rZ5Uf/zzoVZRwQ9C8u8n0OE3EaDJTSFXm8iPJ5CBcZ/R
lNeAoUPcEbONeKx336fBDSAfptg4HcJame1vazRG2z8fnHvwNwd3iHvkLkYJ6v58cD3BqndqrQ9G
JVzaF1O8Ky22B38+yq/3iMREZRPzJlybveGHo3SR5zAhDftDS9QIic92SeNHMpgZdgTR0Dz48+E+
WB84o3K125j2SmbBmbP+6B9uSdkMNrtRDbx7Zr8ZZ+03ELfvHrSvDTnB52RO1X9R0/96GkluBoSC
FsVatSMfHCRhnKWj51T9IQXGQToZhNHaBK7659+1nqaf7xSOgioFOKfpkzS5nuYffpfoQ6vMmqw/
ONBHNo5hXESI1GewPvBQCvmX3/S7s/jj0T5cNEw+URPJvIcmMVqblW0QDdTLNZgC2llYLNsse/vz
D7RX08THX4iSh7gZShRuyA9L2Rxn0CJGHjsrdsW1qATNdXMd3RCZd9ZXURb0zZ0aZm/bIBv5yi7D
Y4frnDEBXzkF/rDrJxtlxqjqL9PkIMBxhb+xQ93cL+BtYHcCOs+gkP35e1u/uf6OKRQ8N2rlVaj0
85Xxusi1K8a9h2TskQMIikC1mSY57AwDa3/SWc229uAvOpw92m6TeKHWnW56y6uvFAYu6sHIv7YQ
r/zlWZC//Wqsz+sTLvnPh6+W+jkCd5lrTBPxDsqJDHAbrcN9V5MxEXWYneE6m6Pr58RULbCrSja4
KMWHLCgmxk+DWSIFBFje4DGF5wD1G7Atux87ms+j3m6vMNcbxyWj+m4GrYNRyRqxaus/9miWH/Xg
hVsf+fO2pfbZg02h9+e03q4n91Bn5JHR1Oy3Gqf3ZsrleSyyT/3oAaoQNK1mZ4Et7PRUdoa+po26
nDWJWiDN5c5mAgt+Ycaz+WS0zXBAwGRsQzm/Z7Nzpz0al4AQsjPtxvqaTy73f77qvz4gHplJqNak
4B2s1Iebdeoi2ctxvegdLuyMTV3imVBNpod+CSEd9hAb/xtHRBBLRC+MPtabn28zv50Gz18yfWjD
8Ahdfpdb0Re/FBetg7wf4erzn4/367qNL5fVxkKyt6rvPyxrHXqRkmujD+mc15TfYjxGtDR2HiqK
4M+H+vU29SRiFtvE6mMi7/9wm0Y9oQkjXrqD7w3yvDIa60j8gvrLCfztUUDEUaYgdecc/nwCyYg3
CmIned25IAA2jfKNM+T13s2ff4z16zrGr/EsLGKYZBSvo5+PkyHVt9x6dZhMFiwJq2PQNRVYC0Ga
IUml8zw53Pig12keeU8ooQ8Vm7O/LUsOh/l5OcWr6riWRKmzjks+XL+mqcSSDKo7iClXuxEbyh4v
gt6LUSfeFmWSOFrlBAPErL59z7BjrE+7AXXUZbEszomdWviXK2D/9jsp5Xj4J/1f/d6RMAwjjJ3u
UEZ9eTRbGo8mbK+l1M1V2NX9loE+oTaI8bd5Y8zXPePprZuQlO57DA1VmX/LrWm4yiBQLMv40uMw
Ykil6/u5ZKpQ64RUYxhLp3LOrwxT/624+P0P8AkxQgKEJdj5YPwLrdYvZm/kpMbzXdSqet+PIvoU
s4pt60alQdgxcyiUq3ljtcUJa8erl6iHrnX9I7iAcDsRV7HDAeDfVouqHjyxfFtkWJ4cD5wMivk5
GImK5F2hc7DqtM3+cneul/2X2+KHX/Dh7hyJmhDkDpD7ZaRACha/PCESLYPUMAOdtCzyvQtCLDWP
SPFAwNc0of/8FZzf3gU+clLJw0iM3IfH3ZtZS/DsdYfUiNdeeO7JN8qqGyU6wh59E9TzMD0p24q/
4B7V/RBtkbrFQeaQuDNE3d5mbBW0LgrdEdcMKhW7R2PGAQ+TTFMGapH1bS4ti6VS3SsHJJ+Z4hkz
/KfaS9sza5DmhSGtfA2QfVWDee/OHCgSFg4OrGF/S5z7tXTzXHaDQlAhkLr+XXn8Q+kmbU9lYcqC
0KT5Uxke1ABA3lgYv0GGdP5SJ/5m2Xapgdl5CsUHf4xsYEDrli2LzqGOynfm2CFvbSJpBK6nvxxp
3Zt8uJM40mqcFjiozY+FPS1lGH5k8R7mNnrILCd6SslSAa4+s5uQM5lhG9M1vBOJDvFfbqHfvH0J
M0QB5Di8mCi8f15iGfYiZE7N7tCrGaaidzOp5s4U4Xuu9BtbXjf48y37vfb85bdK1OmWzYbb/bim
E1vTTUnCLcs2vLwjnOHKRt4dzCUcNGdYvuF3eaiSfAqiuaa4EV4ClTpiEka18uev8tubSQJHVbaD
yf7jaznp9QC/hOd39CodmLVC8YFhETEOlCgZp+9/PtxvXpoucnguM5jQXwEVrp9mUdFPXGQafAdG
8OF2AeX2lz3ib8+vRSeDO4nTi6j/5wsKBCdCPlB3B/bI7ZbAH+QNZepv3dAzjiPeU+agjHNQB+aM
2IEx0g3IcTka58vi/m2N/HVTjqmcXSGbcgH46ePzOqKRJHsWUYIzaHOH0xmDSbtcQt2OtlFhGVva
twy+lCZ6JevNvzxW1u+eYKohTjZ1O+CJDyu0Jk/GdkoTOaUl4rdarejIsY30dcdsEEmbW7nutur5
API6fEgKg9vkMjDTmqld0ag428ItGxFdOVG4sbXurX/E0P/5zvjN1/R813VZY3D9M6H8+ZLFhpfM
kiysgzuF7b4XGLJE1/jIX2Xyl1Pym0NhaRJMf+jLe1A1fj4U0zQk2TjUDhqdz7twZnW7lDF4LsM1
u6//8c+iBkXH7q4ttV9WNdiwC6No0RykTaijLy2XsBsVnqetpov470bjzT9Wjx/RHb9ZxDgSbRFK
RDz4H/eN9hJGzHU5UuKgCQ91Wd8XUQOh3+wwjk94OkQFzfPPB/3tqWR/LRiV4ej5iB2PIrPERS+b
A+bCYVvIadxAGyKI2CR+5M+H8uVvXvRUGuS6KhANDivWz9fNy/DBRIvFLSLIbNi786yZWMZiJKC6
CEsiFNrODlxq8nzbOMNINhgjummHWNIpbglq5uFKHHqMR5JF80e7HjAbki3s9VAjczfZ4LyPXys8
85fEg2AXieKcpICOOI94U/KTgCGveZeBP8jRYjBuEhckjTWXHcMjOWoM/FISNmISR8GsWow5J2nv
U6uY3J3j17H9TBBHUnxzU5olBGKxg4nPp7jFNtEmWRvjzqmsec0P8eUBB28hdoZZWyekcZNx6BAz
dFeyKHuPmTShibduh/N2z/82RuyRbZeRuy58ss9L7KPRpadKqYJeOlW674EW3g+G74antjSqM4B/
sFTmqLVbpsjI2hnFroofIAxHFSEu23p9RRzOzGA72gHwLdsLtB6KOb3rwxk9dN1I5CI2xnkKyE8N
zfMCFaNJ36Go7aBGXkhxlWDPelV4DyERhnraAo6s2nu084Y6YN9M55uRoMj7MhEosGaj8dWdWRGx
tOvnIeqPFLHTvvHAf+4BXYIdEHW0LFsAwf6hbHlF7XIy4AF0GfDaNw3Dx09pjKpvyovK2XYC/TLp
1ECCC6+/pc+77yFLPIW1nT/nhmfe6dIF0VCk0xlJRfmOiIbrPp/3ZdPtJ6KC7kIU2YOI8VFjjD4w
8hqDjDT7fdQPJ7j+qNDq7jWFOrkBqwn8PZ2cPb7or8IxRiLL547v0KqD26F480XiHgRSAWLvENGB
S4RRJurpTWkMjZAF0Mar4XVpXElyJPCBYYK1m+SP8IJ2ruE2N9Iv2p1lggjOHGQvvZlY53Au40vo
BrgbFNCJLgkfp8WRB2lY0HtReGJGDo/w67PtlGY9RUVHQiNviaDr1HKb5ROBsSDGmPuvFMHsOqO7
NI2iPWUTeeKLmaFU0uis0jgE0aqy4nx0GNVyZW+Itb3DcTztrBFiMdivZctcuA9CG0gfkkLzLozy
+qX0OvOijBW6K43wdDJ1+05oark1NGwSj4b1QVWVZEqFOXNNwTg6ZgKPeFbejibFyQbSk8ja2mdy
fi7wNj+XSXiGdeg+6edn/OXlDlLcaqEKnwt3tQxEWeEdh16V+8GAyb9I4wFG7ppBQloUsefezkzh
chKSh+Ek9RlFsm+4S1pjuGmilvF3T8TO6ACcJsx4k09Y4mej/NY1Y32GHSHBElaAjyi84V10DMrn
ZGQCGWQDWZ8z+A/SLR225rbZYlyvEl8/ZJWHO8zm5nkqbNOBZd6wj+BlyiKRRni/as79VTNyl6Vz
iIYys44msENgAroiY3LxzvkDAVs8ELtQ2nLuLrx5jMbu8xy3qkPyaYdiJJQAXslnGHh7YrbWqTLm
6/qgDLv6MkGcrM+cDL1bUHgtrr65sgh9MgxXp0ywPZRLOa43Y0XPmh1N2iY5a1vO1EZnZR4sKPoe
Yrr6N3ae2g9hUWbJEchnuwP9SPgezo09sn30GgR4TGTHduYbwbXUk/R3ayKPYdwSk4iOrfMiF+Fh
BEwHTq9zMU2de0/YQ/ju09zv0RW5GLnqcDCDZfamT8yZive2XoOI5qKzXqAItAFbNHntl3b9GazB
iKK4mw+aiuXBm0X6GSkCOBIjx4Kv7ea0VOynk6nEACYIc6ELxxgkXQOf4b5wJ8SO3zyjDGy+NLXI
9tlkNM+qsZOztA0JC3Pw9e8TZOFPsoJyABxkRFgbSqKN+6Xj4fieR5OZBLZEriu3KQXXETc/scO0
kHfsSv0W1jjy07OiBuuz0Uk0PK6ZbfAjZEIerY8dKsG5JHD/FYwGj3UZ5+s9aIynyE/je7OIcwTU
bQ8BhdNpPEId4CeqFY91TqorX5VEzcfBnvrxMgqJX0k84ikqk3C1ShPMI2LBpzqE/n1PShs0orAN
lUhzAtEJnnYkhIXWnQ0KldDHqOVR3ZVVsewXdKP7sUJ9e8CIG13jhBzUtoYPfs1DRMBJyNWlCb+m
e/qkDgHefGvJy7sVS2s9dAnnO0mz+bDgvD94MSfVaMWMMMRubmuE129y3WFuS3dhoJ41pMlwZpMz
ib6YZQ+6lNUSAVJbJC8tQ0d81ly3zxAk14hgReKZFaHKXaAn408vC0KF1hTE3tfdV3/s5LVYGmME
cuhH11Misc7DHCjmrwA4BOpbgDMO0R7OCLn3wuK1jBTNT6OtQd5vgwhozbfzcDYiUKpM66EmmOE6
kVX4qXbj6MqVffXiIucOdB8jhLAB+1g48ygiZe+sOTEeWZStSbQldtbztuDHC5+wIc8gDQpZT4Km
g3+NuzK67v0GwUPsSSrw0vSYWDhNfmyzFZ+hfZo4QZIRO0PYHH/he4J0FI25DtKFce1m4TmnjUVM
3TzTtPbUQORZJOQ2DGfo2AiTuMv7GBRnDZXjPini4VFUmiCyseJL5tLM7jzd1q9OGpN06C8NMeSk
TV/PbkH8TyfK9jlvlunGgyn9aK5JZMl6uW20+xcyJYirWSO5kD7OezIAkNBSZMTXouOsoWybbzDl
ze/mAneasF9yaGjah3fwOcgNN2MA187IJ1YLZmjLnD59TxpEFyuM09LSEt8ZBRoeVdPm24Y9GYsb
+i2o6EoXPDQR3BWwFlLECuCYBulFImbLhQEJcfexGAZs1HHPnbSgOmbpdQV3GmtWfJ1naWUhgV+q
G8NJaeIOc74qYzvSlI7wYMmb8jv9XnkGe6bBLFJiGcbmHVmV9fg9B24YO+sbrm3gUTx6zS2rxfJe
2Wndbl27nDN0bLL/Znugdrhminu/rjktuNDa7oCnw2o3LiXvw0KcwZ2vTVYz5Q7fptprbon8o/Hf
2PWVJrXq85Qi3LK0F12TKUwAkk9YatJ5cIHQ6sA/QHV4LI1IPzVQ+83b1sAZPbChLOSxAvHyTkWt
LtkTh/u6D+GfoiVQ9E210zMQdryXpfP0VVjU0WHI8+FMuMDCG16bF04rMrDQKkpuXNHVe2Bp3ae2
HkCSLPG7xkG9rztEceCEa+dN+pHcixrASi0Ax0B8R29OksQBmDccV5wlQaZbnkMITPOdVbTTDUXI
uClFGj4Ckhfb3KjutS8uB8WSCIKBVEqNJ2OE/3RF9unJ7OPhlBZ1y2Ez99ocAagAB2LdcBbG62Zi
wNg26usSf9u9G9rV0Z8S7Bc6KRbycxk2NpY0jzLRp2Ge8yDh2bw0o7G9KCNVnvBhIr2xHUpAn/Ef
LdRXX8LmyVQJCLoanK9DLk4NIneWNFCCi4MZvXStejtpcT5NqXii3iY4GaH6mz+uc6ZK72M6y0dC
3xTTMsJtz4a0mp+8aYzuTELQ9mqqz9wKZwCpeSjSkqYi6WB5pf9XfM4Khe5LVZwkG20oCz07nK2a
Z0wBaZZ1x8ww8QOHBpxDTBH7DlDMeRH2UyByu7jlD4qmfGg89A1uZQeq8F3fcZBehuqmhyeyoTFN
9qsKxSuMIPcRSlR+liTqcUpNLObDmrllUsptimSuNlUyxpcJ6SE4Ku1j6CzWW2yG437wDPOgoTAH
XtI7AURtUPd1rDcjdsNdNM/uOcWFeEqFPJRyqvY8TizAVcruFFa+f/Bz33/H8Gw/TbWwrvzCX1At
FOKhjqeUXHZf7CVrFz+tyx8tqdTtPHCV5AB8cq+oC5FftiASp6n+tjBqwnAR6eSqSbkNkjInOJqU
5JplrZ5RtxZpt51q9IYMEHBaoUzrFdY9yMHpazpP2SkayzOdNTnGKGFcVHM63S6m/aQhWO15FPeQ
RlIKNSTR+Kn7q0LI8BMGYsoMMewzlsB0A2w+ufPMdgmywvHOu3k1lZsxacXAgDOnlddFLSs47ASG
M7TIsTTM1XBJ+AGvncIzMh44tzzV0ZRCrnJWBWkKXmzTtiXb0txIeYyYoQ2XfqjT58IW7kFaNOBp
rVW8sZaalkafGNONHzrNxUwzm12dwta06ds0O5E7Y95JBcE6RYscDno7eF12mXOVz7sSCFonqpzh
KPLWcuz0BX1f8PZdemZNhv/sMzNln/PaVuXK+JLLtqmJLwZAGHsbiDfWM1Sl9ljZ6s1a3G8hOsYX
Ktb8Je/g5qVdZ3yCoW3sMWpHO6364nZ2qVhysmcZevt6QdEKEY5yaDoD5DQkJ4MQdREMyuzwPmYA
OFg03OraIEUcnMKsqmvaNxV5JNjHSATPcxYh7KrpS0GE3a3deMWtm9BH3iQzC2gaj/pr3tkYFLs0
/tqE5rKGwfOBDSqAk8Q7dD9D+BifWyoerlvCJgciTc5bwnCdY157vFF88lZ5W9I7W3ILU0hEQ/JY
hYn9QH3MzjQrYnGKsqn7in9Xf+36jiZCN/fFeyZKugrdosMXE8fXW/YdhVMJ4FFdM4UvxLGwCRdh
YhAOvoTdV0NigcBXMPhqt2SyvM9xaXCR4mms9irSQ7UX/khHA6Q2t0ds9xQ4VQk+LnZ7HBh+VIUv
0pL8G7+esFWo1M9WUrTJbVQ6eHOCoeNbgkRCLhWUqLQUm5iJg6aJKLvzZJGafaNZDhbmEAjf0Z7i
lU9eDG+qjmKk/RjEwp8NbNdrCYC0n+KFzRRBuCBCysBtC4pWWN5cJQMbg7vNpx6bRjvESK77BKYd
HLPi3e57jto3OG6CET3nyz9OpkQYi0Cb8WQCJsJEmaasZao27Ceqg+PLaIuzscu29II49RBoynuJ
fqwk+z2l3YOyAMF0mU3ZWW3RBbq2ccxbe1JT5fnc6upejigquITMW7dj2PD7MiXph7T4MlKA4li5
DoAmVIyoVg/vg0tvdNPbwCovXcOKH7J5sA9lD1yuADJ6mym/Cbc1rqMHOEndfDbRhg+vRc+PPrMH
k+9IVc63TsqQi+fOiOSZ/2GPBoKY8OzS+4/ngL4MZ3EwNH9/Ke3ua8LuJdnwZf2LuRu6bwn+auyw
fQvPrPcxCEEZI2Zwm5s8PzgLpUkIMP2/0wgg1iQvUVPRkTpWkzjgtjRRWmYrKYtLguybZ4oNNy9h
3l+AQkx8qaXXr7jKBZTtdTw4hBWsJWSuSpu0MbSBnyxYCbsmr8wTM+n2bCx657aIvOkCLVPyuCzx
+Am7x/CP0eP/aFD/pkFFrkjH+t+t4eBVv/6vb6VO9Hz1Wnz7P//7mOdJSSPnJxHqP/7Rv0SoCg4S
Ax9G+ZjqsIfyef8UofoWYCUGqetMHQ3ad33q/4NQ8+Tj22LwCCgXjdK/RaiO+1+raoVeuu8y2zFd
+z8RoSL/opP7w3wM5RsaVx8hoy/WscXKafpRnZa4CRliVhefpsYCvDXW+LBlSgnBUByAIwxlQcss
9e9R1bNTWWcEBLQNnmRihs+uOWsRwYdbr8pd4sCVCHf5UKF016Y53fY8UOJgpWCNbzNSkJ8a3iNy
S/UaYXfE3AyXx+6gv42Fh+EzpLe36QtzAYrEmOTCT8FqbojBXQArLRq7Zlr5OyJtnHY3rKpHaKMV
zaYurIeNwE705qez+kI4xBBoRPu7CJd+uYGchmNz9mjmBFY0CvvCt3Eld37hXo6CpbcY+ruOzsJe
dQxDSRYfTId0CSu5r9N0vp1iU1+1kV3cFVCLyp2aKoOC0JsAQZbSxEDtpvVdLuuB0htmHpuc+SxC
mnWy6xZCY+wdpsTGGBdXSQW2U8Kc7GLejoB5MgvvPTWO0Mp+yn3mQInT5veWTR/bj8VLxIbkWlaz
H9Dpcm56on6PQzWLILbsm9hduoAejtoZc0LMT23kN44y8iunHO+kSbCKzHN26/Wk4i/U5/VBIEvd
tqzM51ZRUJC7U3M3tI7itMdJdMlLU1yNcenw3fqlvzDHXWNX1VVYt8V7Orj+fkDete8kOpSIZtgd
IukvMgyrwAopUyGcNpQt/BdFypMvDOy4xOQBV5SnYax4idBBuk/bzrlzJn86d2o13tC9oj2RxW8p
8s9XnIBjAGf3nHy0OZBUTzj78K22bm3cDtVU3OdtVuCKA5FtY3jfas4IDMHsts1TfWXgut2C8uw+
ZdMSbkRnT1czPcSgZjywsyTf1GArAPsijB4WT/Huy72GaiItK+KeIFW2OxOj9zkWHPM0m/3XnL9/
HfUiv1UD9hbwrqF/p+iS3nostPh5wpQMSHrlV5A89TatB+OQsSE5LEZf3pk2d7Rye30BoFWcz/C6
atgHUHbs7rJCoPyZMDqmbobW8UmksRXQFcsbEqcGETREsB9Ij4G62wAnQhR+MmP3cgBtSBHkAiFp
Ki+FiAqNyCnzAaAR9yBtXxpnfWhocnT1o0EsQdwtd8z8TCgK52Lg1d815fM89ulN7LTXhqbIn1s/
wPx8ZxGXsiu9+ktXK3Us0upxXrUbeKReCtXmmO9saExFYp/DDOLtuV6p+asRhahLV3vk0ptPEA2m
7TD74Rl0BONy9Hx/F+JNDlJTfGYx7K7tupj2BtGMyN4jCfmvE4+CBgOdc9WRnoeYxcBc7KbGSaF9
xFtpQzYIm12vivaQ0zCkrD0tOrnQ8AWwtKEsLJOrMgQNBeACi48okEGmABPHOtlnYzptBXkcd0BN
89vak9ERJQetXKKBjmjopttiypdDqTPmKZjODks2gV9sBwp8Zzy2swizYITkezsK/diDs8dsMkuA
LVYMqRVkgBjNe7IzV4xNY+EWvZnD0SkuKDGuitZ7q5pK7lx38R9Sokn2SKkxW3tJeDM7XnIt4+61
FDWRYU1Bhy2xXt0aT+kmbk390rX8ZJqSddDWuX0e5SU5ULbkljYxYQ+F+G4tz29mlt1NPLHeYZxg
q6PK+WXpfYbMIevz0HMPJvM0v/gz3kc2mGZzT4/mvjTBikZeWVxXFNAMYXzCUW4iGVpHBy87ahQ4
5PUml4NJCZ1WxzobaAolpUZ4Wpf+nU7Ve10RIhjZlHhj7OW0MDwYs8x4yfap3bKowq2ApDCR3tTL
lTiUuMbeWmgKe7Yu9nNMFc7izqxr6h/jfO4scTYPpT4VpRn3vFuM5ktmsI8HUZUyWZzi0SakpvVo
x6XV5J1lPfaoi0m07u3EC/veaUMekWzk1ju2epDPHfbKU7wUcESR7co3zd2PnRQRIWGARqgEzcpa
3TXMqkiqscz2VOGcODVzaOy1n5ZY9Rt9nBlpXsd5n9/TVnTUph0YrgHy5sb1lzH+zPS52w22KM6s
JIpfPcTu/oYJAMqmaNbiInJafH9K1LTqlxGB9FATtzQ6wzBsmEPhXGNpf4f8YGKREDaUh6HrbubJ
bkx6aTMJTotV1vCE6HlOqzCoh9fhNK9NayafeSdHJcjx/rJzluI6HKT/bk5xz8wlD507g5L6yQAx
elWY6ogogKzUwnGB3vgShHrsND19CvhqEeOzo6yGY8Fqu+2oH+ZgxqwLJSXkLCIwi73HfpjlBWyZ
/KuRmml4KnqbKbQLLuI2bIT7yHsERBXhm/uenF2DBDJVh2i4rTg6tmBBv2QJqessRlH4yBR1WGVA
+MmLOTZuktTtkK06RfuZCU125eR1FHEXa4Hp3y+WI4yq7KvQTQZsgb0ZVCAbN20ZHklNLQLCC3hY
60o310vjsC2A3OrNG5uBXbGbbd+8rPN4/Cwxk34LobK8eII2QuLYfrsJfcLNmKqA52itdLhhqMvm
wOla44swZ0T7tAOQZdHwg09Cd/xMGWP9ApOk9LbzEvbH2tLOGKRJ2gDQUkX61HiJgLhWOfouFeD4
6Iw4zZWr6/zIM8cGorfNGqIcgAPc7LG/c1Rrfgb1GIpdmZjZFFiDAZE9F8ldiGv9wE5NbUvgLSi7
PZEeWJ5TbyOZeJCvZqsLLLLNyYKyHbiw4oJ56LsAGpYLSb9eVg2j2DUmhCw68HrH5BgeHBqNW6vv
dNBJ6V/kxtDTswzRKE0qrY+dEljdirxsP2ctiIRNEvXEZqAsqp6z2a5LoGL+3NDtbpZvjMmdy9Ak
AhXjyhs4HP+TisvitYq6au/E+ZAHLPEgX2ASV8aWuTYropxm85ggVrn0F6FeBtnmZ3Vco9mxI7kw
inJm502NhBXr0HIefR3HMHAKBx8eiB74jJVdnbEJ4o/Z0mfeGQ0cqDFZ2AyrYdd6HfyBFlUp65dI
hPpW+ho+dzrZ4JwWCshdZI4995LZwR8olfXVb+wGwyuoEeMEuzJ8ZrBYfpoX7XZ7p4yn877rZ8KN
sNwGS4s/v2DEeExBUZjwfJ+bUl1FM57FuBho9Bi70UNlXs7avxXaN696JaIg8guycKVf29c0Ogy4
3ZE6NOA9ahg5g3hDMg8eUVR19EhkhkLYWYxMFizDsfBtdolJFy+KrjptL7sRRcrRTvPhsAjMqEvt
5PveNPsLixhat2+Lb0AkegQcvatQROAkABJfIsvEf/opIhr7zRVVuB8qk0kpVxOeJwyn/jK2p+wY
UWYxowylCVMdC7Bg6CvSrxhlyPyE1VxuaiPOWVqc8fL/sncmzXEjaZr+K2N9RxocOw59mIhgMLhT
FMUUdYFRooR9cwccy6+fx0m1pRjKoazubVZVaSoxCcDXb3mXFlTH31UyV/ewvrNTO/ct8oNkvJTd
jCKdgCdyUco63qY2MWI9pecRnQS1b2Q/ojQSQweHn1B+VoDb5QbzYqwosxzJr5Ouc4ITrHnXi9IS
3flEfn/JF1aXjpfn35I1H/Z1Pgx0/Xq9T2O3Oeur1N055fp3t8zTuIUIKJ9QZA9v3b63vgs7l6+M
sP/Nkv+UJcOBey9J/r/VkypBWL0mzmfP//1f4uXf+Jkhoxz8Fxky+WwUwsb5JUMGdvSX58HQJTuG
NREHwP1+Jsih+IuuIT9OdgyjShgGnGrHIfvv//L5KwSL+Vug3sAsIXD+B/LCL7jwf/Jj8zqsDKj5
CKHz1tExpZAi7lJTnPG+Y5TXFT+qek1cG76yY/XDbhgKZ3koqHgPe7W4FfelWnz/GwyXrrlEeLft
nX1nmapS2UcWBOomTqgVoSFUZvMnaeN/vUCw6YIVY8MEsQALHT1sPsCmVuOC2mVeUMe8wVOnC0Fb
2LDjP2VY/cqTqoA1Gu28Jc4d05XFrO3UVcBr/c2cF34styihWfhUN7pQiCcuaPOhDPHLRP4LEE68
rR4QStMhN0Iq/BcyK+TYt9UDpLKwE1Gr/71TE5Ej8j1hRsVdeq5bXtGfinnkLPKm/tFT/1ruQT6j
LrB1slHyPQ3GCfOn91/pBUb764TR84SgEGJKA28K8OvRK4WFg9KzkumzIIUsr5B+Tcvz1RuRWz/N
sPmdyg0nL/AKRN27aNyUxdxB+8LtsC2fWlTnaEeHI42B88rWih4CaL8VFbBqZipOBtQ914dMBok1
nwRr2QfX61oi/HlCj1b5/QYRgxEs0/sf9RbLC0ONQfZxjo5gM1P2OWYQUdzDQKKsmu82+FCkD5vc
au/qKmnX2/cfdDShwAqYS/aM8Bw2ju8cg5SFFarZi5b12RuN+j08++yUJlt1mNf5CbBc9YjI/bwb
YZGRfkorOHh0/5rd+6/hv11XvAaoSnCjqIAKPhq29dt1JejFY+qVhc8pDsblluADET7DetqpvFqH
nUbW/xDWA0qV+HdRmGnb+oA7aXylaY1QLA1T62YVqXdAk4u2m0yobKNt4W9laV3lS0Og5C6n+C+4
97iZVjetNVYD8gxIfWzXYS6v8HhSCagPcHKx41I0Rizjx8Llee2GQDtKKDCHnI7sDcxmsAFtokbU
N7Lxk+075QeridwMcQox7V00eimlyzy9n6o4K7ZUFvgA5JtItoaUZl9Y9EVGvjY3Hz3fii7zbPH+
FkigJFy1JUJA7w+uGbt/Nsjr2EL+dkIaJJy5x9RCCs0x8x4mz33u+ddW7xYPiPkvC5CQxgZdZJol
7z/xiFj18kg2NrG1oBLKqXwEAxa2U8m674rvRVd456vlUndJxsW6iLsVRSpkUDGP8VP53Ll29YDc
E7kqXgkfLB27+/ff5YXU+/bzjdIFNGPUzjnVjzkscqp9YFFN8z2dvRAga0KvpqW/rneogfqbHjHi
niJkCx8CrxO6AsA0/EPG0boj04hBtrdAJJCjC8LP+UBEu80XzoLGUtkV8mzq0LvufB2MZDqEVqkH
lsh0txWEXzovnV2P6LVgbxbVq4/5N8OyL8rBusItkGgnnUIL8yBgHEQt9HFQBeywns4wEkEzBp3q
tifDt9xagyHrqwbk51QsJ5oi7oOPEfAJKjHq4+Ag25vVlYtcRYhNLCsRaXbDx0ITPc4xtQ+LtqVn
NQ8JEi9VlW5VG3ZXE+Q3Rd+5g+7N+LXUACIC71M7SOnHyjb/PDboSnu5Q2dT6YKWxfuz8/v5EwIW
97m9IeUyPy/l6l8YN64zcZzOU/k9CkgIcNyIi68iAim6tkwZJMTweVWGWtxYXxe4h2QHgcZU/g+v
8ZYJ+LJgI3Odxfg9xp44XrCUflWt1rD6ThKwjBAAmZAA6FN1mVfBgKIIFiVIr417jAMITnHnesyg
h3Wsk1Xc/+Fl/mXDAimBEMTRAW/n+PRf6xGk2FwW39PQDj72gaDuWqHYRUkgv3BFPV6jGj6cd15T
n1WzK66GJqSDFVbDfGtMErncmkkjBze6P4jCiBCiPi8//uEtzR4+3leEYkYwIAa+dkxf0jVKRHHv
jd+XqejTT4aAi7G346G1q2xsJQNdgvFQK53LSPrtj4xWLvYEVKWnUzds1YNPQnNph1P5ySH5yJGM
LpO9LCg62mtaYFrX19af1ttbwoi5WOGTGh6wD0mb0qO5h35ZbktV92Af5uTZGNoJ96SrEqovG8cm
op3dsPBu8Ln2OcqxsayoqNLNDPVdmfvNn+g6b+H9L28CkxbxCp8Dkt6OCQF+eRP6DgtGY0XwrNE/
D659pKXxu5N404XueYqTE6LJ78/Y22VlnshB7CGWYehmeCY7b5+ICFlVdrnvPM8iRb76O85eQArP
km4k9knb3nw29sXj+Cf62W/RDM6HETG7C8AsNISNtw+2RGqFLU2cb9XYyxZBo6WjOgWab02W6Q8f
ecTJMV8Zw9tDAgbPRzII++hhHHOinEA1PCsEZ+vwgNxk86lyBgLl7RCi99XdzPGa2PVlm8smsE98
nZXrQ6HCrnMpexCVJxtKXHX8oaAd5XpIdTdOdVkCvIyWAyRSr5aH92fm9wFiqwfmP8jvkxkdXZc0
gJSEvqW+zTbYMxDsoXHfSRyLDPcP4/PbIjAkY1p/kFkER+5xAC9izMgohDTfKE9IPlhacVn80FS4
/c/EVAFyUWgKtMOfCMVH2gvMix/zgU7AQQ8DQxyH6YkF+LCTvvUVzLhwsOGiDTKqbRh1VL23wqXj
UKEJ6JXh0wI3ZEalQEocCre1NTv6HoTZRFkqi+Z1+JoiMhtTmQkcSCKQGNWf1HJYnqzJf043L+QF
Q1h0rFZi0kgcLyM/nWiBjbL9StUewYYN6lzDeqsQeWR+1sWm3nMaq04F15ab5Cxq1XgeyU8DdYbk
IC69dPnGXNbFjwC1Un5DnnglfVIt4IH8eE04vKTjdPHnMQ0+w+IHa0R9PyyZdE0Hk9lp5BCQdjYA
nJmRrE5MSkLggTLjzsF4MPoADmGYH6EYkDJvQK0gq75zioKax8Ze86Av9o7Xo4226bMpn2+7wCsg
yUyjyMXGRat0vWUXxj7AfxwpHiSaZ7yj6Iq4GUH0jeIz2mJdgehdQMPkYR3cUN9r2Qf6ThX8P9Mm
awo2Mq6eQcucOUBmeHSNYFe54OjaWRwqCYLZfEyLQwwCqkvWBI1Pl7dw+Elu3oQfyYNQ1WCsoBMO
H4YprEnelh6dymGrJCzh5aRIYx5t5VPMj6/0gXmaBYczuHbjEoM7Cq++PiSe7vOrymui5ZT+zdxc
YGixjOfjPM6spTkCLLUYjoVYLiKNrHCJEvlgcsQ+Shw2NvDQQaGlhgA4GpU/PwDz74xPbdB7CYqd
DeKPAfXthuWn5tQcmBVBl1Wf4AUW8I887LCgBKOHCOX//I6+6y1MZnL66biOOaiMzBs3W33GYHTz
hUfPXcZBvLgt35S+jqpHR5CR86Nu5AemaUAXs6nkCOZeZLF5omuFVCmWLgkYlg7QOZ/HeWuWS0sR
s/jh4i/KoimSoKjvcBmiMr9Hxtgslw7QH3tKN3HMqkkdvFWWrTsjCfmDMFAk4R6vwTJyzy08ZZdv
Pc5qjGE7Uwittj5nsEg+RpUdMCZrOEbVdIYBhka8Ll1Bv0a7ArMy/m5BBM98RBF3wXzVu5hZpiet
Jc28h47mFDiRK/L4SMU7iVm/0u09/gRjoXf1eay0x28BaeuxFcYCTZqCmR9CrhCJnAuvhPGGeRAN
TvMuXpxhBrwFVMEWXKIe16KduwaBd9CAM3i9os4jU6eABlHm18pDpf9zPnr8AQGUJeS1Ci82Y9zr
mhEcKScynHSPzZqrKHl4h2JAFDTcpzYty2FrSkn6vosa/rcnemUDh8XA2UCpZCXK8KacfY7D3WoO
D2ND+FT0rjRb2ovNL5U2WlmkrYo6SbMZOuHq+xCbKUYBqU0DcNLYBRb1FQBZwS/sJS0KtKOpPZhV
jaiqHHYQFlbhH9A097GIK+x72IN5rHci8kJzMmVVhqtrYFt7H0OKDtvscklpGbC26XOnGkLDrb8s
M8s/UtBeERFHz39puK+nFrl539clRVp7qHqbNKpw85tWZDmobmpTZoYb9I6wN4IMrrR1Rp8fvCNu
h/3QAgitgCVOFyWiGrxjYinmpod83fpPjRJgSpFjKiCufIzrPvGa61a18RxtA2w78RTgIOa4ORmA
kSw9IjwjykabkTrVrDeJg4vPIXGLEVdw6D0cs8G3dQIQS9UbI0e+OS7mciXLRVEny5AHb7NRhNfD
HCuzeDAlMStxmBZSs3JBaQu1bdodrCFYTX2ZXqA/ufJ3vaNHiTGm73JU0lJnlHY1aEkStNm2aC5e
qymgk7AvEM9nlpDocrgL2oVKfrCNe9ucgiODz8oFGZgMem8PHYrEaOGrnr8bZGLOpdLW9fwhHnAY
oCfsjSnHU+eBvJ4ukHrndNCMIntBOBB+YLP10sWtg9mnRX0RYTTpHaJKrbx4Nlsjj/ZENfP+HJdc
RwBMAIXQdEe0VJ1EXmUu2WEYe5bjHPg5bRoYSwvnwxJllncDvEDSg+SI8r1Dh7slnxTRcaY5WQOE
hACLjNLyDUAP1befdTdOfTM4E8lrG5+i8B5BN06zAtbN2VjAZ8MfARGlHUSdJjnx0I7qP1KK4eMR
FK847fUyhbxxWCAnpPd0qkM2djGuhNP0DVCQKjc/l3WdA47kkPFal4W7ItTIm5Oym+NeWRGXlgBw
xxjTaIslQO+lSm32p5Xm7Fzs3ZCGwbhEhChI5xy7OxWXciBhXsUSfLGaqZIfbdAC9xRRoAuBEO5z
mD0Nit+Ybeux+9bhL2tdyLRG5DjhTd0tNrV5/yXnzF3BOTZt9Uy6vkqqVkgVP02Yuk43a4z6pdFU
GtqLDufzDsQzzEWjyYSKoBr30+RH+lr26BxjilTbtbh0K67VkyQaUODvmSPJIT9H/QoktdES60is
zbSJrFc5Ua7zQvAnMQAUaxkeY0eM3segGhYPkQ6sF42zWIU2QrvpYr4fOt2SpANWXdxk1TZcKzJz
uBzVast94tA3u5jZHCOawRTLENHo9sBlabn4BGjrfYoMasvFFwzhuVqWMaKhDWR9CzM+po8fpIOK
dxgAGze8MHRQCfCr9ACQbtjB/5nWiyRubPtUTCJz9kk3iwaTibBaUaFOXN+67cq29j5BOwE8fIqW
wtL1J3Frz/P9PMz4GFlqaKw7z/LU+jA0rGpqgEEgP62hThHzqYYglN0p0s3piheSDrtgF4O6xJ47
H3C8XVGmxXkrLlvXoTQnV4VVmqiLqHnOnK7Vs+mdLf33uPBdGClj2LUhLWvlDyDzk6b3o91Y2n4V
nCYkrcE12ECrLE910BHWZt+zCAs8XGfaCBA+4CkfBx2opy4Ooum1dPiY4vZn9G3DkwnE3YQ/HEjz
Cd4f11JXu+DZP6HF0nXerksmmUBAsW3KhQAnQp9ojCYsG0bSWmX9N5YsiKCkO2tzrcQcJGzuPjLh
o+QCZztkXmBOuBpcIkdJbi0AuvYISIEjNx/WTdHF2qcWISkUDVyMrvysLrhlqKlCijtdwpDfCfe5
NdEf0GCTOYQUnXjbBeurKj4d+zoPPvuNangV0VlhGZ+m1kBtvYPBxzHpK0VkH5UWo3TqOT5RMKVB
E0WjKN9xlhURsNrpArxFgmqZWyvfBgcIn809xJ5TERI1UD45U2pAhHwocQl20Xis1NIciHXlcEdP
ETy0CVHeeGCAugaVhmob9dPMm0pKzjx7hAbSrh+15/f8XZvEM78MIZqEvaT8VvL+CjQjJ0pJCZEf
cQoR80YNfqt0GWOkhviRONGcNs4wyuDrRDUX3LEDZv8ybQvNtTh0qBG7500XmpAliwczRkPbBIP4
MVpqKePdVAkNZID7kLrBBgTFzNjGVJ4Zfs7wxYRIL+2NQNXmlvp5g3miZRzLFgl0MGDxZN5euInF
QHYpLNz2dMmxoflRjRYDyzFTmDcYlYVd0+F/RgIyHzWksUNDk35Ik/Eb23qAqrQrRbNEFRaCIM7y
bQ7RiJylnhP/cyUFvZbXaeTCFOKB9G8c7qM+mflit2hgIeGIounuXjdpqbGoWqeCgvSjBv9dlIes
C9J6OvMIR/X9GjomiqU+b5otUo46z846uzFBhT0UOSH45CwmJ46CnsVSU9ADUJ1PtgyHnVc6RCmp
k5hoXredpGCP4r3S0S3S7k6bXwZJaPM+2KOYfeC6KB30G40ZuL6vlGe2CHAs0+Bpip4fSLRnAjVR
kRrnPRghqHXJiJ7Nae+EFXF2+nq7ZlqnXJqo4BOobl23IwoMXESPDnoIzHpMqgKa5tZmBIofyQoa
czG25uaniUrkejtVUch1KXBm4g7LMtwiaCAGI3zLnXA787av26McfOalAsnOpErFwVdfurOr0y86
mtJcHnyMPcH+16D6WKY5BmrsM096Zu1WjRM3V/UkUj3s0gqkD8rjA6AggtqpRY1gO1q65lnNKvkE
u9O5qYsIE1rHuiXlS8M4l09ajrmxaSzHDqMgckvPvfQmAZUZ5yuHdVbbjkkCi84nY7MFnp1sI4/S
/y2JJ/M8LP66XLgTpi0XQQg+TZ/ODnblTzoTM4MC5cZEPiq1NbGGaiPJ19LrKQkMfmbE0QrbTO9n
VDLIvvDBcvlTSs4CXc+yrPkb3BdcNm1L2/bWzSBLRbRgZKqsQxR07niPhYk7WltrEow/OhMm6aZX
ZqIwOWPqCl8+liaQT7uW9ZGoJGXWBiAMhOtzZK3xNpe4VxKjxH67PjDq5sRFQoOc96wPYXgqkz+w
nAJYDPwimazmqOw4k4NDFyIli4gr3oBENCKi7/BtKSPiqNet1+jKhFaVVRtftaVvK9XvBpCgZmE0
kylV4b39YlJOHXlqbmxvnhvctlOaLfjVxtbAQE4CGkV5IFtOu6sgKOF+rVRr09MEQ73xQwBxXZ1F
44y+VgS7HWWtMbQ84gNo2bhz7ANYV/ya2EOmID4t+sZEog6IDc6Z6TVrnEt81LOzHpUfDikC/jHY
KopkTnWCiLrJAl8TiypZzUu3KyY3OJX1lLIhKkYrGa+nI6B+O5Ikm9UPGrlhSnMxmlcfG9C7NQDA
MRmGE8DYXnkVGng3P7gurKgFxAdrbWAawWjPpYKiuQmsXK10wjNsNp/cdjYZ+vJ6csQY3DKGtSjN
qny/jPcvNaOI8mPsAmAI/d96GTB1Igw0qunrnAwmzzReagh5Wh5aSPFGjZLv/cMjjyuHlKki0lPP
lPOciMDpbWl16Ro0Podg+OoHk0ErvC6NClYtV9f7X/f7o9BYJsaF2uBQPD+u9ztZ2q2a6sTX3EvM
+dQGHm3Si5nDmrPr/We9VAPflt8Q6UZmiqalG/yOwoDbTO+tKt2vs1uPJDJjZjh4W3/wMrYhfC7B
XbgGLYfG2Hg+Kg2jrvoIab8B54trqhCmkx+T8pqz5/Vk/tnrb2RqUgTMnBV3Qhj0E396//V/GyrU
UU03G0Vx0nHHNn//S21/lkk90Njzn4Yca0yspmxp0kIuV1Ko9x/125pzqUEjth2AfHC86Lh0TBgF
C4sA6inOEHhYDskSFdODWEOzRYIknf645I5bKGjUogRIN4dnAhg4VhKXvXKjlF7BUwcXnN8+zGy2
2xGsGReEAxVu2SUx8T7BxMKfvwNGtOUNpx106fe//XiYQQn5vmkpAAvyxW8dqAk/CA3n1v1CTYLU
Eb8tqlQA+kw6//6TjkcZ1Qqbr8XLjqdRHDNV9V8mtCQwjFxRiC9j04blFWhOc0HlBZnaQWeOiRrf
f+BbxSkaNOg9UXYG1ASNiKDpaAUNRbRymCzyCwBUU09Gx8gccxyKC/OayL6aBWCNdMnibVj6GTfj
+y/womn16w4k1AICa6O+Gkb/Iq1GlphVogubL31mL2mDmCwSvydUPbK4OH0NW7TMTGiMzrI5v38W
xS0f5RX3pA6wgsjOptfBqQvflHgo/S/s4hZJRLKFFddzrgSFInGkdpE7WBESV6IcOK3DyTeXpV7G
Vre7LLHZ+BtajKb+CqOV4pGY5IzZsS4p0Z1EBPPOcJYDpcL+oi0tE1tB4DNhlyUdBJK2Ku/NdQ5k
mdgmVIgkcBd3suO1wtcCvSK059QsS8cETUU0vER8jjDBclLU+DNvbIUuDOWxtJBUJh09a1NkaUrK
su8P/28LLvQQtQsgiQE2+X1pj2QWGbYdy2Ob9QCjD2k3mBQINrWJAH6WrN9/5Nt+LkuOo5Z+Oj0a
NPWi0CDsfl3j9JwQEVLR9BingakxwhkNyisjpF1a17ayeQMcK8Fid/tZJCYotKravM37r3H85S6i
wjYnpxFnYM8dA5KQqWsm5jJ7LFvKn+eQNYf6k1NOjrx01HD9/sOOTxD4b37oUikKcFtFmsl5+80A
R1KUnJT6ogGrrA9+EZplURSdiazef5RztKX57VGIXiLgJjpvrmsfNSaN/0OFeabzCQYtVkQJ5csB
OznKqGS6eTFxO8CCW2v+EVKwYV3OyN49EAr7EloFZV1KMKQ8Bq/WTW5FHCpWoOz3dp6SoWSIpi/f
srbITFlrtkwZIBqClk2oo8CUicua7si9RsKIj7NKn7soTS3TKQJMbs5rEoJy7s9AOedLtW9w+/au
3h+Eo/FmDJCLd232qRcCtjgeA99PB0h44/xprCGJl3wvrQrsaSckzR/ef5R7tJ7NnHJ4BeCQAq5F
tCrfzu3UdtRUhZfcI4z28qzRp3Ra6t6E+iNHPUfQa++9ApvGKIDHMlXSn3+SGnWenATBZnB9LzT1
THLBjpPOqVVCRcEqi9Fa0WDvMmRQ8q6GvbW4YOXdEwTgSI/zlUMNqsFr449ukWkiWUg8sXfWyF75
O93WZsJXv+Ap1ksnPnwtTWhBBRSjIT8zM1kIopZpg7OcmXdUPkxh+WcLjR3J2kV1xyTPCSL6/MJF
gAtq/3Dfvt2agGRoIrJ0fS4GDx3EY/AEekD4rOJw+UwjDOUDJ2nKk6Bq0bgKpB18en/+ordrhacZ
Hq1t7Fp8Ll4Iq2/nr2e4dGR3ybdKu+HnQmJQtHfoxR6CMuo8GgrZsE+9Ob5YMA1O4NElzaF2yupB
p7mtX6jVdGhTdxNbSwRXBUjVp4RkWd1Ws9LZNou0c8A3/UPN53zTHQIsfIeVLVsaR8GNhjt4kdm5
uuL6y1ZKAxlCZJYq3L9Xmtb6PJHwvzcdKsjejhJl+WCt1kAmUsFW2qpY3npcgeXeqyz3KlwkDNVu
gSsa84YZ2ITzqnJoSRTdQO2wLSf6hYOovoCUgDI/45G0GdfeBibXyfDeIRh46jIkFzaJDDLqJalS
p3gUNvdT6I4PuetC849sCwSZRZHwsRxjBZWxkx8RllHEYMl4KOax2NOTWLptQ3NqRowuzq3N6NX6
vGrak2GKNdWhrCj+HqMAqm6UjOgvTbK9X/H42xHrWuD1LcvbogH9wRsW+6uzDOqLCFfvE7pAiILP
QX1Rhio/8XKwSn9YEUz4PxHJ6/ILAYaba54Yzj06rJPVI7STcfOMnmoNJna272FHOWpT1+WV9lxj
14Z5yAdahFiTvf/s3xbjy8IHq0PLhkP8GDYx+ipuS0/Wzz0G8t0GilI5o0cIFfoP18TLbzr6SrC4
AA/wKuJCPgbLzLjROxpczrOYWpax+2LCgkC5yHdzVoV3jVMnd7nC2nFjV34M8UbjXn2qcx8BQHCV
qGTmQ3AjAxmfN1YffuK+hSVJXXF4qGuCF2doauhWg/A+2LpofiApEF02lGc/aGdx/o4L8tSNaIWN
XkOZ3rh1zNKywjqgelPSixNTTGFNxssz7poQYPtR7kXq20/2PLjblfl7jYX+l2dxv3RoCjw911g6
5YpD+9vwK2uCwC8Ap/j/VyO4/j79n8dWlv/yL/3kWkCbAHhFYYDygBEjCDnSf6oRhPFfIXgjnH4o
a3HX/0K28Py/DCyNIzcgBwd4yU77SbbwbOQNYpOUUADAtIBf+B+QLd5eKFQtQOyTunFPgw7iSDk6
4gVyyNTn0pYIxeKuLZvUv3Hl1F3TfPpTScFc9//sq9dnkSNjf2UAnuLYvwlkv7X2kWjOQiTprqlk
iOtiJL5aGIHLvv9PNdfNt3m22cm4YJmiydG3SfjMIfokPI9aU7qZ7I6zophXQd/Z6IkNYBZO3DkS
91OAps0v6+D29bPeESw2Dwe8FIBdYvZMGnl0d1o29tBKNmerHIbnmjgd43aho8sFVZe7GS+Bh8Sx
/4Tz+5ch9hktE2iYtXZcjCI1KeQUhfUZp5XRHsuGZw3nkRZGjhZZai//8QMD5MSgEPFEk6keh3iF
jT+xA3TukFlc1tzKCKFmQ3xSR671BZxJ8Pj+sIq3MTyLCEwYWEay85jBdV5ill/qABCVgaYms8Yy
Yu4RqAkSyDor97TeRKC36+0y5uI6qpDDDJdS3PVUiB+aDtmDbYa/D96koQrvhsVxAIVrf9SkoJm6
FIgjfF6c6A+rgFT9eNGbuojD3gdoELPZzbX2y/s2dUyqWg/jgSwo9e6t2vGTC5VWSDwD+AS90Kdi
OheIV1fpRgF/v2cPLndWXMkDEWYQnL/o4NW4x8OlUzLYoNLEWlJov13UaySuZ/zEs3MN4L+mNq/F
NSKsjENf+uivjo5CLskiWt1Mi7NG+86fxbUlQ5BQY2jT+LaW+U4MwXybgNOsUFdAIvNrpN0OcR6M
F/VJVPZOcSFdf74NOCWCXR7pMjZm3xYmBlmMOqJ0JEsuAVHTbEK1WChUOWsmxHdWqaG+izwv5ito
jtr7MDfLdAmCoUJr2S9A4+GYgKm5OQjkUrNPIZXOt9Y0EN+WPdbbc9J3jyPqlY+rtN0zQM0g82et
u8eodvWtrRQyF3Fv2p6zXcQnBOr+UyTt+Q41UnS0ap10j242zHdWb4l7fzDagmvuP/mx7zRnzRLP
GOcOKFLAcKThqxJ/vhs9iDbgebwJQKrigTG6vA8OknRyN0aT/1RRs7+OVs24SU/cjzGTtoKxeEB3
139C0ni+y1MVn/Tu5Lv7pc2HaBvPFppFSifz3etazYoUyajMzafxKjc6WigVEXaSJXePzqKR+Ifj
hdCXJZcSB200A+uzsrd63MWgLEXjyYBC0d8ZJbgH4mH0pIZyDOcT8JisE90E3lOrou6RujGbv0ep
KkZ04qGr6iLdoNDFysC9z9p6dFQupI06zMa4y96O49JNOx04DCm7G3lGdB3qbdpS6N8DwGGS4kyg
ApsZkbYJTNldPnlw0XCOA21nxt+bB4xZx8g7yZCLw5HGymjGNFBxX35mSJJmWy92wbmxZghU6+4D
HgF6N4HB3EMcYwFnZnsAdUCXGE3sJLkQCoDUVqtphDczR/EdGaSQYHYolY9E/ZFdXA89THbQ9oRw
80eEEFApJsUFZ7avCnvZJK7Fv9BUubDP6JeFesZI1Gqyc6XQvjtd7LGYdvTcl+Sug71coR/jQw9u
MuBnl84aL4+4sU3PGjVvvZ1Q98tvp8Vypr8Vw5+dqqbRp8rJGmx67BIdzwh2YQuqDUVP7TPO6r5z
k+wELB95YhMjJ+qCcct6HGvdHj/sqHCvfTQWthoj84S+3AUSlPN9UI8I6XVJzrRby7WHquxWhZn4
rGyn33XZEmwGZINuLFKsuynrFYKQqBF8GbwyBj3tqgnftDifL3RooX4ZtSlyJbaDAJ6NgWyE0/Mz
XD1xHdR5eE7RMLim5xujbrZ6KMc2U82Ez5ZqN2uR5qdG9f85zjOUvZU1QtJhccfn0Lxxxok9reIN
5MnkwaXK0uyE5X0ashTtUtnDZguL6wKSoHfoJ5cjW4Qui07aFPE2S+mr50zwhw3n8nxnaE3zCSlu
lh8CK+GWRi31dFFD9+hTEXxAuWAsNmEa1cgnaT3frXg0PpD6ievOE93jgmJ8RXVyeqIrlD4UfsCB
2TrlPe49xd+FXNlY8eK7Z4lNCTWn6nwWdTFGM6CAmx3XaHsf+LQ4cvQKFZ+R7oWLzP65Dx4n/ntV
nfhSS8tCKAmAWHRGjZAu31Z0at4jOiHL88Bx3a9rqv3gBB3+8yruksvJ6tJbiSbfWRrF9yQZ/UM1
yKelns3pn4sHVccjMCvGCfo25zza4Pl53HbOl9FKxmlLOwU5hXgKPwL0LkOAtNMZgBhL79ypF1v2
JYIzSSujPfrRzc08Ipq8Xz3noc6ibkcDBnl2XWeIsi8Ogh0WEH0NWDhprrEB9r5WwuXnO24s+cnP
KDB8jaMJCYq+75J2v0b4tmygi4+YqKnSugSsPzJ0NVo06+Cnn5E1bw/o6UVIJcPZLfik01B0stwi
4a0egUoRi5h8+9LF8W5bCs209vBTT3L6/xwWXpXKaxmp5WxxiwhxoYVrAeRETakzUM92hS6cnwAs
ojkPvG7Tj6wU2tQ0OWfLLKURXeNdSp5+TW2ds7THb1Btipjfo6EgnIJUjC/VxNRsqwo15E09AmvY
hAiOU0AC54wNZsMSnN00vgyqDq/r1Ck576UGt5BpzkHtm9Q/pjlzGXcV1u+RYa4VXCYIQoQIJ3Yu
jw/8qUf8HR2PQyt5MO0D72ldCg78lyMwpKEqTwDBmaUP6Ca7HaYmasB/TN7lNI72KQqSq0b301LP
DbpLuCW7khVBbdx/emEaqdznnK7R0Zc706DOdtVAPe48X8hrTl9fSzRoO5z2WUEkkVgW11eIgOZF
X0l5oLY/3w6a2LfGex4RrapZzp3JCXD9Hpfam68ELDR3S6rZPk5O32U3jq9567zu+NZJG9RqA8k4
vPP6rlLcFsHgYR5aZWmP2Ba24joMgcR5wflYqqLfQgFZPiZW6z8GmeBgXaRVXILzn/NNWY2olrqj
gLQZru3CuVkFl97qRopzMRQfq9bC633MrB+DRFE1GydklXhnohwcF+IHZ55YFlElucn7eBD3LjhB
NETlTA1IhkD/eZPcjGjfMuOVT7F9O6JMxIUpOao+JmZGAe4zTRRH612lmEZL9GQNSD7Y0t75qrPy
Eyy4EttgGj3fY5wILT8GLlSvjxqEPgY7aMimWXRXlVEccFV18epSyUn7JTeGE1YqPhUR0XJ6Ok+D
vwGMO99VNmJFuY3mEVCVOqfkgxLqFGA1UFsxMUjoZPY51Y/s2q0HjQ50hnp+tvS7mXrveYVM9hXT
398hTpWdlXS9P89WjKjogHYKGHuuniWqD6kTCOTlQmsPfsXnO3AsaAw33g7jC2+BfNvX7gek9fOd
K9NxT21e7OQqsLufqUq3cGc36VCJO4gWgBYJQ9Cm0bjdIwIDVjCoyx9W7vn7SLfJATOIGtORnuYR
O3Dacir8QHTih1UtN/GMQSLrmsBg7O0bNN/tG79Gv+P/sXdmy3VbWbb9lfsDcKBv7lsBOD0PycNO
ol4QpBp0G323ga+/A7SVV6Ir5XTVqzMyHBWVokGdBthrrjnHBEMd2N1c7CWVHhvOxtG9tId5m/EQ
DTMCFBtpmjcmu6iz1IfywrvNc7mU4siTj+7yIsc2ukLBXNqVY0+ch9zsoMck84061/FjrdjDc1vp
xnU1QtoKjFjlACmbnfAEBM/x1ii0O05+5UZHdv5mQWs/GsYI8MIv8J5S8Fk6kxm5eyVbvlqNzRti
DnyFtwioUxJCLRAVB21lrCmAiEZgfjiouIMAEQY2mwzcDfusOgG+VkBw43Y+d7ngQ1ok3G1Su+UT
uYx0dfoAPZLudgajhYmBY3f46zFqnTp+GsVd5igULoQFDQni/di/jHrm8cSr97X1dujH265jj+GT
+Ovr/Gn6AbjEpgotg7HfZHD7efrxIsgJWdXXewHMHD3VcbSHZjXO+yZ9jyfbXEeXt9vhr6/78+aB
KZH/OGumx2YyJYT2bupiJBcGmKp6LzNhv/QK+7uik0JuJyfh/lUV5Xxn2wn34mZcT7m/vvrP+/nf
r+7hOcARYPNLvN9Vzx0g40mzq/0E00snttDqD+561wW1xt2+j2v+qbL5fDbWkzemAm7ub7/CP4rd
Xyh2xMSMH96sP+FDIaO8vhTv0Cjrj3yHh5q/kUklfsyC1dXQj/jEfm+wd38zHdL0qweHyrM3/ep7
gz1yHRVkNMBiN7ExzPE9+EOuM9TfdH1d666fRaQLT/s7ct377+16qECvw9Ci428x3ktomVbrZmeY
yt5jB5Bhf5iX/QAF4+GH1+S/Ea/eq4LrZdD3V70SkfFPBpNF69p5XEZl3y3Mtvi+59AYVPemAC74
V8Hv95IV13pr2DR1ArG2+daL9YNAwnuRdd5oRPtZq7wb1W5XRrhmHM2FDVfNRPJXThKCVO/ufuvG
mWw/wWlYrKS81yj6D5fEomY1mtNGe5qtIubDpuqvKk6O8N+VorIClwz8E/lWQ9/SUzNisAchPO/s
agK3zPqNFpdx5Kk8SCptauBOeyJE3N5mrwW4LdP2qiHXsqP00du9DS0k2nXSNXKll2vFReR4+YTS
9o8IL+XRG1uSIVGRXkczTHcg7dA9DM6x5O/U4oCMMG+IxBUXCPkL/nc8oQlngScaI87qMKebyREl
Jxmh7hfIUWf0FNsNEk6aF70Dxr0YS3XDbJI96mpKERPPoq3VJGVAW9eIabac9moFprNZMNa6o1px
QpqnjZZIIIS90Z0cra+uSZCAmMUQ9qKKWNkLe2rCpVWmfUOIGTlBepEduAplPJ1bFFf2sgZoqiUZ
fLWZaOtpXXOrYnF8TnPFo8xHJtBM8Tn/XvSDFLPW/iRlnW0dlkwljGo+54Ga0PLiq0ZRvsKvqZ9B
8LgfQHvrd16sepC61c77krldDerKaynKKPQZ5g/0eLltWV5ynwULAn+cQxsoalPcqGJ0a6SeuLpy
hmk4zfAVnsCviCCPUqp3dMFnLyPX5ZtAfW5SQ7tLZKoGkczmu6Tx7A0SZPtcOBWpGKn2nHZsBQIQ
wZIvbVEku6RMPs9tVocxNWunGJmGk/uCd3/T8eIkZSTODUyjD6ahKxejTJcrdSGf6XdSy4EsjKoS
5gRX4HFWyr0JnuwQIXPvx6nEMT0DpKD9aPhCPr1/zbW12WuJIZPCM029Iy9Bh1fH/tzQEjdh0Lku
Qer40hFfVENOPgZUvPy9xGITP3qdkvIhrcVOgcUN6LyQQSepHKkwxgReBN/WqftTBtqTBvE+nsmC
udmL5apE8RQHeXcwwqSy543Ew3cXTUK/sjm1WHKaNNJFwPe9kW+PxDF9NnJTR5qj/qPg/Gm1Sn/O
9XJ57SVHfd5Z65XalfwGWq0e5kvf3zVWT2Kud++axks3VJ58VIbWuEZXpPVvXrprxVngsHn2dF+W
HnB6zRu3DC0X5IoPyAoVq+XcnUYanuIRb29pp7lOT8nAHhVkPAcD0lW1nvlLl9HNExc5uFB9oNZk
FpTVXLkE7+SB3TKRrYB5RlV95qcYn3E3AVH0OX92U8wLUTUhhW5d9mC2mcvx2AeT7I7TgzNjL/a0
zolDix6rnDIGKAa+1ai0RvVuWe4YoCCaSKQFd4tYrVsH5rBODVMA5e62w83cgH4jArCN82mJ78bc
4k9SczRSz9O0A524RVtOtzHFYK4B97PpkpMXKWNFWVo0Wc96TZox89Uygko3tXR+PGXDpFjbRnKP
/OKsYomf9EmvHHOOx0N7j0OlLJqd5nX5M0z+/N4bKR9p6WVbL+bQ7UH48MmJZgUEsKFHs4+f3Dha
EpKdT1EY3J23zkCrN4zjpEcNyrq09nqhqA5i45zOYbF42gNRJdTHrln/305kR/cElqbP1MpELowq
PN1mjh5TCcRt1uMlpBx4jIcaPv8xZWm+6YthQUFsIngomNYYaE0TKqAzOtpWs2k8Fm1abqza64Oy
U+kKUOak4B0ASiRb/q+mV8r7pVMjGjBKZahDBLfiIg2z/mqyfWamiFZCvm6ikM8QMMPBjgUmQHKY
B1cV3o2wUvsFlgW/nyFGbUsesLgQw2PvncOZoQAOnxs2cKWH+O+24slQUbTp5LHpEFmK6j4uEg7+
iNeDxs2DqAHfWxH+cwp8Y8H/1SnQM3nm//u17X+1KfCan0+Bbz/yHZCner+BnrMMDDCAud4OJX+c
AjWNEyLHQ9XiFOa+weC/E/IMh1MgP0Vukg0nmHh+h++nQAh5+sqepc4d+IPm/p1DIGaLnw8wKm5j
fi9Wi3ic+fXej1VF43SdzO3pSktrcqWoHhNZprWwhfKJU1WPrk7rb+P0y7DLdZaP6gdEclvDFVUX
3YNemP3S+qvFXN8IeC/1lPHVKZvavU/JVfJoCYasJAAQ1JM0y61pTOg93GbnfaZMEzZ/rEB6MR7a
gcUmY+7SD2Vfn0sxI5aO9Cd2vufWJVJdJo8cqkb1kKX2fIbqHMFjbmqMEfZHFOVxN1WjEweqBIZt
ZfVVtua4KM/hW2FZuf6Q2HBm6UHltuUThmZwAvrjbZDLkZ9Fu3BoswULiCUfrRe11rkfYK0Zz6m6
Dnp60nNHwki2rkAZ9sWulKPYkckTbmh5VXqwi7hxrmnxG6EFzCoPREWp+HfWc7/r23wckEgxAiaF
SbEGhqNtttCGishQ8i9ee50okhijEWEsKp/7aSY3aCdsAfBk9WHSdTwp4nqmsIK49YLTtiAXbjXj
x56euKdoqYgKtXFTywMitcSO11r8Rc1IHfSPhJaaq4nqdVYKNBGaWj5u7LhuaCzTWjjXlVaHsJ2m
DZ3UDJBpPlkH1qHOE0h+eQUDjRZ1DNINBU1dqyKF81EPFSzq6qWx843OLbDYGb2AIl9ZEln4DTXb
ZZnC+bYYHTJeZluF6mBisrLp92uqKAkhJg7uVp+maTOhZQRFrI8gJfSeHUwb17UVrMGBb+yq1JfF
0riJWnwbt+vhaqPCVX2hPsTTt15bwNhlRL/XSjCzZDvFR/AUth+p+O6CGrzAXoxJrIZ669zQasfe
TQf81JLGb4IaZzQfGk1q4waeW7OlUVVuSG15N9Jqak41LRHRxoyP7Cel41dGkZO8NZAcrWTgMJQp
1aGPMv3QF04R4gKOPvFtaDGtkSt8hb8CNZpVw5jv4r7RHyJ07sPUFs5WF1iDfA/u+b1rjp9VUu7h
OGN5jkgDF6yW5vQAL8BgER0Dawhi29WuChu3WZ5Y7vM6VOxQ5OwI1MCiaaE10pXb8Xw0wi5qHizC
4NcNzsRX0ReUrjbx/DRgbNxHCw/mQFFUoK61shBYrxXoyJUsrxsrY4/aVxkdqcAcosDq8jXKFlWP
dtzQUaV4rDm9NP7Qc/CUeFIjcZebtR6QUK93I8JZX7l8DinJ4vFt5uqFwCkVk8R6vW1FZwqeNJSM
6FSzoCI+39c3bRF5285WxddSy+cD804VyKTJ/BHF3i+j/nMGNyA05mkKLIDM+4wCLGzn+gvpow+W
aC0KBWKwht6oO20eNrDoYjH5NQVig307dUoUc9ncQv1r/9FGfge9/sVTkSzmSh7894/FaxYRyf8J
XyjJ+enZ+McP/vFw9Ozf8LbwAIRdBPRT13g6fX84qibPTWQvaPiry2dVT/6QSEyeqKqKSYRHp46X
1EGy++5osn7zDFytVJZDxULW+HsSifPz0xFWCDZ6h+8R2qaFfPDepYglhyeYdPSrhUVjvOxSbr19
FIKXh3bencnlAUov2KD4o2tljQ8JbnlWdGFrgZ5q+45v1lXE776ZG+rQYjYrAdlkyiPicp+0xnAk
sOvQP+fZp2oolfum7GCylLFy6qmOgxNR2PfMmBKZH/6LP1SZstPqpvKLdQViw6ul8G6B0tE0JOW8
MTII9nlRwO8tqfGI98T5zjb7xCMmboCgTXSZluYG+nfIqUD1zaLW9k2HxxjXNWV51MBgssbOTn6Z
QeXLYGkTlJYaFtzYZkFrlPM5auOY+7UaylH9vDJZ/UZ0yibKMm07q8uyg5tLz1is75TSKj94gP42
wHNSIiLmRsj2ps1n+rrjvH9p9d7YCqdwg9qCx24UbJa0Qut8XimTcLrr7eduSO8ctnBhoWnLnuZa
jyrOmZVGXY/7uM9u2tmjaqnLF0R+OEgDFnLfVGtC8ZzKQsAQlg9XX5IiFt0xT51zorGPZgF756nF
tOkjZ+cVw76mFtiPhA6T0KvawOQRH+qRulPSTCM1Pz9Z/TgHY7/+Jeqc6PxAG7mYhziAg0VPrzu8
FlARDCmLY00T+on2GAA8OtW6i7NVUlFvraUpIQvYip/i/vEby957kXfs50oN3FznubtECpUdaeVj
Q7AIy9aQFwYpt9Tt0YsxFvNBr5LsAbL7cug0dwwdZ2q2jPvWVu8UuFUS/zLcCZa9LkuhwQayjmWU
2TH7VMvaPDWKe5jLiJoqy2DY7Fq6CkS8Q74G1wjVKBRC2eRZ8wAc+Ak811WmU3AXj7a5VcpU3WCZ
SnZOXfA8zj5lTW/uCNa3+BemcsPzRDk2hMRMgqDkWz0r5DNBGlv6KDzraStGxsmq7bCmb/U4QifB
czq6wC3NDn6G1lsHDELap5lqsSBvu5NU8tdlNiWZUbfeQOaf91YZF8GylC6nKT4LKfHu0Ilrc5+A
K9mY9HgHrHYbgu4tp8K+CHNHRiF7yDHoqpl51OUdrPDqbu2sAIZhZI+tbsdnfETF1nBfY69TjzLm
ZEDCQHkA0VN0wWAnZuiINL0rxtxlDrRVP8uTeVenXvuglpKHpOPld5jJzbDrljMGUbF1s3zCdZDY
2yUfitDSVWdTwutjB6iot+xolo265MVGo0c1ACWjh0lvZCBHM/ug0RgbpLE77nU9PvQ820+Ukg2h
oif140BV/XagDiXUTdiKduxNoTXRPqJaVRp0VqY+zig9fq/Q0FaMDf3NSe0E3rDQ6bPk5X2uGPNt
VA/qUeu7ic47NhhpMCk5xHnEuVD2hR0MgkiAgfdhy686XHFOxX5vK1d0aokdY+a1Yuav6WjTplS6
4jA2aHcDNpXQWXg966Wz9vCkkZYN9RsVhW5IAZ91rMcFj5bd36tuehjK0T66C9VVZmvdgSFqiFca
1SbxaFRYJmGHJvYfX2+8z0Mv7lJK/yJtuBWMCCAdUg0WgvK1MJd5y/n91PbOVTrx5zsHRQR2G6fq
sqTzD4WBvWwdzuseLWGw8jUzfWmqeKI8ZbnvKh0e8WocEbmjsGseoECp7rzR00oP27LhIxXb7XnW
ne1Q6C8esXDfTTMDwFtn3UekaSkR8DYwcX3SUNlOms3XkaMr3Jk5urbazNipQtOOEeTwbSb0cYNG
wkavz9ce5cLdJ4Z6Uwn9k213VxmUh0NnyScEHBSNlAlKzIZ9oMe+fPC8EUR/O4XYEL/aCUeiEeZJ
AOfjASTMySHcfV27+jHFZO7TmSnOwiEeq7a3AoI40YbEDaKm+da2A+KQZ3J2XIZqZ4LsDCNrzjbN
1IsrwCHtzoSO51tG5O0FBZ6dkVA+g9FkNud9JUrttNjZsMVl3mx7V1Bc5HLFclkeGnactyBErlgx
SB8rBRIhxZ04NGKxbQfL8tXCopAMDK/dN+mJ/qAD3dSUiY20jcc9nUuYTdUwIW7/LHL5cYqGYe/M
zpdq0Ec/QTzZDowkOxI+yjYuIytwitG7geZ7q0Iw99Fv1l98OtcQ3IIeBxxNh3ew8KoN7tytbFKs
grZJC3OifCBLRReHIr8Yaa1zLxyGgwtxh3sNQwb4KHvP/Tc9Joj08E64y02uYgXD2qjiCt3YpRTS
wCqYDI7ztRFIs9Z2sZN9mPDwHyh8fCBTcepwH3LUjr8ZSu0QzxDRVgGH44OO17ZA3NyNZhbq0a1Z
ncIEKTFH0eiA678KJ/Rko3zFsVL2j2YK5C/nM6s0XrmXdOCaa51uA3/uiR1x4fBVxLWGHtnw6Svc
G+wt3lT7TkKwni8Z5herM/a0gqWjFjg15VyPxjCVhp3789x2brwhR83dG4LeQnElA7AeWXf0wDl2
+ww4p1zKI2HJzvGCrFoXwww5AguBoP+nXdr294TZP6vHvzxeY4D+5fH66/jy5d3B+u1HvqtOSEvs
D1kWslsievLD7pGF3/8/SevrstFwSICbeIud9fz9XWZa95Ds7lSW7Wzt1s3z38gGsNt8pzOx5lwv
g3mefRlAhXfr+6Q35Vi2NempVVYAM0JxmKEpLfcfQdENX3YcKHV1tDUPVaLSmpFnY9zxjXXFDutx
gwC0KhlWsuTXlSMY9Bs5AnTV60Za4bBqILgrUENWXYQNAxTLN7HEG12Ek3rVUOSbnDKsyspgdNVz
uaotS8tYz7ZpFWHyN0GGiX/apqtK47RZwXd9lW6cVcWxqbGFsJVAoAviuDJJzc6GvDXn2bG3iYTa
sieuABMJ3rP6CkeP87mY8/xL4yjNTRqjhfjTVMgbSvcwVuJJ4e9e1MWcEyZIc+dQza25bBdtkPWu
m3X+V6hUtX4c3Hi+bRKLnvaYU3UWomJI6m34BSs8euxb/KoB/nLR3bq6eHjP7pYsH2+adQ4mDNyH
U1K4ccAsMu6yqXX2BS6VJsjMaon3KdSt29YdcvJmZitR3ygjegRx1DsLD6hIpY5pH2kgXndFpMeG
s3MtRu6t06bqwhzAOapUCXy4Erz+UpRa0M8wA81OqwZgd3GT2EGGFF5ynkhdNDCJyVWwfWYNQZVa
i5zI85RqylFe5zw+vGiDG7AFdlbFbYFlq2bpNwB5tuOAlUAW3UDWU7Y0mVHqhkTRGwgfzTA6/RXB
kBHTHosRp9qr3YTSoLdUaIWN2Y3rB8dZ9ovMrGWryDUDnhf2JMYjxLyhBp8PUq9fseuIbdNS8NzS
p077GEeJri/PMoWf2H7ppwbOjm/lCx3Tl7dv8T83vL+44Wmepf3qfvdfbQ458qX7MRz1+898N1t4
v7Hwt1EFPJPM+5tc8IeS4Jm/2RpMbu5xjkUQykO4+G62QH/gRwjLoxfw+SEA9a/7n0FsSuNPu6t5
AXn8b+nslkvK6kebFPF3/kvy1dE08lnEifjffzAKgBnUkckGWgKF63LYV6ABlj2dT1EijyJurD3r
P/BS1TTNX6yqc66s3FyHJk2b7qpqUP0Bx+CLcIR6zuEcw7WKjAcboS5GYbZL+lxN55qOru5uzsb0
gYOp2OVYxg4FBIBPVR25tM442RFHyqafu+aVPWO2p2QG0x2BderpuqFePqt1jsE6im3AFDLX72FC
0IBeivIUOQZ3YgMPnOzLc2XpAFZFhJs2w3iljd10KNMCT2uh2MwlSuwciwYnATO1vGGQFbtauGsT
czxitbalfgG45V0DRlXP2pyqZyo9FPzaldFsdQelWqv0+KPmpd61RsO7hnnvHOnaw6LOZOXtCMm8
MT0O3CSkv1GAkTDlz9gGNADfAa2L/a03a9SjZQ7JLNOSnd+uDmNLqPWXCc0fZzV9WU2KpbUcqvyx
MTO6FKWglY1+y2zvdT13TXMqQtWZuaNp+vChovTxph+S6dLj+/wMf23+WLa0OMc5NHFjztpr28jk
BSxDGhCcT7cNrbgnVdrNK43eMgSW62zrka4vR8v5a8SSJsC8FPuxnHS/yc3hi+IZNHVZSAdefdLL
+GCu/LQhZT7O1Qr/uBWdi7wuDoqrHJhXcu52FRYAOM67hojSt9ijo7rL+vTU2xxabdWjXqxIils4
MgtqOae7I+CRSNkYJIFPNVDVp3hOvWensQvOvXZ9jGpW4fU4NQ9eZKbnhYTwmW0yfFb25umHqDcZ
UzAo3puVWe8K+ko8f4L8uLekcKjmEYZxWWYnPceUhG+hCwqq83De3hG31RDGObGSoTTGKxtM1K3X
8lkhfWpHQbaY4jMH7vo6sm2xn+VgnGwALbuittPnwXXSj1iHNfBztXUp4IHuJQP/NTd946RPVrVv
hyq+wTjcPWSL4QWy6MShUKj2K6MpQmu33GvMx/pzCajl3MRmfkjBAOyzTJiFX+SdoCkmsW5EPZ30
ZDL5ODbtXlH7DY0g/QuIHJIfs8y1jV5HzguJHKybsjjEc431HajqoQJ4u/09vEbx95Nh5p/nyajj
QIlN/dlxy4dqNADOdvW8W9RSvVQEs0DOJpFytJRuzQwQP7xORnyQDOR289JFbXbrxDn9zRQzeZ9T
eg93zM3kz5ZUPLopRteRMMqG6ENxymLexMkwWEcNjM+wM4t7x+j6V8PFHOT3ufYApvCAIm4fq6nZ
gZwCXGdT9OunIssv8EvEnRWJvU0X4dGOlvJg5kUVdjWP8oGb5XNfeenBsYpoS6Mm2kuHByQqZXbH
St38ukg0TiOnEmdJ1mNNbeUfYZDKR4dU8qXWiyrgDXVU8L3oHdRh1LdKi5lS2M2JPkAacUntWH1W
7KKOeAK8LCzn4kIN6vhRiaCm5LahXTI1NvYlpOYuEBP9FNjs288GwRUf2SOcVOnsKm2Sm1Fog8Iy
x3A/9g4eWb9WF0FPtjNXgPHm+GbpqnynyH5hRzNbTtCO0vY4DU6VH0fzZigXKlWWaiDoxej9GCNG
ZagEJLUFuzZuczQa+WIolhOQ2uaMtIZGpikfM52CUz+O2a6kwsOvYINZ9qgooDE+/YCZRD0ItVM3
7KkanyxYxYSXwE2tEu9iFa596FAACn8BznZJeyVH6CsDAHXdi505cpexOr5VO7ug1KIw1OvRXSXE
qFiIVLjC3oAB9J48nhrXi5kkHzBMpVfFMn4COWPveSIuwZx143UXm2Rw6KC56jK75NSmeFcFebXb
PouacwaE9EmJUnHNrrHecNgit+JVcbigQTEoNsYHSAf63qaUddNGbsURONO/Lk48nCfC7C+m0awP
F6I/HxMOdI8gZEfhY54B95958W6Ang2oNp4CRYuSW03D5TCxXPfHuJH36sBLX9JFHc5zX286qbsn
12SzSzK+Sm7o95j4oLHg8xSITryzAyBTQnC7kvPsAYBy/SiGaJfCv0duiZbbnHFhU48kv1Be1CUL
BqU0fSuWW7upxmttjPWjBxbj09ToFAbjfPNHasjOKV/xEyHJeo+TE3wvw7z3nNt2GhblpH5Ejon2
3Jko3+j1cNZt63YZMuVzTY3Cse5dZQtkvLuhR00cLFOJthjGuouYJ/cRoFe01dRGvU/GVOVyTqQE
86zYW4MF5HU7N69lt8yf1WXg9k+UfwHPLU2UXWPSQvIMho/se7JKVac2i/gEqhnkSiC+K+5fxWme
p+pl3Uby7M+y+GGwOIiQkGzEHJSG11+auBH7KuErTQG5k1PpgiRM8jJym29eW+eHUSQ6jrxJuUp1
GlipPb0dxzLf99bwbLUWbr2qo/jRxf/2mvf2M0D8FzUaviFvPLuVvCu1hV3jMoGpMBqSnaUzbwhT
POhNXB/rxHEeRjT9pxwB+fMa8fwAWfHZJXCo8FFPZ/bmxxoooTocUXOasd+xoW8W+8xRq4wp4tUB
9W5SyPHmZsXjXEndcsJhkoN72/TNTBWDHX0biLG47IAn3jjcOzoeSTypQVSpu2Hm1LMrkro6p0D9
q+eaGyhnrxW1LqN824BVL44k2tuwo+Qg5JBH/Xo8l8ehTZ1na7aaT9RxxdltBNHh5CSW1j4MyZJE
O7FQ2FsGspsWckNxb2Vf3ER2yqMFUdXCFDlGJTbRNK9ATKZGWCrqvCMfU25Hu/uA2WsiLBGLUMVL
gPPM/CAVfdrbKUruTAz4mj8pt55wOE6K5Ji25tVAyhmbIqEYP495yigOxlvOIo/lkohNwlxOBMFT
7hMlja9w8mlBXGrzNbvx5rrl3aSUm+1vkk4vpP3mY4vaC+tTGXZaKRFTh/W4ZSz64HuW0Z7S9EDH
D6zMOSSl0YMpZxynKRG+LvZlOP7mpViSjrCFEh8WExz1QJn1sS309Nir8ZWtCRGQu6yvsBn24Yzm
/mkwbHi+0pp3aTOmW7j7HqsilWV9KpDvIhNJsUog1/cRSynKNtz9gFUDN6le7Cw1Ur+ZA+j5oKYc
hySQB+jti+2WtvuhUweKlT4PpkOc+ZGe45V3AUYsLcQ/S+H/aCmMi8hEW/r3S+HzS1p+/XmEe/uJ
P2Y422Z5awOvMOhggfG0Dmp/zHCgLyjQYkx7U6neyBffl8HObyYLYqgY31e+/xrhTEY49mgsiFWN
ZTGcmb8jYTEK/jjAQQvAxk7unp3v6vh+P8DNNDFxwFCWPZXDsA+s+exmNz+8Gv+BV549N02cYGk8
j18Z5ujPM2I0DUIBsrjs2eOiRbHhov3QtXlJ//Wa/w+usv5Ff5hEKVPERplwFXCAnfKpkl/JV//v
LvFO7HNSGleqkUsMy8VRL3OKIfz115d47/VnIqcuDsM/S3pSFO87JonH6eXI8LqfTBfus+LFQYr0
VeA4tRKz2P36an9689+u9sZJwa8AA/Hn18yRAH7R6YltVjH7i45/pAWRYhHXfxgtP8v/G3+t/pO3
h0ut0RCMeQAxzfdETg51tdSBFu+nxI0fJKYrP4bHe1ZxEP1+o/q3l/pzpGq9lIPysWJgiGj8/LfS
cgs+vcGlSsrwrnLR53u7XRHXEqx+E8tiV1FK+Hc/G/z9dM3Q6OYzLfpi310UlU/TlYqmxTnnVWSx
bfk251Mc0fzj1+/az+6NNTzFpTimoTyjgJvvcao525alrhUCW3NiRL6IlGyvwM0/5LoqfSHa5rae
NdZTYknOg2AW//X110/Fz9E4rm9Q1Eb4ZXWjvPvU0MdSJ2oed3uXVoWNTZGBbzfT468v8ud8Gpq6
bgDwQapf2xZ+fhPJvvV0k+vtvu8bbedMCRzNGNP6tdBVtE78guCiPFwIaCLbX1/6v/v8GJxnwZFw
z2LL8POlIRmzzNYNOA10hmxqwyLUmSk03DuKKhrfiBOLpCL937++LEeqP3/70eZM/rKszFco77tX
tgOGlsUjo7mllO1nnI/qROZ10kGNctexolzcGWoRHVUmgKPBo38rO4O3IJOsjOU47dK6bZ/0ZDG0
IMW1H7I6vuhWMVphMsrpymtZFGJsQH/v5bjVGD/vU1XHJu8Q8n6Yc2zgDmraqbNHJ3Cr+lNBJD5z
3W4jKm3cD1kbWBSik7xAaAhzxUnOoq5nZocBR2jaElhsh+yQqMI5qe5iPyuFU2Kgx95/VhvFPomY
I/qiKt0mAfgAu2G1sOSyF+Ey5AMnvWJ5BJ4vQnDoepA5DY73wjmC9TA2rAfHsHMWUqx6dwVKv38E
lWJeWKRqO2VwBP6HNjuwcsyZXTVzi8mP+IystbOr4kcgt8ziVpfjneGsUdjc7a+chaLSanH1GY5r
p50p1uFRyBQHy2NILlE2Tp9pQZgv4wI1EVix5GMwZlwvXb5OpR19xI3XsrjwxPJoTzbWHKpTvrat
xBJrdWb/TWlMCfQtA23m6ambbKXdmxfGNf5F6wtMzfe5mi2994u+IHYzw0gr6N25EnZkwO81QYtH
VulQAtRpeeBZvcPBOFOuWah/7TvFJE3bD1+yRT6ai/7VwybzzLQQB8RuU9ZGMjuopKTYRyR8kcoJ
LaOvWEIkYFj2WcMdIxM1b4IVLf3TAJ3PLyS/Ryad/Fh4VvdE7YYT4KF2ToU7JOe6mKKNYbXajnRH
ciHSkh3i0hhD5qp2O+muuqtYK+Q+D5yYjMwcQb6FYxKA0o2P1mzq+0UjA57pix00Tdbv2OjSYmZl
431eLcN9X0f84dbDX5PTl3ahaqcCIxflR9oyTd9U8J2N6OU3rsfLiRFIi8KirfUQUx2FSZSzZodM
t1mwiHUqZC+uRWy7Iu2OM3R8mSEv3mcl+RYIpal1owucDQmM/p1mttFrBArM41OiRNf65FVRkDPM
Db7J4OmDWDFvCKowDsdosnKJzeNct81VozjanYYScbC92r6N6BLedXVi3DpaEV+xFHyKima59E7C
Ykdao7ofErALh6YlDAOfQcgAR1tE1IdmDa+eqp5E9qDsqjlxv5lZ7n5T4hUPrHTTqWXd+Zp4qraJ
se9qzAKuusER5EFx8dbXI1JzG+qq/CLwCWDZHiUzUlyre63T5n0BzPdKIGA+qPRNbUBxo1waiqXt
XKdsdxbS8EdXj8ZPGBCSi0pJwx78wepYGSTFGk46UkBpau5nLe/6Y0OpyfVAbuqlNYzyXA6xdyO1
xXgQXo9M1nWuspGNZp0murlvjTFftv+PvTPpjVtJu/Rf+dB7FjiTAfTXi2RSyUzNlizJ3hCSLXOe
g+Ov74e619V2SiVd966BXlQBvh4okhHBiPc95zlR3bpXOAJLIhSt8bqdEb9MaSwvpq6x8cI483nX
COs0q41ypzXW4NGitG9qjrpbucwLXBSgMZ6l6lygoXxNIKgeyut2UTG3LWqYOZsSoykQJtREQ4hJ
3URsUmxiyis31OLS79Zid4E2sAhlStHtGBoWTVRhndTIV1D6QvOnMJh0+LJi0+9VsznNR3tNMKqa
+HYBbohknfRDumWooLYp2CFPd8rlwE8bIViplsOczc0p0XWzl1thQkcS0A5GmiIVe5fDwglSZBtp
eiT2K7WRuOOp8ms1UnbUDxMEJzbsXM81yAXjgCB94q3avYJEndto3PkkpK7qO+HKx9Dx2qCWoXyP
SYYNjk6/8or8veaJhp5kGRuy65zkoF0M3seTrAJfk0QsPqYCJ5B6Ojw7armc6BFWPB1jEXaDJHc3
rpLWj11WaU/SKdd+r0jCH53o87sZB9wlELvs8PLH9dK2borYbPcQQQu83JYzXo5LOl12xFH6g5tV
s88YXni6JC1ABS3azcslkwV61MbuTCyWsy7owORSfcoy2d07k+y2A47AFgWVofjJao0o6yj1oHXp
n8xyCr+kZlzdwQ5Amy36cmdZS+gnC+pP6DWgNxpVeOrUA5mp+kcKvHIP+thFZdKn1tYNM3X9vGcs
nu1wIZDmQw2NLcVvac2c29k0nGuwIQSQ2moKKjJp9I1bQ3RqyV1fLZNDcUg7DT+CU9my3+KHXAKJ
d6Td0BZZApFk9o02deqD7IblOkEIWGzqwk2Q37kl+5nV7L/UPZfFlRAepgVDiNb2g4d4X7mtE3sE
w4t50neNRTurHKPd97kRfxcafzrLU/umaG3rNMQSvItQzG6pPBHV3bDf3HEQbfdGrWR3wFMFtfDG
vhGNrfgWGSueK2W5izJBstD6sesw4OEGdaar0XZonmhI8ivRGRuqF9OV0c7mo1Y0uV/WDHAbTPBh
YUR7jmpKvzDV8jnlG77XO7W7RR1FthB0jCs7VuhXpL24KVMctNA9xS5p63Ln0hV/kJxFwRsneniW
j7DcvK4oxU6nIXQlZbZcL4o6PA9Y8j4X5At5eB1TbQtX7e/3lMkp/DGr/LBACscTFW3SBYQX5TYK
MxYZI5sPiNF6X7Gm5Au5ki7yzGE6QWZo3ePtMO+HVjHvU6ueL/hSoXBoYmU7J4myVYgLCBxUDOdU
qNtPVVyAuWjLwlcy4tNfnrq0EHjBDHMvKdGdqGUJ8Bxa0anVVtqmoeTolf0yeqiX1ZPJwmvk4CP2
S9Kt9sUsCXNuCs2bWtVkEhMrc+jJersMXS3aawWdBe9lLAOtW66p/wK/ozhxurjJdOF0pNAVGIk9
zZRDg/enzC7VJi329jzZD4JOAilfKmVmF8nXVl1MXv/SLOeEoy7nWtPhtBgFrgsVUhpLoIZrV0me
UC1PFywKSHDrsLwkVWzZJpXVg9yhl3OnTuC90L+Nqb/0c3dCf0+c5WLG5JA56SXQHeWkN/TsYPYF
WVjjMl1pzohsuq2nS0xYfLqduJQ7Mj8VLLILybFbXWvhdBEnI3y+TcOeRtky0uHo6nNUesgsSuLo
bnG+lCc9Cw57ICpcp0Bv5WUTUd9se3vwIP8v5/Oo1YcmtMcTQ4c2Q6exVG4B5SN0douBHbNJXzcf
WDbUqGNqSgtV3AIUKN26Q2Nsmnood1Ir8zuVUBm/qBe21SLRnqCKz+dm0XQkvozq00z+br+ZkopE
G7MLD3HHxEw0Sz8QFbNctwDcDvZozr4r53bvzvoAfhdiGyGzwoagJgfAvJuyM5Zr1Z6Y84pBNpMX
8otbU2kiuYEDMpz1Ukmp3mbmVWpoKEgIdAyDTkvNXUJ9cp+6ob0bm2S33hH4qIkoQWHFF9qS6Gh5
k+JGnzLQHUT0+Qto/h1ne/gzhjXrX2fisVK+Dc2NMRjE7kHZOY3C4aonjhVtXoNPPFWe3UY6J5pZ
Phh9rpGYOYdn3Ea2Bb7DygnUqT1x3Xb0qxwZfBgm9DzZl6DUsTATkbjp+OwQ40O9WIUn4/lKr5MK
DJZdkBikfOsW63LSOySF01is+7Zm78aOjpo0uR2rePFaV4kCVqsdD2JAqgooOgo53onMfUCl23oy
NXCeJV0TbhElRZvMIOxNdaWyL60aATtm7BbJHhYh9PKIxDHYnU91eF6XSFkJxy59m3orgkGSl3bL
ksZfo36wgoxwoQUQDShHwsyqmxotBvijSG3gNuvxKWio+gqVT/2AvJ8EN30uvnRK3X+rB8e+gbBn
TtvcpavQD/Ny0BOR7cw87gOyy6xpW0WNeWW6RDjRxGxv6oh4xKHondmbphZn1WLb2MORRYdtHIPZ
WdIT+O9U44gmPUSpNhNyLJsn0S7FqSYUI6D+bomW4MrIGOsTFwR8dtqVT2zvtS8Tx/FzTfRS9Vrd
qq6HJm2VjV7141W4AFuXhHHsUlCDqFsBZ+tFQdsoE0oMfqDlLW6JTHsyY7NBgRsv86WpyfS6tCS6
bFAQX2CoYx+cyD+8QDQrv8BPdaAuJeV9ODuY3puyN+7U9QtpawCc1diNg4mspNM4cc3zuOjkfSkN
K0DcOR5yKxpOR2XOvklcgvEm1ni5FRzBqwEp/veic1TIPpr5CNyw0pkiiEy1TDfP8OhQXSGsG4b8
UJqcdTs08jO2lc9G6RR+FlpatkmGIb6olPk5Gxz3Qa+cVcq/uCjc8oVYvzz1UpwHG/Z4BDjieIbD
0CvTuLXnlpUszdMgRdKAr89Reb18bQ80wYptFRvLZtTAqXX1su2S4lbJk4eJ5v8GiQJUarSLeBVQ
aWdafd8aqUFvN6d6oVKi7wFlCLmrhF3cVvSfz+SS6/u2DdlK+VFBuKXhmVnt9koAklApAo5LtvI8
yxxEwthae6233TupNKSM17274xRDWqiShJ9zQ5FnfBTzK7aK6eOkGdXntMmah7qvaRvXijVrxHs3
CYGPFXw4+AZsaUxFltemoYE0IGho+pq1NlrkHmr8YdD7Zxp5MDyo7J5Nwi1PDXa238patWmCQFGw
lexiqQZ4Tp2h5DsJeN8beVXE0NcjDf+mlhcUAqOLlM3QJjXzlChX12rO2whNRNem+ifm//c1rBUH
O8aKTU+OB/l1coHn1/VXmUqRwUQYfTe1HZC12dF8rSzC6w5+3BNlsK9m2o1fzXm6WdBSIlCw42GL
5FHDLrSwstfKqmXv8xscUaMktK5pP1lq3hVeaHcndtyrJ8uACtJixAeKW5k7IsKdMz2zZxaXtnf2
cSE4m6Z69ERLjL4tKyEabCU6caPJueWow/ckEsXXkGztbR2JexNw16laa/qOfwUlwNTIGzMxvzu5
214OFLWeogXWJtBFFwQB2ppzIZZxN7SrZxLt8a6JUkRLyopZNELn3hli8zYZqvYk7RMmbCtoJpfs
qebYRlGgWDtpxPoVZ5A7FuTscqoX+9A0dreRo7T9Oi/Dx0pAdsvbEShXY6QXNmxlMvHwD250gjaD
CdiLF0HP+IQsIGKHq1BvLuReunNxHSaKfeU0arS1U1u/oLtn/NCiEgRGOtY+KXvRAf5kf1laU3yW
W5l1Y67B7JE3Y/rpv6SlsgnjrNsVLLf+UBv1dpGTeh2GvR3kY917lczIfhyM/Eay4m4gxtQ+mgR1
1+b9bdQvZII6qn0wyGzaybH9GovSCdIo5ovFRvDAQqoEhSGGM7ZyzmE0i4j+f5Ox/63KH71ENAbz
r34ymrT+0rmyB4mMcjN7WpPe1VOt7sNTEtHSLdUSkI9Rp9/2OlBFTxEQli8AB0YkrZdNM22MtqoB
Q5SUkT03bsVFObf5LfximCrWDG8PG922poR1a+vd8zRJwC4LW5W2MdqDuozfHItTg0VLz2NTxSGp
GebNomXpvkiE5nOcCBRdTw/Mf+vBKey7ImJvDEcuCtgV5uTcut86Pem3FSBaT035vmIeRchvPzoc
QaZ0ObNa9Zo9FLpUhzKR0rvaN6iz46lZWYZvNwaFlKxsL6NQCwahhD9iDIxXlqro190kfjSTqdxF
TL3PIMPbGJhf1dBsbDEada4GCrO0yLUVU4+DBMuXDTZk45ZUAN4vhL6uglL6NWGurc0pQFKr5vqX
To7RCbuicdwGTpPmGOeGz7bg3B/ZnG6FQyH//cu91QQBOkV+Fek67iszJB4NVVPcmcsBl75t9GbH
CWDyG4I4P2i3aGvl+LhybgDqgUZjuTSLjyvLy/J3UdteYHl0L0V64oq/I1SGv9Hl2jl1JXVnu4v6
GIfriXKkHvf+7b5VvSeMzYYkZbwRxpY5hlzGSMWW6ETmtdVXlPQi6qTvX+Wth8orXGvYeOv1Y/6C
OWGUNgt6MC/tkCENqUcKdEyamdYfvL+3bshUVyYZqS+0GNcf5Zfhkk24rWacPcEITnSrj9VX262+
vn87H13jqLuTWFK3ma1toOnyfLFxEbnFXxrp/9i1enNwMP40Xg7DAzbf7/chROqOrS7bgFhOBgL0
4YNelVTLhzF5iMkL9RvQR5cRRpVtjY1zj1Huo9bO66lH5pNFHZX5Jzi/HDUgTKvuDaUSTRBpbY5h
Xq75nFlzlitps4fTWW7/9LlyPWzQ8AwsHZTxUZenYW/lzrXRBAUZmqemPV/DbHY+WE9ej0UD27Sl
AXZ1dcPVji4iIg2WR5Y3QSIBk3U1XkIAIGcO3oQPhuIbV+ImQI8Ax7Og0B0NE0Gw5zLPAH5XVwDd
2+7UmJ3buk3v3n9sb7wmzQGXr/GuWLnMtYP1y5C3iXEyAFlVwYJ3tc0fFUIl0wwISBN+kPF2DFKh
2Wj8dqmjlAYOqnZYrK6DfhBU70oTHvDokE41iaH3m6FcPs8WjWmLImiLHYESn9o24RebfasvF136
KS2gnd5xli5agyoYvkbymN20PkhjUvbRGC/ngDyo6jU4MaGXKT6bK+nnOuaWgzPk08VY9ZSxiG3N
Pc7aKdzXZPngRk2E+UdrM61Mivt48IHnWcddvzwnlFYgmQ6WLpb3oijxTQzupxlB3GOx9M6hz3Oa
KHn4pSVP9sTB6kjjyt7bCFPxPdee1tSZp/ef4UOhOcQ+WlbFJyLKz5eQ02VRZY1PjCBFh8RwoJik
hr6JxgrY7oB+SUmVHpddZQY0uMatlC5qb+w2oMsV5ywz0TKkGQ74ifV6K5AWIkectiZ3KHhaOplH
YunUJyccyw8+Wq+7obAecTlpNNVxrBxPUYhZjZztpgwoiD82k3wExXlpGsqJUVQ+qefVH385SBO2
mK0a3yjav0ezFUt62RgI0QLZxOuDvRj1bD/Kcv/+FHrdROcyaAQY3UAfMEv8PoXMKYsNcF9lQLvk
uq6TluqY+63JPrPdOufohZdB/xq15dn7lzXevi5LEU+U+XvMlRV10RT1aBEDVs3LQzwBzHVbU7mm
pavmPqdD9qcNKmRfZgO29ZJymNKXLR12fdhb9LNIhFD2htorJ5o0Sy+kBLpJ53qHuoG9mkifLG2A
sDtR9MqcJdrCebZ3yeAs20gLb/TM7Dx3QViaydTMNnKpIz/l59nKvH6mu6ldpejPd/WEAR/ZEv+9
WCwv7mTqO4qj3zWG9dGreL1qmppNMJcjaLrzQtZH9stqRqKyVZTZUAaqfJwRP6yw712myeGDkfX6
I/7bdVbD4K/XGeqhyCsxloFr5apXxnbvFXHsv/+CXy/N60Uc1n9onZrtHn1B1Uavq8Zsy4CdlevN
FhZjVb+vspjuUTd/oKx682IrfRRrEBKuYyWI3RJCAE+npNJkF9AQl91g1ifUOukayOSDx/fWQmDz
bQPrii6NLtXvjy+fZ/I0qRcE4LCu9Q4skxbO91XePssEhVJsf/AkX0FI17xoh+2jAC9Glt/xZoT8
gJznm5eEwuUxegZdw1PfjnudD862AlkdmHUjvakWxqcESHcwR7Tvoiopz93IzU5EZc6fHZrfNCJD
HBsfPI+3hi3v2dBUJHirWOX35zFOYQdYQBTB2NTPhojuYn24yQ1OTO+PqDevA2CBli4SrVdKmG5A
2ltTeSLjI68Pcy4fy1kZt1Xf3r5/odeSG543L5f95/p/L9SYX+ahMQp6lVQZA0l3NO4o5o7ldQvb
IHW1y7xqbotcfBCX99YA/uWSxwFUqy+GapRaBMo47aK+ehZmThvHPrTV8MEu0Hhr/CJEZCeIIJGd
4NH0l6Nr1svkFCwz+vwVcsSPkfRYDy+F61VaipUFdL1XsCL7SbN21RRtrUG2lLfE0N2b6RTfh43b
Bb1Obw79Bh31WLY30SKqrVsi+i3Czj2ZnNG9cy1WzQ10DkoDSjdtwWHkwVLpP9RRp3FbAY2o1a9p
1V8gvKt9GVfPCURMvDYGJM9i1m9q2gsbAsWtD0bT6ydOqgPaIgSpuPlIyPx91MLtalBVzWxzUqU7
GzRh7NnETUGU4rndTKExBn86qkhBdNYpDPAbgPHRNGkqE3BkXVSBcKW5p4dS+E3UyjPbqOUudCN5
FtNOuTUTEX0wuF5PHGKwqQ3ZOlHBr7WUbYRbN+7tMqB0PT8M9qh9bejh3mIKT5//+CYRbXG4oH7J
/44lcWgdqCHByQ3gCdHpHDQa83R3O1yEZbu3uyxxvQ7RDDBQnUbc+xd/4z4pk7CLAdbEQz4e2E4W
9ZSSyzLowgo631jeRoBePDf9yQX7j2fU11cy1zOH5iAYdog8PfoEUNftIqZKHvB9uJ/nctzq7gTU
DmPc7v17ej1MqR7wnUHnjKry1Tap7vCGRuRBohXqx+1i00wx0stxtOwTisnf37/YW7cFgZ9yBd9u
tiBHQzQCYgT3GMcIUjkjUOq5XCMK6NN2uZF1fzwBofxTqeCkbyFSOT6NNui92Hmsy4Fi3saGct8s
7vd0Mm6j0f6gpPDGigc9AdU5t8Zp8XgrXRhkJJcK4iqjzn2D/oeoCGxy8mHZLOVwoPXwUXHp7SsK
KkuCfQIr+++ri2LWxNusV2y04YCd7LGatVujzfDvEMq2iXv9g/30W6+OOho5VuyAuOLRiLTYXNmg
rrJA6Xu+jUQ3mSCSbfWDy7yxdVRB04NNcx2KCcdCaTDZU5LwTweDoiu3ikN2Xj1xwH1/HL7xAWZy
qewd+TrZfIZ/f3r4YKYStFQWtAZ7Fqq3Xp5iOSrta5BUiGTcxTPm6oNVUn998IXIysKBi9zCYH58
IsFdJwVy1iwQFnSJMSdK1SvrbDmfBMobiFSAt2eR6+wvzSz2nEUQ99Wpzk5OTbQH8Iu5lCrHgmXo
k+gzjLt1zVl/PeU3lW6dInW1PwuMmUEkO+uDn/7NF0OIBCNOc9korr//y54FmVGc063MAzpOpZ/O
Ij0oE72L91/Mm6MMm4QjNFz1rypIhdnwGYmqPCilk2+qaghUDKeuIz8qQvDT/l4f5lUI4P18gmwC
7o8GgEUmR1k3+Kb1CdBbpoTxfrLV6eT9u3lrbSWoD3sBpvjX0R9LqupT1CsZgsAOHKXDZ2qyeumz
v3waUvPPi2Ls4XF98MkgWV49PqS4MiGQMGaKzln4fX12bWJfF214//5dvTV5XGb7mkrM7u54GE9d
hievYvLkCSbSbNZom4fWdxqo1UkbWe63Ma/TPaLU7oNP1VtrHvvK9ayCA+BVDZN2iBob5pARVK9f
ylJ5JAKOfLA7As9vePsfXO2tAU8VkwMfFBzy449W2Jx7dOy6A7VLRsqugMt6Peqpsn3/Yb4EsByP
RB6io/M5Ikz0+LAnekLRLNpoAQ5I9S6J1epEwUC0CVNjyOm3O+PnVHMrshEkOJa5zC6s3DF2MYGT
/jLXgPoi+P5aE/Y+MblorPo+/ahYrb355B0K5sxMA/jA0XRpw04FD1fwtZlMWn+yedSkqDyUot0+
cdz7fqLZ4NQxjcnSSO6ycej2oai+xqi0FruWh3oszD1NIbGxZ6UmspH7eP9BvjHX0KmwBXUI1Fj3
h7+vT7nDz5BMbLfHcvleL5o8UWsE0mGOJm1+fP9abzwO7cU3YK0GFHbdv19L12bg265kax9q31X6
BwSfqY/dzAmauIjUxwIkP9hhvDHpNMpYNjsavliv7EpAouepjSpuL7Ue4oQQQx0lHr3JdtkYMNQ+
Ny0hGCishuDP71XTcGfQYGKDeLxSmgohH4TgEaVHhbCxRwpkbX6Ny2hNp4vuZhcL7/tXfOtNsmWj
qg80FYDq0ZtkroyyM5sKbELUeLMGdaAsDXk9NpQACszPH1zvjW8ON8geyuDDxmZx/Xl++bIVYWvG
ScWjnQbAzbkJHE9tSFLAIez831xKqIIYbfam7vFHtHYAsBUlRzQN7+2VlTfLpnWkfZr0mvbB8vXW
GDWYUKutcHUwHY3RAZlruVDoD7qix09cPVtWA0qT95dEzbULAPGPD0csYAIoCRHjVLCPJ6A20T/X
u6Uk+GVBt+uMn9q+3daU9T+40BsLM1YhlQImjWRcmev7/OV91QusGRziZZBH1j0AlJ27NLfvD8GX
pJ+jVfm3axyNiZVxksI0ZD6njkb6SlIfOquzPumEPAOkGTueojpurLGtt52dRp8rmFgIANFf9C75
GuOKjWjLBPWGOaFqhYoB+G/Og8SQ7WExzfhaF9HklfMQfgkpLu6KDsElp9vZQ9oe7mPLxXylTtMV
fvCVg4Ek59MiCgSUpQZRsyq6dqcOTQg4BTn4JUmm7A4rwuHKLGkv48mJd1pLdmVuIbsejLg4H5R2
CNxM3CZV1nk84eykoPXTUvxw6gDBMQywcan9sI8tDADZeFaZBlDPBEzj+4/3rbEpVqcueyLOL8cN
2Dyvuw6WG0MFDO0iF20jVfPeqq1TDln3MiH/8v0LvrWkrPYMHIMOp7Pj71edYrgn1L0IkkYoiGN6
Uo5eUuUNCGohDHuEqe9f8Y1bpOWxuo2xzDPVjxYxYRNyKHUjDzIRkSXazvZ5GfNK57Tq7tMWEjE6
pKf3r/mi1zgatWhvdB4q1Uu+hUefabKCgXW6eRHYBJt4MXEoN2asDZATZus0rvL8Dn6Ku01NJFsv
OmU3JkGF+BLpS7REO/IUkMx+8EO9cepBlcA2cS1ok1x7tBBFk7XU4UCxs1tIZZpJHj9BlWacgKUh
uRR49oaRgnzKyn0RtbE3U8RBfm1qH+y0VgDi8Z5/9YUjxyBri8rc0Q+iIo2Ad5IU+JbJo9q8iJsT
I1+uEViW1imvy9mTWW+d4rMAt5Bz6tQUAiugKcXD1WiM6sk8h+pDbDJTdbmoD8yjchePDClsExkY
ZWHt0OU+zygyqWYPvmmnsY9g0Ny2SimD2G4cSMS9s3WjU73KjJvMKKdLKpo4UWYmwn3s9uKQq84X
wrSyD77kb90/JTM86OR48lyP1jT25ynx4Qb3DxT1JsafG0xEot8nmhJ/MMHfuhTqS7QGuNGpqK9L
+C9LNFWqpinWir2ojHhbN+5q6ZlqQGBxHt1/MMDW93Y86tfjosHnjg7B8X6B9A4iRIuEvulgEdkj
aRjj+CAtbhfW1bAtwVScapUaXslJHy90yGLX5E0IzzTyeleDtv3rDPtHDL7z5FtbddUP+T/Xv/at
quc2iWL5QsD8P7+6rRCfFu/+kd1zdfFYPHfHf+i3f7b7Xy+/jT98DRn87Rf+S0bNdf/czp+eOzT8
PyGc65/8p7/5X8//JOnmryH1b5LAq7xDr8qr9vF79SvA4a+/8xM6qoITpfBDQOFL/9tlKfk3zR9m
P9C79Xi7DqsV2f8T4ADaAb87Z1E2qRyAf426AQiBQX3VYBF6ShtY/AnA4UWY8MtAo1ez9mwQPnEs
pMh+PNBUIC9qqCzKKakVTSpgGQl37h/aQZhle0jVwqFrnPEditMdEjfi0s4MkYOIjwqgRI6Epzyb
dXSAT+lmxnmp4Mq2540iiRZJAViSE8X2IUtx3exWQ2aSnFnROEDHwbKbhn0QNgvX+qxakNXYY0U9
nt74TBsQRWIDHV3Y0zHoKU8ZQJYUh7XK1nuZMeYJjg1sK+oXvWyxN2Kkauv5BukuIinfNaPRuYYs
08fiMkkkbH64zvmmcHWl8Ky+NEpcvu2C7cOZCQ7zIgD97v9PCf2Hs4YG4C8L3huzpiyfv8nkWy9/
mzgvf+3viQPdZE240KgiGGgAX8pmP8Enxr8oLbDFMliG2YzY9Px/ThxmG4wDnbPIT0LlT3ilqf4L
bqWNPs3iq00J5M9iMF7W+19mDvJSsEA65VzEqxSRj/dflj7D14QZHRBNoW31OMEou5TCs6R8mO3s
yVVhOtYV+5Cyn4RHMlm3maYZI7KW1Z4q3VsXe+NBgTBxjnP3bHDNjtwjGxZfa2xyVYE4lWKnm3uM
55xtlhPTKNQtiCjcdW4jTmry1z1h98Jjv3bNfkTdEsqEw8R0M19rnGkTaVwTUtDgpWS+eSpQrW2a
dQ9DLqBekajQ1JXu2Vb6ZCu1ik2BP55p7ASwd7b7emgfNPQ63mINxiZd8DcWoXNHcPMnHEZP+OAS
/m79gCfmB9wgDFoIbz14x9daTNlXL7kfu0aLhaTrwdZSsZFrguSocHslUmlAhKW6HRQHC4OLC1xK
H5B37Q2gbiNZGAC/sx96ppCUYPMoK7ftOMTyj+YowSFERp+5BR6D6iKBxsMY4s5dO6skOtcmgLtQ
J2Y91qsgNdka4zrKt3Zj87sZrn+XkuX6N1PSpjeJ6FHik8tOxgaPoM4N6VsSFx1V22tBY8DPMQ3g
6VmsU8vE+lWOhu73DT+QUdsZdrnoc9YRlx46KxMP6TgypCpAua17VjjDTcMuEW1EHn0Lc4WTQStu
hYoLzCjz2uvQkhOAhVsX/Zu7qdQB9VYqutsQoylRp9gdagXXSb3ArhjxQG6MjouOlrN3NYXcCwZJ
0szudjaRydUO40CbjetiwC/aquJ2dNku6xn/V6jW9ZDwQ0VpZu7BI7LepxRwq6iYDo6QOseIdRRJ
/iw7rosEZsC2qToQEkOcwi+wJx4TA4tYMvjxlnXBeP4xiQzkGk29DUaVJ0ogvPuFX6WhBWZDU8rt
KN0O8EHF3yl4Sp1Wu1vdqReoDvQz2659eHnfRbTqHmEBeuSz4/WOGTKOIGCxavhe4F3JD6oW/WCS
M6r5GmzcmNHpOgyVap0LEVqzz3nML203fUK7xfvHerIBppZc9Dwu0rxu54U3PzbME8fBDDsSJnge
w2H0hNM9OBn/oO3wht2ewbS6Rl8eRlkzKXDULOcg+p8Kgmr9UHWaQ653lk+qfO3lGc6+GYLmJ1Jo
ak8n8g3LzTx4hqw5lxW67rdZBdi6NXmk6sDPEMXdqdspSBfoQZ8ZDb7YBs2jnzlMSviYxDaQMYCo
kFFGXKJHdGh27upMVDAeKh5E8GWA2HJfZZ4Qu5pcD7F18TK9sH4vgar1uj+ZJLEhJoIQRlI4KQO8
bjMW2SGKOaBPgNv8QVunYUY99uXdKgW3r4TlmT2QUhBpDAHaCsIjgL3Gjsf7Wxz82FVNrxpWYubP
KDtOiEjLt6PCcH4ZAOsIZ4pjXeZYhgtQeGJgfpsLJJKX1yx7xIyyZRgB1MXonWrhY51YSmDF3Oqi
cK2y15QgFAarl5U8QavjFWjZD6CfRG4Yq6+dnB2vMKTwMEDBNWn78sxJ1OnCmjizjOmTErFJUJyx
PAszPcPhx4zo4YcEkcU8rRZLO5udWOD8YZCVhVGeKR3O5peulZMW0JdZHDTsLslk7tjmd2DkJv4x
bRwIZzFsz5GqscX61m0avWv3o925W6ckTn5KCpXUX3wTSh6xKKIi9sORV6c4mdiFvX4dU6DfLVpJ
XIpkMakROnikBtdeOPAjjD2+aqZIBXKBFYw0JeOvtUkXk+6/TNqBzggAVYzLmoyvrJYh0VrmtT6v
UcoYuTf47tbPzshgaqb6pAOS52UV+PS4UcuzyTani97JfrCN49HMzICXZw3JINtmBf9kr/FezZIo
O+JGECO4FkvgSpV0ciW80rUF+2HV5Ds3bH40Dv8ZCozPpK83UcJ6YuJsO9Ha9purKpZfKgTKVY1z
V1RmRXMqvlLG/sIhxm9jEF98mBM0h6TXYGPYkkmm+no2VuqGNAuSO5d8+ZpZeTFsbHYEtk/Fs1M4
DrXpk55W0xaapSB+WNVvrSjLsZuMdXo+R11/SEaVV2ioYUSJK9Iw+qW4nkExJPIqjkwbFxPEPfjD
bTeRUDhnUvVJWGs7H0ZorXl20yiHOuwfFVlV35HyfDMTteo3kTFlP9zGUBbCIZVl6TwmxoiHv61O
RJFNdDlb7FJenYLLKVKTAJiIT9GWPmR4LkbiJE7o1o3dRabHrrMvhdmhnOK4rDxASBq8GP1CfhbG
kAewVuYk1jRz1iQX1mDrsx8Rn6p8Knu2D7Fjf1AnXKs4R/saaHM0bRDQ2qANjkoKuVD0xaxa0kUQ
vuzaJf6RZHxcjNK97Vs8zBaHAM9MGOm/bAGv/rrCf+HnuUJCJ7v//h+v6lmOQfQrbUvgVHRk1KNC
j+AsPwtZ9wGMgnWxYwthJNn3kgAeMJzZj/ev9uo0v14NAR5lJTyVr7rlmFgUk+TLPshnBsi6ExAZ
VIwI2vBf9/VHR+d/cCj+Z6fr/4eOzmzbNQ67//nsfPESh+c9tlWe/B4W+/df/XkSsKAZ0iExMT2h
k6LR9O8jtGuS+0r3VCVqHlcE5+x/nwQMMPYuhiwkVaqBusrmb/2M8TD+xR+lMYLI1gKDSKX8ZwXh
73FK8eE/ypooth7NGI7oFGqQQCAP1DiUGL9Xhpxsaoo27wDHS7bLeHhpWG8xQ5KgqqPomnw51Dg/
GfWxvQ91Jvi+1EvhevbS9aWHuCGdToxlKgD/Whi+AwVeFk0N+AKFig3a6L4XtKXP5jBGOVJJ7QIl
jrmXZq8hd9bT5kte28Z+AFWUb8aULAnobVh7KZi6Z4Kcyi9l59ZfwDwjLBuIvcYNDCf6DCO2+Vi2
g3ZRiEKhrA881oaVq7v1Ts+duMVyoKx/xQhB2GdpgmewkeKup/Kvb/iaQSGRnTt9oh4q7opEmz5h
yzX2YVYU4cbAOYxZUC+z6lABuHAPNlus752rEn9WFgRLaXGpeFoZ5YlXY8O9mvNpPdv3gtuohdna
7Cqjln2Mod2qCPIfHZ3eQVUpfWAMsfF5GV1gNUbVBt3/Zu9MliQ3rij7K/oB0DA4pi0QgZgyo3Ku
zNrAsiYAjtExA1/fB1Vki6QkSlr0os20EE1GVmZFAA7H8/fuPdfSaw4bZWdcE1Px/Rs3iV+kQxMy
JAWw4WDly647NPgcvsqW0QcpWLX5lCGKfbNi6rFgtlr+GPC2+lJisHxfEn4OQwkfwDa2XNyp4G/T
rcR8wm5eE4FiAacOHMCRD9R0/J30P5q3gpYJTPXCXnFCE9t1dURWXqrUTa9Wrskbb4yJG5uy+VZC
QDiBpM6JCHD5GfhwXE/stRKTzExgwI51zb/5eUMLPYG2m2Sx/2JCxCRtFuLAHbe0616dpSaQdmri
xdhRTUno/F2RZ/caUNkmqBfJb2lGeB2B1+FUCe1i4LqAbOAzpqDGyA1cBAFOSPQTJIB9aY9kCpap
/rGFr0MYYUkMQ0D4x/eUEETmYGPlv2CaewC9bEcLWngRFnEWv6xmJ+9dskoERGalhY1Rmk8VM7S3
LQmdVUvwcJTPkLQi4tD5TWts8k8XHlHGJ2ERUU/Nd6lDiFPg9iOrwWw77iyvQRIL/MW2GLgbg7gt
XLcnpjbpWHxES6a7eIS/HbhT039FaTEle71vjCuYMh5C15+5wcQtkCTl+UnnBLlsquVcST/Pwtwv
inKPkJj1ZvBY3tQNiiGGZLF10uRoWlstzufO1i3luMzjGYweCVscAktWDNFr3dcZ33YCPF3j3o3b
OlkIxXkDozzfoaW3TqU9NG8ULfyyXhGCjMvT37uiyvAuk7bcCKN5axsZv/xYwpnmcn0hr1zq7WGX
2yKNIYE8TNbAJflBw5oZEt6Vq0nSTSqrPNq0Oi8I67hwfd1YVB6Fx4IZXL2+FICjWQHbIzEUTXbY
ENIModOBm43/Etp/pt5Wt22Pym62BLLBMZ7EVMcvmtRHLWg6mdaBVGQMFoTYQiuvgb2uJlDjAgrX
GExZydchkPaUkZtN7AwWY54HXWeBaRYPeZePXB+G0sbTaPZ8a31lB0F1aJ1cONuELRf+zaocbiGT
Mn5D3RgSiAYsU0DObgcMTaoxcXca4z/2U1TTO71o3KODZzki2tC/sdWs7TijaO0W9873tdAWTNHa
LUO693koYvzqQNYCCOHzQ2nWU/oAjKq5TQAN7bMFMoq18Cxvs62TV+Wavy8NzqKBcJB55DlFvezZ
MnQ9Np5AwQxcwVLMDw0LnVzgNFdvuR6rI0Ck5BD3qfnkWqx5Jy+mOKJ72q6PHU1icZwHtkhr5QuD
3mBFYRXnRhWmZjzFJIU256R27ZnWQAnAuoxlBth+zQ6DIK4shNbdolGKwVoAQGr3mChYUzFE4TFY
nJXb2nYFQd2o8amhKsN4UgMiSmmTyrHLW444QUlgRh4ZMN/2sLKbtwl9uhOUjjKutFOMp7I0+Dyy
bJIYUt62cggeqZezkC2/noTK7muSIxXOUpvVjcbiydrWXpvZhrwIxpDHAQmwin6seWEKfkjv+c6h
qbb1P1CUXYds9F+wcUGLpRDkrxgnQ/XwRux8jvSsY39rO8yARWpt69FfOtJQlee/aNbKjfy5pWF5
z0r6HRNLiSFJO5yk1yktUMTStfvG0Iw74fB04bzz4dpPXF64aERZ8+9ojoiXqepncErKbtPox85a
1yl2p4nu2ouRWVX1AiZmyT/ak8U+UZA5kgUGftqDSHv7HWe8v4caX9LuGszQS6qvVTr7pxa6Kotf
0eAPQHKwA0N3NK7TSoBNUFA/DLAxUZITb5FWRvrBXNLlyPZjlRPZJwMlRJDUVc3Zo179S1l1fcpJ
MJ5hrHSZX9yvsvhG+POGOC96LXnhVQqsFrIUtwhM3Brkw8xeyzPZ7lK2mDrQJtOWoaVa52tdlS91
YrRn8r0Ghv2LN83UIVb7RJ/zVPvbi6hzquIpww5z4R3j3RkVbBae3dGKYBEQbGsY/RW5a31hNJOE
o5ekz5mr0AYT9PBJ0UTSzFoROsWRrIUjoLuSZyAYSqPUOCH1y6lLh+biSp+Q6zs9FTXpFpBd1BAh
/VSR5rj+HcfhAOvnQ0xGm/5xcQqCAoGllU58Moy6ZFcljJsK3wH4TwLartGbcscYGbT8ZsTnVKeE
DOlulkfDUAmcNNF4IdmcVpRXJrAQl8x0fZinsy3TPA9pEiwjLcsmXaLFYeR89FmW2Pq6gSaWSZPg
0lti/eDNvXvupM9rjlwBQsK0BvTmZDwLfHO3mu5UH7I1986uGbN6ja0Dmnr1PsGwmgY6EGMSUt3h
0hITfOtiw7aCDtDYeyFq+by45TPJpaq4gb0o7lWOJlUjidQLBUDLyBut8Xu3tPAbPcCP3eSDy2OR
7ZXtZjuvXdpo0aR/1EdAp8vcl3vwq8BDBfi8gIgieeu1qVwICRicr7L3qgiMQMx7HBdwkk3PuP+a
iCjgFoLB9IneT2hn0v1M6sTykNpLtTMKZUbW5qA1e7u973Quq+NXzp5QjvmLHMwnQHCECE9dd+tl
6QrofrEh0g1lVC+aOMT+6N40fib2ieqelD9oMmgdKqN9V6r6tl9jtqi8pD6h07RPqBvOQ9kaZzor
tIUAS5BfMYib2lr1kItW7cdc2Y+zA/dnVsrbaz4DI7nh+Vkh+Z1QcodX5qytufGBl8AWfDpWEQ5h
51S01kJz1wotBkFHAkvag7e9ISwia3Zz4g9HO+eGddmivXXxrHaSbtftKu17QFnmrq8q/SFvpXdT
46h6NgF+3jAfB++reSgGg4na9XNPl526BJrpuZ/BUsmsr18l5Tvl3VCOGevbzJ9ItPWO7mRpV31L
Q+HN6+5yT0SDay+RhPJzmnTXfdfy8nXWVF4EhlsQbdO2XURapqiDxZ30bc4+HIArpYTB54oIqoxA
EpsM45gB7mms7K8N3Y692ZMMYjQ6aQJkHJyIZrLe4fmScEz03vxKRbynuiY7ni5atVtyPd/3SjhP
sWJHYedvMSvXRhZomeke9W62yIgoCFg2FxQ+U2FMN+kAzDRorEH6AxuJ13Ltelt/GKe8gFFEMP1C
La5Im3uAeY37w5ClKI7u2o3JVzb/JEqlqXYg7JpdrI00pRJQFm0ArSo+YIvW2JhQACP5GaYXLe9M
j9debDoEqhjprm16TiCp2tPQI7qi47nIrH56aWgdn1aHOCwf3VEESGMluwhGji/dLHKIFHyektlj
iWNLFtqZPiSFHxspaJUvqNGSm0SVxA/13Uct9YdL2XpQHqsu5OUVP5aDqb/6U+e00Fj9uD/nSi3Z
R5jlg34qc8fvz5oySIg4smuR8uJbg5r20tConBIObiT39f5ENTvi556ZaXhvsSrY1EkPn8Aja9NC
XFWAZmq1Dq6U9C1DsxCaHiSkH0/Ahm19sN68tOStaw5yC/wCX4rLfIrt8qL0ln9P73k1drpd9h6r
x/TbvT1Qg6YQQ8klnzoKEWfcRquZaorlrBvr/LCYk4FdwcebpibKckBfv05I/+Xh2drOxr/vNuFy
ZQTOoNvxEIJuiZp/UFUwrGhgcKv02DgJL8ykphQkSmNCegZNOrO66rFJC0+clpq36G626i4/j8Ic
HwYxQv1Mx8l/0fWF4l38eE0bPVW1llHTYdqkmsgS0jKKuN5Kiu3oWfl60e60MubwlrvtPNwu9Cm+
/qyRs3KaHwbyU7gmSzM/0IumKzlKwITba4UoBwCGcI482J+49inIftcA+Sc9MPPPEisuB7YlABAc
Y4TzD+P41NBUtoyudrBSm1ti1muVnr1hq7yqmU/POiQuzvRG7bEyaYsyQ0v5WAt5Qo8zc5HqMbEM
iiV7hSBNfhf/l4vFPwk2WZL9j9OqZTZ8vwmo/XwzTEOSHeuEAzl43mZM9skIQXxdSv5228w5Szr5
MnYBzd/y619/2R/ipD/ee5IokO1sY1QiTf5BzumTQ29BnzhWxPS2AYQXINmpkzeUOrYPVgoiKtC9
uVPvBI8uD6qnw6BSTuBZPbcPJVmd/+YT/bPVqG/iUoYUiJn+LKfSbKXBAnNTXMoaxZ6jOfNDTyPp
paMxw0WA4MeVM83uK3Npiwkpp4JqqonLM1pepGHXNdvJiePIX3+wP/dk6TCBBfFQK+OGpNu0/fff
aY+GNC6yps/kEUozq7esa2v+uIp16F7Fsq4qEpDG2l1d2QWwtCmnRv3rD/BP7pVASyz4IGiK+RTi
j59gSh3wbWafHG0magnZZl2S7QbfiKF6aV2acCaLm0NmZWlygcG9VvvG6eIrU13jydMH4yrqnMPX
X3+qf3JZkB1bGOFQ0fyjubmyBrLBpAD7qHFCUjNF8h6PKEc3ZshF2GcmBwRyyDhDaGPSvP313/4P
NgcuxqZ63v7HSRWdzh+vSbW4OfQgsmLtpaBjIA21EO3YKa+U3JB0sZlRMNywnnIirE7GdkrFKSjk
ZRSqMT8IBzrmClOrT9JjvzWaGpVU8nvH3PSB/GnqkR8f+H+d6H8TpLo5M5li/OtO9G2GHqWr+/ff
q1F+/alfm9Ce/wsPAGGoiKSsreP89ya07/6CNwPzm4eTwTboAv/fJrTwf0ERb/HsbkCHnxKvX5vQ
wvplCxixfQyqnk3SiP3fNKFpsP5p74K45NLAcrG98gGxhv5pNVpp7pcwPfRLRdZVqoaQF4y2m40q
Bl1kzM0+F1ZPvWiNkPZn1Nsw3Rg9gporGJSXKwnrDZDe25mMKh9pCDPkj/NaCPFi+DhZd1NnfE48
M3ku58ENs8SxP45C9LfQ/fq7FcFoHGW15OhVA525ReMlBABOJmEHjSPWse1lxaFvZv47g+Vve+uz
Nol4ueidmj26LGZ/M0pUZ89WHg/uTQd9mHq4cKahDARBoYQUYEmuzG6Gv8hocDuurEuHvzfvlp3V
6laYutbwhplkSpEojKV2m1uZvQaqRQxOJpdtPyKNLp3QMqs6R54bZ89GuoDeTDHYhG0mR+eEXK/7
im9fPTpiME+d26cHc5bw8P1lD8GeTV5XGUXBaJoHaWZPS27ldwQQxvLIH7FuFzqH5a6frYxxIMr4
oBWMgXtDe5/zTcmjy3I6tZ2rMWf2rT2Gen/mFA17ck05RjN41LoHQy/s29GnD2T0g2ucBt9X9aVf
fZqspec+Nq4dP7U9lcAJ8Zul7WTX2MWl6ESnQnCw8pVOUYpG33TDHJoM16AZAwUfkS58XbBFu1zL
oYQsarJPE6O6LNOlH/qEU3LSpHs3c9YHVZGFqHOIKNtjbjgAX1pk7GY/Ifme1mrnesvIARPhYOQt
cXwUdWm+Nqu1ENLYaeuTTzKvIKVtcrMj9apXvGC7GarnBG+HqxMkKcxZQ5pX+PTmt8pV705pYldg
nmRhZ8Z70q1twp2DJ2xDt9mXHdnmqhFXKOLTftZjygOfk0w2rtBAYybDqSjCPK8nGWZ2uwXxqZKS
wmeKOjCqCDZOE+RM25z2BSRNKEkeowDNfcrJSy9t85QM7a290Y7XaaX+rK9CrQqcD1DemewUN68i
JuLds6al9zMSEyoVPmGyzrQBxuXN0Ceg+24WR/G4PNKY7IhpABOzOkreqFLTT40t8gitpXn2kU8H
eWd0+478bshWc3YWQ1FHk1dnF61Y1pOuNjGNU5jPIOQ/Vb0nQmUkbkDigRYK8JRRXbl9f8ZXIk9d
Nn1uqUXOLbEfF+W4DM7XEsRXsxx4J4YdzblIrIgAck3tsm3ikyiN+Dp6rSnnrPSbvapXdzYktNy6
oYWirwFjmNwLcYZNO39YkhtInUBpMpBBCodin2mA5+vMCEbTjkPRSuOOTy8vNBxpxMbEpp8Myxq+
NUWz7Dzgt5HLw3YEnb3LXSRVVbL2R+Q9p2qyH5VVPKARvVmN+OC3g76lfDxlDsRbvfPPRP89oM44
VYhpdp7OFFxy9RNQWd4onjulDt7CVAX8Jkl8wxy1TYGuJF6RvcfixbEAHIE+7XZGWXwrhN7S7ZmI
XwC1/JhpQF/oa4V+j7RI9TabYObdig3IL0voisjCjQBDrLgH9V/ty7mlz+SPE2urwWjB/XCAlJVd
uB0Pj15bfFldBNuKkKAzyG7wXy1ZS/Ax5DX1e3kcPCTkPBXGfZKqe0Zye83jS611dZ09Id+LbTfL
h9hFQSsJs2waUzxkpiKetulT5iqyjRrQNW+uSl/JwxlJsZi/p31pHBO3A1NHhh/Chs14o8X+eSCU
dt+xrd/3QJ+JyHX8Uy7prjnt/TT2esQ24V1qqU0urXqn/8i+MjC7dOORs3wvr9IkW0D1eX/QuVGR
Xqvhaid2+mDNs3/bzvrD2mo9OQagrROT6B1/+LDMZQT5lGAJ2bggA7oHGovsLmkaxIMuI2nlFh+v
Fu+pyK65lfJ2UDDKcgMGhuyZEeZOZJZr/Eg9e9toqg1neNLPriaf7YRszkIb37vVf3US82QOtsM6
HhrsP8UcpOYUYQs71Y480PuPuYpKXE0jUQcEdF8qcLx7u127o96bT4QW5yzgHK4K7YzxYquJrGHD
ehj85qbo0hcnB+htFutehwkUsNPuHc3/xJSJBoCww3zbSxvNu/M669Blcn6YuXUENpDYGrKNep9y
pCevBVDPXWu5PGqaYBjhjrfuMu6hdZ8RZ/eRPSrz0jrSo4HdEPqB1zQN86XwDsU8rKe07o8YWs5j
FueHvtCRu/laA6dai3iZFeEak6jrTcLH8QQ98wtk+J4NG57CdVl1cZ+WgnLUbdVtMWQEqk4jmSHS
Tj83KIGYKQ03c6Z4J0zFsyFGjmT1rT+uvFil7+/Ntn8k4eiqMrf8Ms4VOJblVbp5sR/5Ps6c13nI
CSajY2ydjLY0IpHGQOgScjWuM0T1kQ69anaE2xoXO7MTWpXWEnRDYr3F9dAwUTNgo2stIRh7L2dn
GhlV3CXa2AGyb1Mn7HmvNRn4raWGv28YRhNVQzPcmEziwswkh9bfsl1jS3tONbR3YGOSXe34dOTQ
xOmwxzTy2j/oSTNCvlsKkRBuTNT3QyU1tB9dvp7n0XoWs958xlMGSj4uifmJyCOxtmyRbR4vRL0w
GYXBux97/0upjXdGity0F1P/0NnV3VRpWqhyCMgM1z7k+FC61mojGLv1mXzWj14HoGgmO55hT783
+Ho7syrUJ7ZXcZyMJX6Xq9HuJ0BKJ+iG5l7WY3pwCofJLYT4sMwFX7Yb3/wESlele9ot5OX8pfGJ
KGWM43138F3vBpvwTzu1ivfac5dHl8Rselnem5XbKDC90n1xoebvtNjRQw678qlKKj2YJ33zLuEN
sqy53s1ie4i4YQi0ZovMVzK1ea75eEnb0VuWX5s2/7zomvvg+9X40erGve4P6bXQc3u3AEZCvswA
mF4UXtRwbVqBzKYtLt26IskdBkGNUCW3hlkc+xwFvkZDZU8DrX7wSuJI2G7T4R4NlXdcXUd91Fb/
CAB7fhoRHWJTyFDJ0fDNbtANf1W594XduYhQy/o74pqG50waF4c4X2b+7bKzmSjvSXDnBQG2aYeL
DY0VGW5VqNXSvFZkg4fgJtSNNDrmjn233JRi8o9Tbcw7N1VfigSiC1lLmXHXNKPxyAbZMbwaLNJu
nH5Ki4NA08yxT+S8vDqtelNEZ14SErkiZA3Ziz7Rcw5rj+kwMRCL9VimiKirwnY+Q8Ane2XdAmPi
lB6yUVAwDFxzE5oGkThoaUU5nt1h1ehz6rvKMj/EHFRIlp2qljC31C92JZVHmHrZmKSgpIxySi/t
MLlRXo7JI+D/vjVuKbTCshpfWn89Oeb0tSZQ/tAZxAMIn7SJvpn3hFyhUalqZguz7aP30w/cOaYk
gpiJbCTiu65lwAj/09iLPjThFJGZEFug6es4aGPFOzCvjwyeCJSOGY40nlEcrd4UQdrK8VwRShe3
1lWm0nrOBDBctCveJUvL+iL7FJmJ6z8uaxoV9KEeMKmJg258JsuXoknGNTzQ+NlI2jJgGEGHWFg7
hsb4Ve028AAFn1tnqfbMUI5rxdor25muDeCFsNboJWdi3HkoE9hSMjtAbzRyWodCvebpp8mHKkWR
H5E8p5G80TzPTOGYavtNYCPhgBq67KAWlDuOK8Sd9xo5EQkts1AV9amuxYMPD+DgJNaXohqecU/Z
HzSH2K6SswoDkyVCvyvCtul3iF3Aszd2e0vK+xjhQjFfQBADXS/K8nnuIcxD8uZ1x9QkkAYRDFZN
N4+AoTxA7wgin5y7UjVzVHfUdVkdZ1/z1tgRf0X8TcZKnwsnWHTMr87sxc/Mb29UOohrK/w+HFT1
nQIYpX/aoSRd6zDVcpNbOn6Y0y7FQzqUz62QkM/FkERKVP5ewCSk8PaILtRkcZsnbDDLlJeRr9vq
6njxZ71roUWCND2kUz7fq8XVIr9zjJBZGpWP0fgf9EZeiUwerqZeh2VNSMTatXmQCn25mtI/a2gD
ISswlXHHcUSx4043nuV+rTlzFIb2ZnrrO/3yg2t0ww1H3YWLkUcoxU9Yj8b9qmnIEb5rnmKq4HT6
jYEQ+6jy9g5m6qWaU7ZI4q/CgVRxJo0ccUeztQ5WPx7M2jYCS8qLZ0BX9aR+1nPv2XZTpPbZ+j67
w5d4SD7Xdc76qa37ob916/i5HleCiOYq+aRpJoQdUZz6bF3DxHJvkF69ek29a32/PuS8IAOijZpr
HJuoXCvduBGiuZcTFZrWST3sB4JlgtxL9Gse1xMlmnY3OGr0grycV14LMubr8jZQSJCbNIJ02Z1a
VvCnpU2/WfnEGomnJUgtpmXMnwr4l6ldvhW1BLSaZUYJYsOEYjjXVkGRV7culpW2up96sz+O2syQ
Xjo5QyotacPGbPU0rPO+eWMEsIkxR5uDTqOep4FJyjim44nKOj/5xPMchF+JqFnW5DIxWoyITX1a
WqxcYPA++N4g76pMM77bWTdc1jRzzo1FQq1Z4IQZ6niJCI1rn0S1gMFrzXfO8fI2rwSH/ET/sK7J
GI5dndxYs4t2wDDtWxBIYs8EaT5Y9YwogwiJaHSFFvWY3HZYFikCquowVpbYJTMzxpJQBGJf+g2v
v2hBZYHBFuCRnEZaezMt4g+O0Ts4SJfPXjn4QWm6725ScMUobEmlg4BBr/yE5xyywTRejbKmtOhS
l/ex/wkfB0m+nmshmUiRuzR2RSnUrng++PWdP4UDz06CrovlWk4RjlWwqKTv1PMso7TWixO148kt
KxkiRBqjzSq4Z0cnAqS0qz1CroMEmsuBynsYJHNUjsN0XaxZvo25T6BDLHQcRIIpSTBxYrgunX+B
HYiqFb//ziSTkLgl8uaR8QW1YaqLu3R64CC7O3Y5+SctyiOArp1+6XPVn7va+q5WxiJ0mhnVpa/m
ml1RgMR7IgvLO9lyG+stksPPUaIXBda8CU8LVqh+lytPu0xC3mUmYW55Xd4mjvtSe353oMZW4dyw
/Lt5jipDP8BuHklXsDnPwO2NhjzjV3mDGeDX+7bWzb1T97dLQ1pUu8S7NbFwWhBdgsKwCkutxEnU
p3y9gpaN1YV6OrMrk3Z+xBQOPy9vbAqX5TzxpIbD5ojXh549kjEajKnx8+jKz5lroydTd3Nfz0iX
FnPHMfLCFv2Cm6qKxDDvOW6xkg1CLPuxmwKeBv0KVc48eGgHHH/lxSsQeLWN8YDO7uTJYb+OTo7q
0MALpuEI+6iERutkmiYvMgtGOI35gAZ04RvhAsl/xE95U5i0HAl7hnpIgIKBrsDOiLPpnGKMC2xR
fa5Q89/LBPciFe1BTQpdzGytz54h7qBq9TAhDXNndXrUdzA+BDkuONNrW9s5hbsEHHLkE0Ovb56h
rt1qXnLPebcMk5zL994oD+hOvrfjQuqOly17YEhkP5b+TskqNGQjd6savzc9FIhCyz+lSkv3Spgb
D10Lc5MJfLF69EtW6Se7qqIfkBorpYuMwVTKuzZlgw67oXXmsNGF+6EcRvOsUdc3wZwAB5tGDuaj
Wlr+EG/yZszLwGcuva+6uULG0rvBpJxLUxqXVrdD9LLoL+e8GCI6OQksuoFImtVwGdQbixpugNlC
2e/MAqGHQ7hgVqj4zmNX64O6M1qb7EVy2zx0A6vTP2lIvLqoxIuzRK2WT21oGSntNodzwsL2YQ5Z
JBmNKDNALbvYMeJ+EFiLfjNgR/jc5aSd9rhC/I6uxf+bnv3/R7pw3Pp/KQvffSveSfz89vte/M+f
+bseXEdCSttcuIxLf9g/f3OG2phGXTyeDrMZ3TFRav9qDLX8X7A00IGHHWO7TGto0v8mB/d+EQDN
bOh1trlFUv9XcnAYp4x9/jDW1G0H9g6wS9A7jAX+1IjPJV45YyUGASFR+gqGvmp2TmNNZMCtZc0k
ti37qFHLXVGbhP0VKWY74HFhFetNROJMRfOR2MbXOBtKciVpg4SZr0/f5p5+Pq4vGZLdQEgxbffK
0zQ6m8UnobVYNIaMU3HCZrugUN0DKMeJzUXMOMvS+5Y9RiiCZdZrIW0OjN6An9Al5lWEsSzbMyDI
HKsYpi+UJWnQp60KLN9pL7PCHuWUVkGmpC0PEx/ODKzWaU4cI+MTipH+oUI2eUag9gkBk/aaFSW+
JFUxlFdzdRh8M9mDHLM4DXTNh3XGPFLO3T3asa8UtXzJmG+KHP0eDwjoZQT0O7S+WiCZHx5QPn9v
WiubAt3v612lY6m1G/RbiNGbSK387elo3jvWrAeZ29/2NQaxwcR8ZnhP8TjcGjEhO+lcPeIwJ4wK
c1BQ5BVyLw8FhumVqHjKG+E1rzG8jBDM1nzGV/cJ4+XJUWgyQD/c50v+iYBWiQitfpyRTpNehm2u
sdIUvQ6N1UHH7JcBx2EJPs0WijlXcuyOUc+MgwocQkBCXyGZcVdXJ/pQo2Ch5/SIPKF4qTH5vhiz
hVduc4SqBJYI7bs54HCrglQvv3drc0fhsx5j9CnUvuq9Fkb7xMmfQi+LEVZumM4Je+BdMdnH2FtJ
YbV79YEOfftKWvWT02X1gbl5djA6GrkOUbf7FWbhkXBPjxwI77lY6bIFwpqeExEnZ1HWHTHTSVfC
9YmHL5qutran0q373iysa5mp1NhNZsr4hoHTui/S6tHSDI7FbUUAkFlbD13R+1HnxdXOsujixDw5
gcxIVUrp3tHkmZV/QFVI+l3SGAbGsQWhMYTLoPdGp6ZjNw+XJNH6IZpazX52xZRdROnodN964ryX
HgNgxhRmZ3Mt68jw2pjMQhKjL9Oi7P5US91mdCD75Tv5Q6t28Nq6Jv+Ts8VtQfmP1rLCwlhsiUEB
RrCwKaXx+L+x63/Cztgmm381dd1Rc7fZl/5v9fe/wdEYys/ZHwawP3/+t00f7IXOVg9Pz/lBA2Br
/23Td38BSUQIGxy5n/v+33d9D1gGY1ZsbMC7iFT5nQnI+8UDWgbrznPszVbk/FfzV14ff9r0Qbxi
KiL1xkY+sn3z3ys0FqPKGSXOOnGQHG6T70WifWCSiiR5U4iAds70c4eOlgfp1cjZ2azu3/jn/E0q
9cf3DvwwB6Y8OUZio5X98SPU0CkbjxPksW4X/Tp4jxldMjAbXROYSp92JBsXgSgItCQK+eCaotpP
5pvAbb6muwqB7a2+NZhqj5NUjl3AuKoUMpiwxwCD5aag2CSsX5iD8YfwY9O0ohaUuMO3/7sI0tWz
5blb60NWQn3V9ovtMxIkiSNIcucGk01FYpneY59Exm9ZOz0fYCdV8PaIRmE1gO7xgtJiamfSOaN5
FWRyvRc9X4C2WZDR7uRRxs7ZW8zM8huhDffsOcOeI3hgan5/7/hvBtjZLnHfMcbAK5BEnDukIjoc
1pSPlyrdD3WxG6kf2yF/mLX4SSrU4jktzbFvPvGm0g9ZMdwlnXsBmvB5JfSnl9TzzlQcHFLoOXWg
vuWE+aWcaY7l0ltotUxfyLbZJc7Q3VTdZINvaEIEMPxlK8hp60NSgoj/37byn2wrJsoEnr5/rea4
fpv+dvttzr78gcrz64/9up0gs/8FniW4bpziBCP8Ts4BUQeGiOXoiEZANf6wG/5WRLr8ECIQAnvJ
tMFBigrqtyLSwImIeo/ilo0I7Yj332wn9ian+t2zrG+BHLzmwOwjicQV8qftRJF3iUW1kjcth4/l
nWgfPOaVcHux19FhVj6u6XaSC+y9uiu1U437yW5D33arI9J/UuC0bvnaWsnAeVFv7HCWy7he5spx
v6m2cHcZ5th2VRgHEsbZFCoFHrBHlFyrR3rzSPnUdF8LtyLIS1+Y19v7fIu8pYuXab17P9bDiICk
+QndsX4QeJxtlPhW/ETzoGLgeNjS3wDaw5M7hfOG8jF/5fpA0sjB/DhjpRrvMTXddRvZ6x747L3B
iRrJr0T91z11VPXG3pOArfSPmXL7dThUzegRg9jp8EMumJdyzty6+pIi445c1Sx3tllUbrguk+RH
gbOun5oKLsjt/x7A/+QBNFBrsl7/9QPIYbRN/vgu//VnfhNT6RhwMd6Kn0+K2Gy7v77MPfsXR+f1
hagdmht0Pf7Tb08fr/zfnrb/w96ZLUeOnE32iSDDvtwmcmMmdxZZJG9gLLIKCGwBIAAEgKf/D9gt
qaoldY/GbG7G/juZqYtJJpaI+Nz9uPm31VTFkwGKjefE/m8eNpb9X5826OXsLPhhJn3Aru35fNDP
i3dEU16YIM0cnTB90UVG57Yq5I6A/DMktgfkwGNtDu1zWFnPlGZauPPnPcCAUz8HIYPn1r5wdEWw
hf7lTW1p7wKUeXlgGW62AXW7zI6i7secjD4FwAwpZch42kjL5pWjpHlv2LN9WNjkbp0SEacJhdgn
Ro0Ykwb3HAjDW41cV4Q9QVLNkKyn2oDnv6USjMrP7cwA9WT2XdyO1c2sKP1okGY2eTmtNqPlzsNQ
uJUB2r416+HL2jAdp/MEj1Pg53YN604vjndgQPrVdysMQZqlLiB9dtWbwjrnDr+Tadbilqk6tnHD
b28Zy+9cUT4N00y0ZKL+uvU9KBXjmxywj5BU0dvObaZvgnPhudAMnp1okZB1Wv/gKY0pxe2Cg65n
FTOshlDrOB99PjnM3OxkS0mDu7J03uxxZibYjyeGjdWeAwe7mAV/99LX6Y6rutGgW+5pWt/35bxf
pHGTzHm5G4x2OjZOpDdTIK37qLHL5370mq8c4PZVpO8441X3BcLapaBZd9jkYUAIKBnKq45yRL3D
YG3Gbd0Wz8MixR3mBHA5yuhjB7ah3jTp2OFWMWjE4i1+xpu80G9aeR2Qer8F29CIa1Lv+jmJsApH
nh89TZWDwE0vBRXRMggvszGqdkqD4WmHMrwLtC7oB3awF5c2peK9Q2A7IH+zlrGO5VNdQHP0Suq3
TWaI1269mHgqmMoW+xQH/WXQ2uG2EY7FlxfZA/O3oW03ym5qDuVJwkSBF/FpdTe3mzasoXWIchUN
SMoIEDdSnmdWtr2tg/w1sEfCx1NC4blnk+rN7VI+hGTAd1Ml5INVSOva8SeSp6vRmRxq/to0azYO
h6JI2e4s1r7KaZz8DPPO3gh8py/SmjC1O+2UUFw/jaOMZAYpUU+M87ZrQ/eNg2X5NIvZ/NYNmKsN
fEM5ASw6LdNO8t9k4xr+Hox4xJ2DM8k0SZNKrz6hmAn2s8Rtt2adElKnk+PJGwAvHT018se3jFvv
A5BagiY9k4ynP5BeY8NcUInAdWjCkh/IuZ/oCMC6ejfT7b2d+qp5yXj+DsIHTw+8C2hMMglWy2Bl
jDZWLa7n1lUfAobdwRqc5rs3ddNtMsiGtmZ+szzJm3A/DhY/vrTt4C5dMmN1pnmYEJMsvHMn7kF6
tKsfZZW5p9pDPFG5q8HZrZBhsf7h4C3n+3nw+sdgqvgPyyS3L7yRl8g2dOSM6q7GQ87U/fXzTmO2
w6fRK001tTXb3llMBBVpiJI3ulkF5YzEKwGBtnzCwmJ/xbQg5K6v3OCu88i+yjXhbE0a7apjZmGn
Q+CCoeSiotnXJyBIXDUbmM2+1FX/0QeZuK5N6d8Q8JjPbWLZ94mZh/e6Napdxh1ZbJbIS14pDmo3
2qsycL4JPkRjDPnEAPr7vkwz40EyYj4sfi4f2pSpgGRysPu8WpWu5INI1wyoKhIYz1Y/UrrEyQp6
j+tdWqTlEpBPDNK2fsqPH/ScxkGJHrAQNOLcEL7QkjcjYErcm/lyrersmmnz7WCoL2ObogR68rUW
4Sat/DmOwiu7H25I1txmo8mgrc+OVd798HR0jlBiNz2ia20H95Ny9oAIyCUtT5gi/K1nTuGl7/MD
m4QNE4wau5llHGI3ve9Zx4aN7cjhYAnLv6fo+lFZOQlhjKTbwgrpyA4aJ7YCVGJRzddiirZ6yrf0
8pwopk9urd6YbqzJxmwpU1QRyPiYQ2QBpyoa3d1MZH8TNKQ3xpEZUk8QDNt7Z33UMJnxFn2nAFae
20w055xD4a62K+vCsb33zuqPdejdsUzinRwH5wb7RfJipPazMsL3eZDYOWtVIcmXuBznetwZlYMY
rhY6Le0O6bPxffkwsF+OGU8uH9VIQmnJqAlfMrVv+umhzofmFAXFwUHkj3EFcYGFb+2ndkg2uZ6L
y8K3Hv2ZhH4QURY7zdWFCbIS8n0LXy0cGg55BRpONJyadGn2hpQvrYmJZKqleUlULTh13PgH0k8m
w6DkxbSqNoZltRms+Qe5vvtGhMF3gmtYUXVrvga+IbdWUXzp0YnfZvxIO551GNgOGrE51CT7Fckt
uJZuuxkXnFAT5QXHNF8czKih6cYLOJ8oeWgr9ZHNfbIz63C+nrKOZnMnHUUf171tkjpculUTsutL
afnX0MqLO26rbmf6iXXrLLPLKXyoGRqQhzwWddFsXWVgTLDs5js6fbHD73gx0wCKZaB5wx9KL3yo
IpSO8dlM4JLhSsObYbfeAVbSu+maL23mHGiuSx61RX7McQrsV44u4HZ7xhV25Mdkrs3Y5zFkGFen
z5Q9qbhWzra3zPASNl66Y5MQfrh0jt8HGHEfC6Zp7CGYrmMj9VHV+oRT7kjKdaL8PX/Mg6HYuMqF
+src83sPs+hEvjdYQX/JVo7GuGdN13us2iedUvNAYtG8xjMt74jjTMCRWnZWjuGBFenC62Zs9Gtt
zuWrht9/7feEhClrmDcd3a1k5R3Jm7wX+NCzmpwQwJG1hWHK08tx6gvrpGzChVQmLtAUI4LFIbkp
RPYwfer9yUDvBStQODaq9yKlGSddCkG7yIfLwMOmNOCZx8YODAFGwaJZBilOvZZwIE/uWq6ZULEJ
qrBNnqJW9Pe6WES+W1Rb15s+qo1rTNTeBTuF4mDhlNyJqUxihrJyZWZPP2pYcDdWlfaPuhP62GD6
/uq3OPOR6eotZAO66QMNb8ttBOHp5aKArHKuxtE4mZIXGDJfe5SJp+IGT32MMSDZ48AN+bXK9jC7
5bdAMaZQXaJvCt8wr7qk7qBNye7Q2mgNgy7of2+6q0kSU8E0kdqpH5fh8pJ3nWy2eU1Hx6SxW9Iu
b21Epsp95ZoQVrvCPSySah+RAYZaE3X2wKDaK9V4uxTs8YpRKlauMbyZdVs+tLnSZB4L48Xpo2sI
lOo7nlc2IP7c7yMCf/uhREszHNxeHVAWjFsLj7hDty2dSfesoPKmDgiJNliPN8rU3hNQmcNEPelW
OcvDTJXm9SRsgIphmB/m2jr4Wqi4xKQmR5l+J7qMv4Mlb2wlVkWg73jGp+lExZqKh1wlF4AAL+kO
uHfxU22DJMwv5sWfzkke4tNlYpYV1g7r8H1U8Ha1zsEAcm7cEeYureZQVDpP7+i1bJmCD0qneEO1
OwJ6NIyUJSFtTYz1kZnOVRxoyi4uJva/y6XHVqWI87QqvN2schLH4aqLe0Mx5SU+vmGQ28oXmHJU
Ombze1YgVLgbkqLSPrIafp0q984wo3Ff1dEQY2bQD0mwLDtrXtR1mnsSGclzr3pveW4XOgGXxr8X
kTTifOkRS6La3paRl9+0QeN9U5OccVrXyzdLWf2VrnDuCGv83qWzjRXRHq/CcXTw+gfuyZ04/aCd
qttIl/alxph3n7JV2dnJ4GxnI3gFZ51sWkhwb7pP51gYnYvLO0lOlSH8TZqbZly0Cn/nKLB4NGHG
UtmUh6l3xQGX9ZfI6KeNV7jnxWGjXZb5R2Cj0rgQlq59C/lZuu8Z2MVt0ovoNGNlprjJWjf96dz1
30ysmB9B4eWXWteKfbxyjw7Q4guAmg/mOEQmzNNxMbbF2BcXy5JAGVsWd750RWfcNZBuvuK9Lq9U
Vr1zAE2rnbTbAV5SD/oTvoHc4tV7b6uKVd9oq49g9Nd3VtL3+6EWeLkss3th++LvbNshO5hEmPIc
694RuXdDoibFLo92ckLgbLfBvPCkDbV+8gc9nNsGAOFSjiEC0NyXN0XdBl68YBX/Vrek7anPEdO+
sjKWApMCb1iZAq/9WroVfjD35cUxpp51L2jB/gpqtXlZnIoJJjOYZjMmjmvwyqfLJR5MWv7wE8id
Zy3hOZG93CtejLvQWi7EDBqz0RyyJCSDa8Ec9oUKdKh8bYDq6NUZVFGCyRia+PCbNmVTksuQNG0t
ov4L8moHOAQNrl4ctBzWwWWOJ6GXscCd0MOob9X4I1MVzHanF8eu1c1xMurvxVpBrOYk4PioLotu
wEGdduG9X5njLTF2TMJ5tGwLRDyMBZiZvVSiWyWO2OZRmJz4xR45+CXgfjL6hvIqvAB3n3b/bwT5
/+9wbigLax3xf576fBXqXdZK1D8L97//q7/PfXw0F0R4VJIVoY82/o+5T2T/DVqbjxzDNAihZoW8
/T73cZm6IsvDWeb/WauQ/jl1dW1CdLR0crBhZITc7v43g6BfBRR3ZbSvFe42+V8XqtwfywRsy8yK
wcv8c5TCFMPFPt3SYb2moWeS3n2nPPSrf3xBt7/Nc/8z8vC3Dwzsdd6F+yBk+PTr3Kngr27spvLO
jsfx/RMts0Qwo/wybI8ceKy/6JNa51j/nCr//nloHYyXCa1SE/jr50W5v6iI+Pk5kJn/BmKYgzyV
gV8UZ/S/CAz/Gs39/CguNdfaY4IVUGrz60d1mc4oFrXcM4skAfUgB6PWL8BwfDu1rvtliZ6CgtNP
t4Zd//xb/Td/JXeSx91Anp9eiPUy/xSW1m0xYkvv3LOyc0h7IRumjeHVWA7GlJj7n3+YhXflj98p
dyBVDUjXFAP/sbJ7kqWqgkm4Zy19PihoOhMgVm6SBh/7AB5Y7bBdOJEi4vyKWXMksm1JiGV4yY3Y
XIFjf/4b/euf75vcTL7JfhRo4h+z4rkFpK0k8nQmDMKfG1WQrUwDF+H/5WehvXqIHqglwR9lijR3
zDKbZ/fsKA3VieTiR9BXEz5F+6/S1usN8+u96wN5pOwG9w7HK28VYH+6qqJvOsOXg3sek+yHsoE6
DHZl/MXV/HffHS8hSg74sFXL/fVDILYjscDWOJMpxY+O2Qbp0cfjZi0rUuzPL9RnIvePfxLJKov6
XUTjz1H3z38SLh6LrYjlnDEwFNXWweh6thKD+VLZKXhxbeG9cdjiIRURNI4Mn2HKOv5btcd/RHD8
mzsYrYvXnrk+qq79xxsmsS07SXy2XFPY2yfGlBYMrQR0ZGMo7lAayqpdUdgQNmBngxj8fHi9hpkb
b5Du+Odfyr+7Aq7rINqvVxrG/69XoCgjHw5mw8MLgejeNE08lyCwAYt10e6//yjfBxCKeQBJ8Y93
1NTgBelgfZ+Fx9cbRSuH0ignXvWhz5X48w/7dW3h9e26JkNCSkaRDv/19m2yXpZt2xinZF4ZXYbR
NS81ZS0vywqxRBnn7fDnn/ip9//z9lo/ElQDpggfbYMLvK6oP99e0ElcG5xQdDITTD9uWHNgUx3E
RF8b071QCdfV8UCbZGEOUiPlkapwwp4DohJ6Gwq/PS4ty9/nG6R3C2CH82IzW0wyg/2gsJga//mv
jMrK7/TT78zCzwiBIDYDVcwcLI2//s51OOX4Cxz3pEqz2ptLBmhc+MY+pR9sAI1fzVOKTTrvMPXK
nCK2ncUPu+s6A4Yjp4AVyFgBy8BplPYf7H/7jwm8no/1f+G5smGDZluTmCoTkU+qp5VGTJ6zcLov
fUZnZs4/60ygiMG8YvnUyjOlIrN96cdAnsPUdU5dzhe4mYt8vmXQbHQcEG3IlUx2wfhHSWtRjeox
yFcQVPW2iiCawE0UCQTvQTj+oaxbPiPkm/ZVNt+CruKY6I6ujadCAK1UmeQOaVYm5CwRPA9GskT+
STcOQ+ueLPZ27iywMEWZ9R9FXrYvQVPbzamyxHxvhexaDLqAAB2CeRGv1hxxyYLF8WHWaIrGn8ir
cO/1hf9WiJUp6OY2uFPcqx/KatYVehy9t2ou7PcGPudxbIP2vvP76uDpgHC5SGGz8f4lEqAjstqo
SjAAOcTzkH5Os5PCiJ0JNOInExSsszgkDgzbT6KfIW3wiZ+EnQi3+r1SnJRRPNRH80l8rXx4PtbU
qY+iIknKoZcx8KISy4lD2GdPQzNzNY2EnGGU1HzLVQ7fcOn53twBlMBvK2rNSr1vlA81fa7IHR1R
HnBtzEHAne1mGHs3VY1oAz6bjQnYsun2k6xj5jbqgJw5C6EWoIJ4NWpLS5oWlx/diW+BvyIb5zxv
+pgJ/MxB1kwCMg3r+9IYcVMelDsCRYcJxi+DiFlUu65nXfTBItD+yzAg3VXwra4zeri4lN5KZEJ8
XDmlM8zxDWE4BuxW7XAvj7kRPWEb4seGPeoD2Aagr1bIWtTTCQXMsGRd3vQ1+IkY5Wq5WoJySWPA
iN7byATrzc+wtGxopiMi5s1WBx9osY8L5gICIKnvvtbjWH8JFzFfle1YblvGAVj0jNIK93jdu5Mo
5XiRljMfo8ppInG2SHQWhbERluxqyqSJodgEXj5fU1Znnis3IzxONIJkkqecePIMN57rZf7CKMTD
EUNe61SYxKNr7klM4qaq7/pG0edAH1D1HRBr/yN0F3nh2cFwTaMLjOR5ygHSDQVvpnghJbXTTLD4
Eoy5efZhZam98mb/fVoCa6vAs11KxTl0T4ldQOxnaMTWyiWhEMkgL8pHMGhQnLLXdJ04AqFvrmY/
8w9tPSdna+4DsuRK+y+NwKkLGX959VPNFN6t0pmcpLu8ktosdjSpLrGyRi5jmHgjuXpdv2KWD/pt
PWZqW5honOtmFOTZBPwSQaUydvAAxtVggZ5J7Hd9MYGSpcrrfkAwuKiLtrnIO8bmszfM3xOAWDvI
vcbdHMnqWRQjqN0ZbkBTC2B3LaGhoOje8IXwfAjmGoldZfEwdkhwjeQHhca1O2Umr3+mR3JTYHnk
KE+dgOwZxESBQ7AHqH4q1yvf6Et2uuERL83sbZln6I2bJHyQW0bJljRYdhHKhgFbr7LtAtRvZ1dy
eGwKv6W2pVZ7OAlzXGfmO0gR+QyGjjBHZE17ZZAQJMRnHuCjVXesSqD6qDPJLn23XfVUkysapHZ+
KRlQ3MILxcaqSGnGBtyf/m1O4OAads4joVY8zo4YvJ2ff4MlM2gBj8Xbtv9IO+wmMdxM68tviFkT
5f2pCwbAQOEweeauEBiBiUXjRttUsGyX2CaD/pJY7nRLMtCIg7nsjr2KWI/DwUuImdsuIN6u5AEw
ralRh0L0vIJ4G7MxayRv24lzlFI5WzgfmewL7TM8+hROtkd3cvPp6FH489IwXOJXowWF5F1Zly+2
pACd+d6gN5YjbXQlK1NN9QqQMmx+zA0TPzUG6Apl0KPWIAp+r0LdprFXGN5XzMmgRrNIHWGzYsyr
p1QMmxKSwzc19m95A3PEc0WaxsyHW/UM+GIwHsTSSOcY0jlwPXY59T2lKHaZ1u0xJ6tIqqxuHpco
ZW4fYbV9HGmVuPfT5gfh9+cJrfumWONivFdRimzCDjt3aOyPlIzMxyKEfkAr5MrxxOe7dizIs7pp
AEdjzKgQ2LSlCk4+OTDCxbpsMPD4vMfjYlCpPvYwms8U5M5Xreqde3+ZBM72qkDK9rkKecxmJyLD
Tfh8BwagvJq6zr1ZxFLetJY73FcihH0rLfXujka5k/3ifJORP557v1lWPqzN+BEzEbxnmHcbPUCs
IdpB24SKsEcwLXJPZOK/JY2hHxhdFnfWMDA7F6n3Wmi/SOMO9Z21soZ/2NL4eB25swB94DknI9KR
v8nGVL3ZQjfnCuLZrhbecAZ5Z+CgJNHZoQXMYm+wmWXea9l2ApI0CaZ9Rrv0F5hnzZHEGp3fIksu
zXkgOEptNsPgVL/QgNcOO1MpV5wmMU0eAFm6TzZhosPi2p9M3dBOMqgjp1zjMsdL9WjS8kP8qBiI
SdlGYBbHgZvnWrPC/7DGVl0NpJgPJP/nc52rqtyiDCdqIy2OFxkvtwNJc4J/DTsLA4EnGO9Se6Sx
pf7s91C88l6KqXdIZpUe4ACb16hjUt8QM12twd5XxJLjkhjxVc+Uk9ho1KJQhGVAfI2373dp+0DA
I6Ol5qdBdHbd1t45pb8c1RCIe1VZ7SPCnXoKSwSycVqKeMknEpLEeTYuNk7wuUsebJ0GRSG2kiX7
MKuedahfbfiQI0W5dfmqbkdylYe6BHwQe+RkbzAeTY9mp7GSih6rKXKfsw8Np0Oqampv36rAQ33H
JKMOA/fuj6TMpq9N6PTvxPKDD+1Tf7E3G5yeMV0lHrlcWcJ/SJDif8CVbAVGhWWmPaNvfnjZlN6q
vMJmvmCGPjl6AqQtZd1uM2gL88YNuo5Onbq7MUqd72w0wX4bpezZ0wUYNX5VGWQIAxRDnQsSBiTH
g/E5A/g+YMxf8hszSAJzkzR1eVPDMe/hI03GXQZWL2bNVpZ7rBoNP+IJa8OUuP87C/0/aoW0sVc7
Px1t/qXg7qYo3zJZ/WJn//0f/T4Kjdy/4RZndMJaStu6FzFq+N0C95s31fcDbOmfTlL+r79b4FYD
6gonZD5qc3T+ux3O+ZvPOYfYEx+y/rv/znzq/TrT8nDA4nFlFAubEXn1XwYTHWVQ9eRb7cnFcrB1
4Cr0wE/3nKbCOy+rM7ZmUUo/HduABZ9D5w9QN3oPSFbg26xvE6dbSMyUfYnkwLoDXnqY25LjUyTy
296vu9exE8GLh3pzyqwUHpXO7W1kcOICjy+qkz0lxd4vonHbj3l9mTcti3SdNfIKJnWzHKrZIj+K
+I2hxgb6MuouehnpiAqPoUliE2Dm7MPAwrJziwcmgAQsssvclhhoHVyndRyl+Ozext7InoeOGR6u
eVmkHBoGvOoga7M+3XOoROcfzHXTAOUZqKq+LjOXPt592JKWuZZK8edmk+oIytQzZXJsHaBpTzhX
WtOoMPS4XlhuWhsnmLctBvja16G9JCz6Scn3iQ9rrgbgr4lHxGs7jGNgxUzwLPMdF57Sy67IhAfh
F9qshym2ziWojOq35kr/s8ayDtdKy+m3fkvqmFtahr28cRfAXww8m7gjcZoFBbl23Oj5B5jlmfNp
3LOZ9bZjKoW7IQwwpge7mJLuOqh64wKFqLvFxZPg3TEc8pkuhlyV1ReZYYyHFGX8ocBtAINbAYmi
QUzfWUjcez9q5regyYudpmSCPqU52woJ1XsMq+KSxkDnIHEJwEsAWEwGq+03bS0ZeI3lcBGOUxwM
kB6qqpZb6jXSG89Gr6LobNr6blps3Z4OqhyDDcXLUXLXrWJoUht9Q9AKzXsxxuamzP1HkscIs2Cm
b8kYB3dlU4wvWRXiM4BYeeqabLrjfpCw4KV4KtWU3Ja2nL/S/mbYsR6AHSUQvLekfYPriGKgp6yZ
iCdkvnFjQJnsmaMY0X4MOucy8ZMSwp2BL8EKumJ+alZMAjtL/7H1rfqBvgJUdJK3uHC8nNg25h7Y
trGE23lRd7bPbIL9AeSTur/QE7lVXRYpQrd0ztEScCC0Gk9/IX6qCPM1oN22Q9GVPyzt+rhAgwU+
Obz4ekcMl5MpnvbbTizBRac9og0BE4wBBRaPRXBpUbqBRs2eqd4k3TDe0G5in61pkkfXhdfc57hg
NkOpurus9OsnZkUcmYiUfyPk9dVquzHuyzA8caUZtjTgR2bVhFcLvS13CbOME7H9jjoyZ3ke4PRD
h9CT/Z7LzjwbSw03vG2d4MRyRK1Y3nwfozY5Ioy0u4yhG1cwyB9wnQzPpp+XX5FcxFdH98KjFi0s
vraY3snU84T5Rk9NPGNVHKC634vGZ/ZO2LkKRXnIoaywFNbeSU+E78H40vUBcSEybqyck8zi4WLf
MAgVt3WSTycA7lMXy5QKw9GCE0BH/VRuBCf2LQSleSf10MQ60cxmOJDQGViu/CaTyLrSJ2lGBNtm
z35yA8O56Y3uUSzdQ94YwcfkSQR8RHocZJ5m5hXbzZJ/CbrcPVf0Y1yavcusBRPClpHKBQVgwdWs
u5ZHY1APBE04r3emfPcHkyS/XuStg5j8rYU2224s5pSbqGKvmeap+5hmYKj8lpPKRlctyXL28FcM
IoeXnvx3TfXlapEBrlFY1hLnU3di0JS+KScT30usC7Ea20u8HHrn+XraZnjAnm3Yx0fHCCBsI/rP
lzbz0q1LXB1MSW9DnirczLy2aN3Ys+02YGmbobwrcsXZp+ktmMsD0PARvTDZMAjiuJVhl5iOdtZP
91K7nK+KVDsPY5+E3wpdMRwZxMCJL1x7FZIkm+9dI4GwDr38jVC4PHPk4dw192vL0WAyCEnx6ZCV
DzMYedoFqB8xiJrB0V4HINxnxm0OlQqOB8dAiexCViHU9Wam+ciwbHmNE5WsKb6cuDendxBC9b2l
/fkiNRIV80MBa+eJuoAEHx361p0ujd6GORQ24Tv9aN4PabgfomntSysYVU/JHv6kMuLkAzyYh9wo
rtjuhVeRUxSX7OX9nA7V98y0McCYpaRqaHqUZvdABt2MQ4uWeFKwnAoGP8N/YXkHUyzRXWt1cmf4
dkaISWl1TA0IS8WYYpQWyZacpUUqwnMPORDwPc/7O/7o8L61lY4zBn1f0sDiDZJ1zUlzQN116G3l
lScp4/NUPV7J2kyPhsZQu/ErSHvkpOUdd25FzDbSt8Qxu492AjOOk9HCklC64RNN9+6J33De2rqh
NcprvIZArVfdVokB7cie5YWF9y02lTltYU2IS6MDWujXtTz0wzQwSZj6F7sjI1qGEhtDULz2yvqW
tzCuFpbHy1FX6bDxlc5u3bCtNrWSxRbUNVWGzqR+WM5Y7DgeDA+56Xu70SXBJdOw2Ls0a2ydDmP2
avG5RpnsDzpyWn4L0d2M6FXWLl+iFQxpV7Dousy4wHkBMBFTYg0+0XTL13bSwz7laPUBadPCqca+
m9feaxaW37tCqAvHYLk3cYxvW4//lZD43cyMoY+YHcwLE+z2dhSgFWi6sS7J1ObvUR56vDsz49Bz
RNu4Kinv8h4fCIVJAoNk3kL4TMFftWV0dFyp9sHEzsvQ0jsUdjaeRSUhWJQTqH5IosbWxD8HTUOO
OydQ9XvvabxiwMXwfoCpmjP/qEcH+px3tbj4K2q3wjPSRPZeWt57azZ3w8C8rSZrzpF2OfCKZqLt
GM+WYDSaZRxxsHHPG780/V1hymtkzbvAhA+m2tW8PWzMqtDUDdf3odEXJ5j06b7uGth1ERZOX9Q4
57LshEM03SdueeVUhnEfqUkfSn8gFTjnFBQ41Z1R1LcA/bN9X0Fvw8BfM5OY7/BAWdtCkKFQPRCd
fmnqrYvdA+vRYB3q0QGyYwTODWYhmAwR/M6eMfMR3gRlIp71vU18Y+fNOUlFuhY21GB5LGQFCCCY
0Xd4CqN3LLb0BBjcfkCUjv401nc+lmQWY8AVozdYMeSn4WKquuiY16lBNnkJT1U/35XCe+Xo/vh5
QPhfOPNfwJkt59Pr8Q/bxL+cpY7QIIT42VTy+z/5/SRleS6uEnQuZpV/xy///STlm3+zXd+F/4xw
zH/CQef3k5RtA222YCV7ZuC6FPeRCfr9NGURGsZRAkzZWXcRoD3/G1OJ9wcnRBSiMLoYVBCzcAe4
4ap4/iRcmz71P2CR7Qfg8MDSmqViI8eOWWKwLKH5N27KfkuU3XsTFPaXLCuMe0yr86F2mW7HpeDV
wRaVcmozKfXWgKnVQ37ElDo2L8o0+TnYnKiXNtjMgueZmmKlEDkXkm3VfkDwpQuJoIZtmGuHA9MZ
kRfzQUJauF9yZzkyb+AMYxnDdwrMOGNkrnbZ5orsZqpLUWKj7fUbbyc29k42C7y6fG1xlo6oEF3R
gXQtzfYEn6j5NthZ/gbvd741CpRiG2PxCywogonUvQWELZb++9ilsFQbCgxT21wBqP4dznYhNjgp
7Mc1TVRsfzp73/4mH/5ss/msLP2nquiulwD3UsBVNan6RAL79RJUCx04LOr+w9I50YXnDN6usSc2
E5GcYKo5gCTIGttVdCuDxr6s9dq7B5ZOUipbmKQSsnzeBYEnL6JlGK+WxMuu7cGVH2QPDZqLPHWf
zQReKMzJrwhqWNkmXBMiRDXCQ8riux+UI2/CsHvkpe8dvXXQnmr7i53ZB7qFPvLWb7/9+R8d/Vol
wR/tmsF6A+OCwX7jEUj95b5rkMDSxGzqB6jMyYu1Xv1USuvZshl1MxLsLobc6S6qXNPLnNXwmiqj
X/YKlyJ99JP5rSksvobI09PNCkk4ael4D8nM/2op3PxuN9I6U76nb7LBp7+aoqBbL0yekNrsQySI
4BQ1PckUoJlHQQT+QDWbwfTP8bdr4waRzYp72unN8WwuzkftD5e6s61jPyTecQ5RCxEfnK2Y5mI3
eTRus35le09QdhnlJ1ic+p0jHJXEvaPfORetki2j+65H200yjM7NOOx7QaEHD2VxHYwGD5MqxLFw
mBWKvNus+0lUGprtzyFWz1jgZh+2Qqh2I6mnOpgLVem2QHcL6hqqa81VQmsT+RXsxvZyDkv76wzd
5XtYYk8FnUoGBNgE5JdVh9rXmVJHegDFuex784odLX1ptTVeeThge6IgA5p1my35EVtQHsWLm9r3
huinG9VbfKH2GqYCq3TU3vpsGsVCp7tWX91MQWykiQKGXBfFJgmsv/KJ/frO8vAP2ZHPHIqoNYiE
z2HXz+8sG5tJwtTXuM96k0l0NNQHw1KksyYNYi0YGIRH673TyeVdw+WLVa+aOXb1nH1QcTT9D3tn
1ts4dnbrX8QGN2cCH74LapYsWbJdHuqGcLmqOA97c+avPw99OifdlZxu5D5AkFSny4Mkkvsd1nrW
pXaM8ChbXb640gIaGef6TkJYGf0l/rxzCviFfJesV+SGpT3gk5zP/q6i7g904v02jR2NJItXxsOo
ozsPXJa/qwno0hmybLLicTVtewslNQ/UKsP7Qc+xsVuYqQlOTb7n2I8XEtfn2+dlW6ckmCeJM52V
JPVb1EBAqtzTXz2taF58qJ8vZEhIEu8TWDdFHRMZgYI/+Vbq2U5WiglLN0I3Dcyuc3ZkbgBPybzY
u/d0dhZ/I0wxFpXDP59Xy9sPn8hzFxWXsThcl1v7D0fGIIm3jmYVPhiqhvnTClcEk5LaI7Urr0Ck
Bu4N2WhP6ZT0dLOQoGsWIsTP7TzS87B8cA9iNoJ6dYS8Vb9nvaOmwEdqC+FEqPANOxQvZvESHmTS
adu/fvb8uxdgLccrWirOZYOA3T+9gBL5lBIx7lUm+u1mTMV4kcwetpJhCc1YyXMmXCKFbGPJFyxj
W9uwRa7f9VC3TzRh4U/uPeCLtBLvTC7EHW0pWddGzdJA5l74lLuSXikmO9b7G1XW53n8y5tvuZCl
2MEwBLV+/d1xJiaKotl+qDrbBjLHwvEnVzMxXapR+bNg53ROx2a8z92+3LXFsow3ytI5eHXSH2ky
iVbF63bI7QVADQ3pqXUKf+cPFrAaJbvyfvaa5A5Z+3gdCh/6WUtj9xNMD14d0tG+NeHQHUiC9Ngo
wzm8dtaQlTuXaRNx4sQZjIuRru268MWIRbrXPM07Avw2NiForG3ekPxUs7R4U04579TQh2i6yfJl
AgN+uzWM8YeA6aMCAyI0VLbaEJvZrAmmqrJvAl8maZulDExWUofcwklVutzq1ATj9fPWC30t+q5C
Le43iMb49fBlHedRGQ/I8rFgFilsXexIbGTqZt6mehy+ceX1P6y8WJ4gy1tDWgIjiHI+WyBHiNhE
6oE/SxFkZhTZk14b4CMt6SSvbpF+mFVRHcjwGw/ZYDTgCjGcAV817uIRm4yN0e8Cb4uz5K8vYorE
X29DWGHUDMLjmb2Ug7+UDTyri67JevmA24Mgw0nnBgs+n835MGK1CWW8+j27do4RG+hV/e4YLQxW
wTNpExWkGWiM4OI8zY8yYZyLGkVPslWvpUkRRFG5bSWOqIA7Sf82DXr+hcd/+41hRv+jS2BarlE/
FMzwyBBki0U5du5JetwULv0fxFYEZMCp8jDf5iIEM+vPBfR5FPnraa7dw2hBkx0qpDNu3Ez5SkOJ
A+xJu+GwmYZ10+nddxI3eURmZbxWlaz2o5ibnbXs4dw8WUrO5XOth6R9Idh1D6sLs+6IBmzjm9OL
qGnLzMozA36fuAiwspQ7OGBcrKlBUgNqWffDdK1irfo+O1Yi1fezn8PgxFJDH4kdqToz6bf8Vd1l
8TPnQPLcAJjN0S4NJlSppEhfGqyruGcz6UR7kkX0cVWwR8uCJq7j7xr63wetH5YCR43VUfcYWWpN
AWkdw0EUmHHXbvD1FjovN+ORl1cNb1QzKP4ctuQLBlPMPH6R/FnWOp9F+RRFbXMIdYtTZxap+S02
w2RaRcKps5PW0u1K0yc9sCVoaDPj8flWIKiKCPYtvPXioiadsIQzFtlDdpy4ELCVDkjlgD7HuNjA
97wSpZQgBtbZ8qYlRKBAEIzyoKgt9y2jSqRjQLJ/Gk7mHbxu1hilESOHEDUUhC+redhYfe+vvMZJ
gK8rHBPAsbiNEkmVCVBRrVsfkUBg16FOAN6c/3RdwporiS6OXSKc5iFzSyxpWXFx3SK+GoU7IJzK
ccc0/jTfPm+k/3a2f9PZ0o46rO7+/50taSdRUv4ZlPH7F/3e27r20r/yfQzqd490eeP/bQk9dn4u
5xSuXEoEAoSo4X7vbWEdIp61BOpYxJ/YFv7Z25rOb3w3k34ZUY/xn1KvXLEc5H84LNFjIxHCkuEw
wF7qFl7vHyuVBdJWoT8Rew8tHCmvaOJWakl+nctJ3iWDiW03/DphL2ZmuyTF6h23irWkx5IU1l3M
Cra9r8iWtd1QhBvl2t41nqKaJARSaKsSz1WALPwgwxaQXkhY7dTJdx1inGLTzhv8hVVM+WxgX7rW
xQIU6A1NfbdBmJ+qOPLvrGm030uddd0KSZ79btbUIAGBYkg2nUrDdoQgIOOMGX8AlPDd9Jg01nBh
8b5RBHp40Zie9DSrvZ3Th+XTYFpRmwaRBk67aw1BkxtX2pNmUYAGWJ57YAKI/l0J2boBWGGtXfRJ
F6HGfK2y2PuaZ7lnoOPsPd6WyjD2WO0jFpyiQ97mwMpiLFFxlA9s04TU4WA02TermMtTNCDOtL3Z
YjFgZa8qbXCmitBaa6yLCWA3h2fDSKcH4utFdLAa4r2ruqivrA10dzeGMCz0sdfe2ibHagmF90us
o+PKEgaW4Od76T4j6u7blYtHFtGlmlk+obsjPTL8FEe7s9Ua99C0CZzTsEM8qQXb0NUW5i8nH+o3
K7K8OxBt4mkczOVdzgTvBQHf4snPbAaDkzEAwCUIlSRkoL+IHcH69IFaYs4bTiVUDTQS5C0gaCg2
nt0jusKJiaZLUxJQwKcUXCgMwOgQUYWjd+JzhetPL09lxd/jHOJrbHPKyJpd4q0NDsViZbcFIAv6
wOUJ6Hh3bW/xwMzjCCFzBOj+2asywi9LDHvPotPIaFVeD/rRV5Z4MoTNy4BZm+ygCXczbkXfPJhs
vN9rHJ0cmK2HGBHW/HzyS1ZwHPOiOmF0QV2bWjMv6HM1YUiw6kCWZ4K9NW/iFxjYn0QbN0p5Mhd9
WL+xWaOujUIAuMg1lZmuPZIbrbXnVo5xCfslTLxpQz06tHWPEjWq0vY7kaAsHNiXzSwVlm8bVzCe
dnmaootjpNqTD4MRmH+BCJxvj+yHP3tzi8wYJS7voBpG/p8Zhx8wZeLORySDCIgZvr45kG5Xllbz
IsLO0K8kDDh3nz+RgCEUqLBCUEjngmtT9gbvbzqQMz+oDFkrtgdkptZg9BSiSljvOqtn4owj4CGO
jgJeGoJQQAk1Yx/hkLRun2HsmSmRGJAlqJpN6HSE2Usj4ftHZs7LmgrADwQiOi8EIE3a8+dv6eVz
F+3RCgHgBNLHL2vXDleZRpdy8RVZMlQQDennjTPwOROKIOfHdiC3ZFvly0dq6Mv7w7xKby4tWku2
TXgAJkX00MWflhRQz49o7yELJ7us0rggPnXx+Hp5QpFco/ZWoYtpm8g6/znPNldk6mjLNSXgpwSR
rXnFDmrWgMBeEKG2iutsBAabtQPHtYHwaXaGB/3TDZBO9ZvJlWbi7e8EqVWMZwDZWeTRtF63qmob
6JxtaBJMgLE4YYoyMjEXNe6y8ghPqT/5z3yYztLEUiCl8AkooRZTSWt1TbilPhvZvPkm3BCv2II0
YFuDeZR447b5SDXmAqw8uC1yPx8fPYf21zUUF7ahBsWL4Q24w3Og8eqKjBnMDOykWbWDys217Zes
AHnL+nk/4rjbD5i0PiSyWHPD1NNbMN7D4h0HPn6IIixa9Nm8v9MYh0g1YeM4HdRVfmAx3A9Mf6l2
GG8ShW2SPQZfBN2esuqDOS5igtyLYzBjU3QrRV0+5H1F1dpneVohjI3JzapmF9Wdmn5YbmEeQ4Xl
NO098T233fnZi7rR3aLvIJwLtMAPk93PE23fdKiL8tNQgM0g0b6w0VPPsWE1a3AUi1Xf95Idm0ai
sEctvxNjiVfZH0vCIwro2ZE+/yBAneAsYGjNyUM4DxQpRd9Nzl5ovrGTbpC8hMjpseOR7jar7Ez6
mE1OycByCoWBAfwlnN07O5IX5ajiBz1KbG1mT/V5ME5yOhJe713yQXsQhWaMG53KEi2Z1zfiLidq
U95my4wPvc7ysnfG7QyUad3IrD4P0CaCTOvCa9krniYT0rdEq7sHUZav0I/YDbZ+M0e7HrvCXZ2V
uvElRO76TMqJeswH6xrbNEX4I6JgiBrxEKJzeiSHjOqaxZ53LzGB7xM3rzdEhOuvEZ3uyQq9pzky
nJcOzDoYWhscgT2UFSQVQTjYvodWvMnMYc8sg1lLbVxxBlQsJevYRosf63dDhVuanqvVbzgkqs1o
ECGHE0TQd6C4QX/ZEhueDzpY3jiMh69hPRb5CnGonW71ouuKPRqkvFtpwgIGgF9h5Y16+2SUmfeW
GL7OKDAhG6BLrS4odK0+9I7JVT2Y6deR4/2EoqW7tIb+dVCePNPbTm0ghrF2kP6E7V3jzOm6t3zj
cfI164RiXdwy4bQ/e1QRXyc8pfJ9bPW8vyXU7KSkKgIUIkDEK5gtr8Y0hzdkjeE6c+CcUAqOd31L
65Y3lDSuw8q+MbV7kDzOpjFMdOiTW/zI22G8kwt+IrQn40bEeP+GcSdcR0XsXP3at+/HDqk/8qEY
FIpOxM7F1cLsjKXAKNdxp2s3K6tAH8AQAO+UY762nPFYN0X5NelaC9Fk/SXsah3FvnpuORKhpHCd
Nqn+JozokA5pc6dNtvU6DJEJfyaD4S7CRmwYEMQnonqie9OrunPnqr3XDQTeuYjeY13AfXGrerTu
hri1eIWeWBkxlD/g/EbXcvhpF9SpBlvw+K4gU47ECPES4s8LotwpAmVU1qoc2mztjHm+FnXPdWDU
IDZGQp8i0w/ndcQIISgdjvDtghMfA8OozRseHufq+ap9rBSS9kCBxeH1xOjh55FQ9ZatuMqAqHXR
F0eX4lQiW0JGMJJFXpLm47dF8ZiQzIRfgfJja6AIpicm6m9T66MWdK1jy2Bq4vhKTpy5xTcyPelK
9aepMfUXwqV4QCFhOvME6vfJiAxh3Rb+bZmE7+qywzjQGlZ9MouZyYNd5D3uiWbAOFEmwJvo54+d
lXY3ppn6WoXMndoliD6Lpi96k4dMoIvuOe7iV2IoQ1A7AhFXNPbRl772ZeA2I8RoGsWjUxfjftQj
NrV+7G2dDspK0Kp0cIKi0OEWeG7nqO2UxTZ3QtFmq3q0SRomWpvCK6ZLlUDidvWAJKD2eeE9SppH
iC4uaDwZphuOQ/AfaUM8Rg5Q1gthe4xKEKrtQNchp91az1PUnAhVQ6Gkx1N3GpVF/CEjKpMxnz+e
3QIFBdMLu2dF0jk/YTwNG+hw9ryHz5GzMXPl3lc+IvmltAIYqZCSTTKYLVI6VnmROptEk/UGqEmC
nt/rzkNNTEI45Qg2ermkELpkIaRFf5kbrza/cL5l5xYSGwuEwh/Ju2gTmDeZXT10xRg5Dzl6uJnc
Ol8FfZtSFpSD9S0Thh5tfRQO3EA6tSA0o+w+4pCN+ny8K7Om2UxdRtBnCgz71lAGnI28JhevRErO
lKtH8DabKTWW5b9Fnage5nBAuFRE8VZm3XRnN7Z9kWVMRJsvpQan3e6OwKja0yjYFXplMl6F3TZP
8VAcSYc41d48riVzuPsCjeKHw9Ny17dSHUVvhzsVec8UasPWbdSayaJ1S/uJuYvdZ1m2JV4hyo+I
O0EdJj7sowDEYJ0CcS7hTRQG0aCdSVDamBU5gzrfIN+tLosFi9vxhpjhfJd1zMw/pn5srhojhXuS
MFSyiWpU8d+8tn4iiqXM3EAlnRUau0Lj4XYIRyw4sek+VCJ/qc18jE9I0d3wziz193ZYZtw2hVxC
mF/HLDAJ+ZxTtkNelsbuwzLLBRFa8Cc1sJgswyteFcnGiOR30tBZur3MMSAhy1Re5F4jo5ZXTr9D
W3CCDvs/dPL/Zue4NL5/bIzxesIkoGln+avTp/+yfSOOyUASp1d7e1p8pWwGKRM7kVO5//UP+mVV
w4CSH+Q7+Lxpg03D+eUHeYpiXub8IHYs9jt9KuaotpTUanwM1nuTeLRZEdx3h/Q/jH//6U/38FBh
l2bb6Jtsuf/c/9faxOhyQkCo0tp4cgbWQwkJ9pQSrOJYrvJTndalHtSGggr+r3+4+GVAy2uHs7Vw
H/DUmv6/vHaSfrWwChVq0E/jIpF/nXV2M2k8YWqgg7KEw4vvrYno3GgJvdcJJ6IHKCMXkpc1iqe/
/oV+da9iWrU900cyvWgO0AH/+d2I/KGbjIhmxsWcchhMxg92EhtP8+SCgVTi7yAL9qId+PNVhojc
w6eOz5dl168WZoh3k2PrTbUvkanctUBS3ggx4TKAKLgA+DtYOSyHL1HvdYTUKBBCE441LS7OqQ0g
dKvxNN84srTUfaF6cSmwAdVHVnH+cx/jvISqz5VkzWVIrV44zXc90k2fKQ6I3keWN6HayDFT+6Tr
6C1YT7xXdj+0j43w7WY7s8ckJLPEhW19hQiMvIsVK116FKJPSExgaoQc6eIJx0z9BiGp+b4k5vz0
5r58NJEcoDUEFlSsWDPVbzoJueNdREPMSqygXgtcoYW3WWu6ZuundIs7fGxqP/EX1b1V1cLZqVjg
5WyEV719DkAKR/4O1fjvePNvxps8buDu/sV481B+T97L9z8pd/7v1/wDB2P95rJYYQPATItLmKv7
d+GO54F8AVLi0J4umBiDf/X7cNMSv7lguUlEcW2BtmcZOf7DBuH+5vIvli+D+P+Ztv6///MnDkLz
yz//UTViWX9WUDBxXbwPfDffXp6r/wJG6IwmTuZ45GAyOUtNmod3O2UxjlBVN+ogBurXU+hNrL87
dhDoWVlhO7EqzjMSyXElCAXYhHrSf3c7UdzPUC+JC0uJuIh8rNkBX1Wsxyps4XjN5dfCRsOgAxG5
Vwk2I9biyjzPAjLbigIFFBVJIQ4sUu8RnXn+oEYU3Hr/XlQKzU4TZ5TnunqrsqQnWrzPWf5lej2+
E8FRjOSfaayMNDNC1j76pTmivHAjQtAdmX0jABArlKmKpQ03VAj0akqAMKL8xKbgd+cFF2xuO3CD
y/AR8sAmJ1rUXCGngbCfeqm5kxhZyfql87ozQdZ6G3NyE6i4ZQ5/PyMT8qNG//RWISi40AMS7W7S
GhNWM3x4lD9vbEcxU5EIM52SIZO3qU6jd/QxOEixbWDV6+CoFvXKYQgFTwozG8r36sqkrwID7JFR
w9RtcHf5mGQXzyzGm5UTN11PLeLP6sAGhFqfUgqfaof0w5p2g5G4VyEb/NGpWXyM2LkCcyy8q2OL
+hAS3PNoTmwYk4bqDWmDuQ9nRLDEhWfl0W6ZbKUAMU4EgRGCMzfYZXome+gsI9wxQWJL987TC6Nc
KW3Kn82i7h47K8NH0Qk8kR0+uNfEzcLXFgn6oR5s0q6QMt4NMyw4VCZOUAGHXA0j1dQcie4lz6Za
rmy/UHdDqOQp9rz+J8XvzDh6arVs3eRWfN9bZb6ppV+m63LwyUujOe/PuUblTRRCl73LT1gaJbq9
i5CVoo5Mh+ZrytYtR+guJcpuaUbX0vNLsecwSh6YVJkvRlQkN3+RzweojtSjAFm37WRsnYSR9jrA
4SreEzMK4WyCImi0vdwPk+gfopgu3CnS8U0rI3U09cL/AbveVVtHLyIrEObgJZtBSv9hARQNaEmi
SntNI9O5kgxNwdd70LADRhLZh4Utwg+6GCwmQ5Zi7SO2WsmCrR2fYwbvsomv7pg250ZM8dFlVexv
RDVIBoYlg3Jnioo1l2v15JmSGEDFJHqtUS7fiSqyzrK3umqDsau+pCWOoQY5PXf561iK1CI0KIJe
xdszGp4OzZQcSf6nKkXUtsHo91PqPDQVPtb8rtT1EZO2ATJ6hti3uH36GYs3DlNzOsZ2nO7l4FyF
l2br2nLnFfmzEREayn8cWY73m2bs8rcw9CdCaZj6rt3O8huSpo2KiVtjP3adDZVuSkS7WsKAwGCS
S0de+Yh1CSqsJVM7oOyH50qSEaEj6KU9Ex+94n55CJsRnHECJvbLGA5mwcCt1dOrmyDX9ddWPXf6
ozU3KCFy4tNKmxgeqe2HTj1b9F9odj0fNbYyh4Op+iMeI+dc1bXa0SMCFhzzeVd3xXSTlWegMctl
UHl2dPCmJr8NylQPWB3HlZWhfA5NP9+4SCJx+zDWC7GzCxlfCuqCrmCepLfJXZ8eWUDznUxNYskM
5cZPjDcnjAn2SbVjmhoB80I9QPbX8G2WpAGAwM/MEqxD2KhqJXhbtmQ6NPeJbr0BA4jWAM/9TTX0
2pnA5XAPLWlkr6S/lAIrURjhKshIT2hwD8+8h2Grn9LEaKeV8DN9y9Lky2hCt2XI+Oy5k3sovPoD
Rmi+wQn7oKNUgk6YP0emuneGFMObLF8BTDJ/mE4ufOttoVePfcK4pBjddjXoUxHoA9mihEH3GYmi
tbd3Y2CHEzuwoOsbCes7ds4yEc1RmYwO05AEbd8judTsrbVopozcJjq8tUt01hGxvZXw8ur5DWta
c/ZBFmydAdUll9HJ4dO+0yOFOUXrygd9lNVuMQ4vqiaupqmaLxMuo5DrByWdl9j1TU6T/2AypIzX
LG/yW6aNw73jq+9wxJgMJZE4zYUvN1rDNBlrzMgyi2QHrQg8Lr8nFxTDGigcjIHRNjZYYQuiUqLp
ko+wD6ZeqC9zRs6KZlsNvNbkZisNdoaZMdnt++ZSKOIrVZEXj30ehjfbwMhqdei07EonoJyPyQ8x
z2WGGb/nY/geN7q8GbU7XI3RH08UhhjKE7987IaqWLWmc2yI24S8yKVDKM6L3RCramv8V5yO4QrN
BWTfzP0Yxr558JAYrGZA91vUq/62G9z8p9OE5YU1fNPNiBZhL9Bhdo114RmD/7pNXCOQzNseALZD
1HDL7MQ0n7D70MCoPTbxh5WzyUB92jQrN+seuAjzi08U6DW1QxujhONuCI4nAlLoV9dqLCZCKXK7
2TSvOQ3IWusmEkEH8dXulbORQsseC+I4A7t1jZe2suS2GVi+cWXEGbzqXneYg7rldkoM0oTZEO8E
+IyT1jv+ESPTBP85GQ9OyxGJFcs5gP9wxPqz+Ptvnfw3dTLbQf0v6+QzBcTyn7pO/lgr//51/6iV
vd+EvgjZDRQC3CvOP5UAvviNSQMAsT9UySYF8z+qYv03IE9wOxiA0COzQP9P5Oz/Mm6wXeSgFvE3
ApoLw7E/t7id3qJs7uPoQK7ffNYLBWE3JVx9QYSg+Gbgrz4oTOXHIjM8/qF9+DczFcf7lwabLQfr
YzJfTBBh+q/9bgI9GDtWk6FahkNM/TpvNaNhbTwXuNNskAn7Fn0naVCipZYVckLE01cLe9uqpi/4
bklFqKIGtTwRtsstKNAir7LQGHFNIk11UbG/AU5SMCOw5nTzKUzcqSOHtIZPAAf17LskbPFbYseZ
YmvMLj1L/x9uyvG6kgmphCo2/SZILdN5kBq5sQpyzY51/nidXX5fEgMnxHxWeKzsZenqIOuCX24h
NQwHJJCmX85bIkyydYlx+jB1ExW2E1tAudhv1lFH6RXOnXb0SLRGFqrxKX3vIzNytoPvkiSu92GU
bIqOOQSxvrFmv8W6PwHMhlLRxqeqNeFOLj7BerhKToQ4cCNviC4YfRkDV+j2o4ch0p2tnmeFtIIk
KnRvazSE+6y1mAnIQVjL34xE7Luvo8rqcudIHbgvkEEeXmgNafNF40ZrMXiz6a0E01BIWUHhhOhS
MPxG3womv/e9O1WbSp9zWiF3ovAUkfReeda2Ggm0w7gB/u7uOmdGATuMsJN69YGFtr+4RHRTDemR
uae7EGSeG9V6CMP+VeU3WsN8V6hCP4vGy3eev61V76WrPnfI9iWBWVqyvsqYWsVua+gJbZdUK23C
T9w7E1qQ2s5emUbDNMrLGIRTh0EwyewfJLKkD14Dn1j6o1xTq/vbmOH/oSV+7i21G/hacQwh2FXl
geMGeHyY75GI5AgI0+wGmhxCuKtFLosLiaB64CCqysPoT08ELfUq0Hy/+YY5L3wostgFOG/ShUVO
sdEHsl9cPSf2rLaKVTwnOenjbDqlJuId63T/w4kyZM/EH6ZXVvLyPeqFLbCIEQXnTx6tWZsKDUiu
w1ehZNRvbIPpgaScn00jf0q1mqIK1ku0MqzsI4Ec9+xgdWR7b1pb4pOZ/7A1Dxw5FgdKvx9h2Hjv
M97mjV9zDMN4idp3NTf46xK1F/FgBVk9nHortu9ZveckJWD4CpwoZFgYWdkBVYhzDitXvKFV9i7C
LQf2XkN78NMsP5TW5K/QqjVPTVexQxrsCuF+YZ4GZPQX3LHU1VFt3+o6BjzZ1+krw/H0jU8UmPTY
mSe87vkeSUh9gYPHpoBklnABvbvHRJnzVdptT4i8hAoKcw3HQO25JDi3DLE1BvxbQFvJGeKYSc+D
HzlgvaXv8xHda7Dk8xxLJzLv2Sc0d3TpycuI1bEPaBf1M17z5NzGmXxCcDg8sqapgSoSpoKlxn9j
2ZE+q95pT61d+dpm7FAc6bM7G1tRxMXV1v3wUM8Y5dpZj9Y6aOOtkr39k5Ne7gBDTC9jamQY2RdW
VF0cWjs8M/4t12EX6wuRbWTLHh0Mvz5Ntj6tQp/U1czqvsOZZiaclfl+cQwEpY2xTgiiQwg8cbdG
jFdzHrGhEF3RnXQ5JNscwg3IaGu4pZUtL2DIJygJnXkLp2F67eBDf9ih6G+8IeH9WNXdy+xOYoUd
s1hzn7RrRFXpfsitdFdbKd6JoquyL+h88x0fO3eLNsgtoRD1d1PDezp7BfOGMdQRjTkjkqRCtVdX
9KVBUOhEEI6B1t1rbOPnbJCBFgBL6biUCY5nPvxUj1l/jsPiWqNruBiVEb0aHvf/jB9jO5oTQDwA
PPoZrrp+9tvMv2hVYdymse84KJrJv8Mck+/QO9znsquhMXGjHjsya9azBQJzFQ4tIeGZiI51RYR7
5DnIuTuzPHdADFDJ8agp8/KkOXZ6NKQlHp2Jlf5Kb7Vw1YC8/4jTYVS86EUr1DVpum8mjBwZtd6I
wOzIWYLvWVbG1xSl0SFv7HwnrSR5Eii9HiK3dS+0IITzdnKmK6Dk/9KUnX8ZETKc+6bW3uuqQwPM
yPUhT4BLBdw9LmamYfo+aVUKaSmS9r4s7eGoRUW/Y0vbX/pW4ULNjXLrJVI+D7bdwG8ib32yEO2Y
yRjfONmQAfldxeKmdH9OSQZKz2kbFDB+9H0AWr+xsCojp623Q+V1rL4bNsqCyACtWkj3PhzRgyey
FFhck/fvdeEJRj3GYDIYmLX0CFNDPocAEDb4r6qDZxcJm0snzX6WlqCW9Xv54tFmOhuriopvZhR5
uxKezbkToXfqIVtijZ3VIYZd5neZAenP4HwLcqvNLy2bi/vUK5pzBtpt03lNdZSV1p7DFsBfamX2
ZUDKj32u7F6wEUKJrP0euo+lEWzbmEN3q6PGu5vZY/3QMe10AOUSjmuf9/iUD62GZ8923mRS8ejJ
tMpaHKVpuTy0a5YucwgOHW/8vZuV5iXRw5LHEjLqDLQRs7PQ9nZuW31eEwOrRgMo0mqBvK/GyvXe
M52wEz0x39HtVGctKu1HL2LGIvTRpPXwAfzA6b9Oi4k8Csvz8gEeZW4KMrJowqYyWfupNM4dW2IM
d2h1VFxW1yoyzC+u1/Ybpun5VkqMxppD5N4Sl7nxnKWRx+q81iqzJhJBb24u2UAfZELDGKJJntfd
0PuPCONInJaNsdVjJZ7skKXuqtBq65qFEiuP0Y/+LY9KdzfEHLKDbt55oRqWeZCln6Uuzu0iN/Bb
w9sIFrU/4o4+O9Cmwd+HrXT3rpbWcJYaqHLh1FzrOa+vyxhsnzIZ3I+mXa5mG47yMMz+vAuFcl+o
BYynkcEk0WS26f70Cq17KxhBbMOsfrVl7m60lHW7oRpCTSudjp86pdkbPPKgY7RpDGpTaQenNJpk
5VqINTi05fyR1AoNRZOEw9HoxjXKiOE0ZV7EpWkRH59m9jWkNgWbyGHd4Y1It4On3JTJ8Uz9MfIQ
vhDIKFHhqOdSV8V9P/RWvQpn3cLsOZUYmrpsnQM1ZC8j3D1MOO/eFS4+GdIL3yjQnGalpR4FyBTu
uzoNV1GcMb50hRLZwc7xfnNl59ehqnt6Z2tkCuQiIdsgAZw2DGGHBwfXfcD4Yzg4+lTetxmeIDwE
juLi8N3vFL7xxrIyg9kxjxUPPhAtIZUqsB9DHx57PY++6FmVfwFX6m2tqJnRiDA1vK+z1geb7FCt
RHZ40F1mQEGkQ4gOsooTLPAWI0rXq3k9RmZ6TFsfOQI2fbB1SeRX+0IaUfPDLFKXSV6QtXAa6sCU
3l3Y24ybkFge6aclLu3GPON8my6+VGLtM35YtZgPj3EJLiei8H+dHe+UWs5T5CQwdQzyqRJb8Cqt
Y5G54ivOCmMhl+UrfOJEg7uF84oOkZQdbQlVGGITi5qGnMOc35GWfUtc7eYB1IHVSIIfHoE4aGSi
r6q2HHa6Cd4yY3Q90iKcklwUiJKiL3wsDMwnz1r5jf8Z7BcGWp4wnk3Mc2Nbb2IJrRp7AhGiLMvX
WeZh7yly3pgCMl1eTJCnTbPGiUjoFvE45rbsvG2MBOWIBPM+nizjmZztPEPFxFRDB6q0xe9MmK82
IonNyOOA0NgGlVXsXGbUEMhSlGdIxXYQYGrEDf+HvTPbbhvJtu2vnB9ADgSAQPNKghQ7UaIky5Zf
MJSWjb5vA19/JmjnLduZ6Tx1n3PUqKzGlkiCQMSOvdeaywXGKJ27yY6QdthFeltw+71qrbMxHBk8
5ZCMdhWEvoM0Wv2WLm7sD+FI7pHbsM0xG9nHleNuVduRWQiVca0QEa2qsgvPoIbZ2SHk3kmdD5e4
2SaeIcjCiWy6tV1hOP710fDPx1JmRKbJNMh0sJX8jO6PAktlGDXjfYIEZMmpx2DUzC6rNKkq9qOl
F5xIqaXogPak3P/6xf80hb2auw2sbi6tE3ENZv7OrjfHRWNjuIn3YiqbT3PSFKcqzqI7N/XSh1+/
FMOtHwe+kvOMy7+X0y+pqz/N25mtJzZuFl6qMmpy6oSrGEiosPz869dZjAV/eiELcwENB0DyuKd/
POfDwKUbnTrhvq8CtY1c5tl2PxmbrIi7e8TtqXcavEiP+dLz1wp0J1rAOYzutCBaDtdBxLu7vqV/
+0f/0D8SWLmZTP69jWRfjj8NWa8/8K1x5NH+AaTOtPaHCatn0zTiEIfuB/mt8UPehvnbkoRKng/K
jmXA+p8Jq6X/ZtrLzFbnIbtS6P6bXhJY9x/vMiQjpqQRwvTX0w3HNH/yiaq864bCid2DXufTUUva
yh9TI31gY4e+UgzznmgdC7ZaJiFXpSpIz6aZNy9JYrc06p1WuxehQzROVKnh3jK74DmdaQ8f63ia
PkVdnIT7sjZrTn4F84N1PcEpoWik0J4y51nJbrz0TWUiR1N5FhwiVqq3YVDyNNS9+xxNJTbxOWvc
nIgpYShYSiSHI0Sm1LTi/SCHbJPgBYdVU3gSJ2tu2m88Ttln8oYRd2bzOfGm4X2HEeQhDbSeummo
gi8deKy7UBtu06xnkECVlrwgDK5fLWzX76ewztcGCsIvGjsAZXYoaVs1k3Nf2cSG+pMyWzrF4QTt
uRHjYlJQXxwIK5eySAhLcoY8PA+aEextq6LhQvUKtHQsTesEnyElZ5mGswfWqY9e5yosaKIE7YbQ
vOhFIEeb1qabuzctsQ8OInc7e1Qiiu6YOO0l/ORwF49ZeENQmcvOYA03ejlVbDZ5bj/mGCpI9ywi
hKQKYx1NG2H08yoiVCD0C6v03hSVa7XG3+/o6ygb+iNzhG5tBGl96IM02SStsOeVUZZkktWTd1x8
fAx6GIWsALK4Z8Q8HoOjwekfBidfYlIiOgOa3jLFDtxu7cXY8dbWbFePNcX5QTiuBs8TKmZ5BWRq
CytTXLGZ7kLQxBMOTDNEi/kh6+lj2Ehb3CP1N+BNQJ6clIOFx0mKOGjOEITVJlt4nUXUN+t4ioF4
mjZUHgvWU7nCfN0duivw017YnyjdviCjAweqX9Gg2kIJHUMwSitSdfFLxdbcfSoaxlY7HMYZh6Ap
2WOHrzc4vRNzXxU25yWYzPf22Ax+uSBKESBCK00WcKkoPQb3UyzGu5kDWfJc66R3DmhiXE4jG0Go
cHfDETp+GJWDHtWgR5u98e0a7OMRTmeuLTZSkrNPGK5pEp51e0EUhm3t+XhYDLxXSIpHOSIzVcJ4
F7q8RtDWPr6bR6vFvDIW+C3WneCcvgvQcpPMGABs4gldD4jbD4rkgG2bpzmPNwL1pd0KC2RcOYVo
kA5a5abVYQHXYL22SQQmGAUuJn7M9qsGRTHHEHE0Ok/clrogg7W0HsjO2iHzlqCVrAAXZaNzgC4U
DJ8a0Go/TVW+aL4Cv3Ab7kCrqPWzJoG6+22LpcJsAm8bJ3N3gFKbb+KEAZ45eeMJZl3sj3WO4V/2
PZUTAlwQ/XV/MJI+f1CisIpVXNryhoNS96B57WWOeDDTMvlCStc7CCrYoMBGkSth+YltRxhYk/ZJ
640Mof7krNsCf1c8SfGIgYtVy82Z73mt5dHLYCQagHoiDDN0ORtbHYzw9N60imfPajI4lzzYnMZ2
SRc+0MOLIEyKZB0QOrhOYh0YP/oFd9fMNizI1F6udjk+QXgg7mBQ3t4prXljZPZw4xqJ8WBXfeuz
PKUbtnm5d6SVb2xc0LAErba/lcw5EXYl04kexvzezCwLkapM/Aj04GqqQDs5fec8odHpj9VoLzS6
sGVNYczFWhnLQPukz7SEePLD+U5PeXoJmkzu54G1MQW9uStny9r1mkdSm9C8aRO24bQNjLlfd4We
r0cAEOswTuvz1XflNDkE3MZ4BafDuS4kam0K8nlFc6fb5O0C2TO5KJcRAcYmmM2CI2aYcbUNM+FB
ZYgH8QlLBtfcHGLOHVM3rSNkBadYRu0dqtzxbdDBEAxFCl2Us85Gd3E3ozfvt03r5h+YZuNMREaI
FZiv/wNEr60he+0s06m4E3glfJWF+pOBGvZLq6zuxRGh9egwJ7nUdRRSq9X6Nqus/naYO3ef6BYN
44xD2YZ884xFN4r7x9gyywPsOfPVbLmlTbMeTxOV3q0rqpaYNCnu2gXeCfG856ka1WMoctsF3SLi
czd4THYZ9p/oHQU7PZJ0vRFC+qXlsmRm4R0hD8kuJqsZPk/vuAQ2ug5Z4Gbok8uK1CboovmgZ1W0
zZEcnWMjC95FxQz9MK9k+5Hx4YJQhK58Moa03RGzWZOfJ6bf864H3WZW85M5mMa6ChKYyFkWY6Rz
6vZdHY7GaY6C8TSPJQGJma0n3G919CDtXjzCGzFI704qssxrxuzkQ0bvq7pqyUfF1xm1JaIrFqZ6
x44+vdJbzZ6I5OYUAXmGMcFopmvdgHiacFceyA+4dD3Biug7GNl0H/TaXoajihF4qn9QBK8Xu3Jy
mvg9msolULgr7Z6dKNXd5G4uowGmmNmD5BQ25DhzmEiI1qf5jXaJvQlSQh9Iq2QJjpiTYV5s6FuH
qNdvRj1/GifIAHE6hhtu0mDPV5n5dKGzi7kokWRBSzHUKr+2m3j9b31cdHGn/qE+pnzUOZ38fX38
/nPb/c9feq2//uQfXmvUg9BWbc8ErrjoEfmlf8gRjd9saUBU4nAnrB/liPpvtqkL3QEvha/aXgai
fwxend/YmAnjckizsQDqeP9NsWz/DCZB3W0zdIVjBpsEvM7PuWahsvAaJmQwEDjWH0u3kPDYjao9
mioHXWB1+B059osHBL5o4cKMcmSK/WyxYQC9h8kfBL2zbTqveYSSpa08M/OeY7fLbmino/+7Ojuw
ZtVbAD34PabF+tHiQmu2fdIHi+vBwh3iYeaWK/qmtj94KvXlYiSpYUIWbtrzPCgyF8PcDd+JArb+
ihCBRVORfPDG8RmIEA4VK2gZxnYD2TOIfrcIFnW/WzwtgBLEobsaXabF89IFGvaXWQvQUqg6xrY7
i8pvdAenTKld4qBKWlDqybhr8HPdzqMq2Adx2cyL34bek3oKKmVusUZCOfBaZhDevHxyDKGkgxKy
SowRHh6m5kOBt0blj2EkWdgXt08CX8F3dBxAnojfldikViFLwK1rqa07YCDRar30QzxRABtiq3tM
8TjeB/A2LsHVblRerUel6vnEmavNvtcH3spl+LsxFr+SjR/N5z1fgzGtNdUxYjzNcfD/me/7NK12
AvOTs7igRB/dhciiO99QcB59Z4CFaUmGbEUWztYJ9OyAYqdANurac0cIUrfzxqJ7Z7WE1ayqeBYb
bTAaaI+KKVzTFpLvQ/YncJu7DjMXIkvJ2QR/Vxp0z0Gh9IM3Nu8AONPBYl74sRkTdRARlpVcuZFP
0MfSa5M+za7woQVFUuAjKbNbN8nrM4NTWqUemfbOqsrJhg/71r5PTS1ghOwML0ETMHqpy2QjQ5si
Y64+d1dTG6E8LLF1HN7POMsOk8dIM0FAai5+uGxxxqFMCVhREX4Ls/sQMkDF3O2k++hqqhuvBrvp
arZr6JN/1Me6/xIng7hgJZTHJKzNR5Ko6fzKosdVw2Rm3Q05l2ys8uYWcenHcaJRyziUdJNR/0yG
3kdnHAk2zmVR70mII2Zj8QmqzEFwhgCCdPkw6p8I2CjXyRBk6OkDbIawWLAc6lf7YWCXVCQZs5iP
nJBK3YddGlebVqvbaZUuHkYyaI2NdDoK0oJy5jIsbsd08T2i5URpOwnFfBpb5CjFy9x6L3pDgYwW
H2SCnlc7z44rqFwOBqEbmr345hazpcR1iZrtsw7cV62SxZLZLOZMmQ2DexdlqBkLrKzrJLKNXcia
88BvYMs22+hMi/Po2t64nwSSw1VpWxEJPCHCotv2ag91g6kJ1xyfX/KrfbRZnKSN3m6TxVs6LC7T
ZvGbqmFxni4e1B4zKl6vaJ9eDarGbLj5rg9EDswEncMRqxzk8LjliLaa9FLSKDWDjWOW0T7KA7Gp
q26kDoB/KqDzvbeaXMlVNx85bGu7EBr9DUMV7LO2oW1loLDv62rcFlYS44DL0g+EdSj4RPV4dGNn
axUdEbOBEniWWouWc5PIC+LPRRSdMukeo3ztDqm1Tuq8PiSpOfslNoebwWIuMJDgfTsOcuQKJPP8
hAVH7iVN6ls8pdrzGGKuzI70GkM/z1rGiTH40s2kmfk2qY7oDD4Y2J38smmNPSq4eSP5W8dM6uWt
yMw6XknGT82qLmuDPPtlkLEH545Nz2nqi+k15pMrXegvNiP6SDJuX6tqVjcBhhhn7WVp+jInHKGs
yRmPoEKSFQsE7AkXwvXQR9NKOl5D/WovORrDmcwo9aVH6sqfOs42YtaD9DOuerARJKoE1EE2nMJ0
FdmF8EtD7/dBDlGoxH1zirP+IxsL+pMuG3bFXFMPZUGpzauuGke43HncfSLn0kTqSc12snIOYEMo
HkNauSCmc/0YMy5YNwUh3pmDahCv2A6yOJpONtgNSlyUl4U27Iym0Pe6gj4ZoHPc26M1beCc6Ee7
A5GPgcDdtpVunHp6XseJxhIm4ewhsEkgdtqQIVTltS7o8/hLH6u+xELr4siusLmOApEtKLx6X3uC
c0WCmsJnxHbfCLQh5WSoteQRvY2qMGaGB4YkzYiFhAPn+dKIBcfcOtiOfX2c8rzecPZp37A4T+sw
r8YN2mqc+yZH9bm3on0ze7+7XpfvQwld2Qv7TZ+Ov+e5RcgLYWqbvme7AQi9d5s23PUjpvo8ILEH
XUjXMkM0EZWv3H6Ql9GK820D8DpUyUOvt9pljJL7iet6CJBa8jRm59DJ5+1ElgJbI2k2Ovlurb2V
M8Y/K/VCOuRD3y3DIvXOShVWv57r+lD3cWgf5qRT/a1q9bDcANLgxG7EE0OJTjeX0CFrLJW+sQt3
1jdR4FXzYx7rnvZhbI1JoYNx3NmPZbuwBdLCgViViiyzNg7dArWrRfiYpoAW/XmYKWVauiLnIYXu
sQZgYiJLhzKx0gXed1WKSa7AJdV3DPe0yK+ShlNp1U/v81KfDg7almNfF+1NrbSRZDYSWVE8qnQ4
6HY6svTjhthOOJp2ALjISc9ZMV0CDF4VYnCfei45YJTvTaAKTv7gzn18yPUcObEpN47jjVtluOFb
bfQaQOJR3rfKrRnu1WJrNl1SECbH8opsnguUKqAYkR6Gz7QgKt9J8m7VVGlL0ZGb1m5hyw2+Psue
hlxP847dbR6Z0lTmsWFkFm06oH8CornqPRfvw6BvZbvMIF1FTuO6dQhdmIn+O5DuUgBRdtsBWtxi
nuXoq+21uiYWAI5ejxGBtuudkGgrGFXNdbxNZY3s2fXmxo/M3vYRBOgvLYFTwp8SPbm4UVM/JB5+
AMbAaD9KXFw3DDynbUNHeMfgC5FLnU6DjpaicTBgNap7n2Hk8YPWE6ecMbtcZXz5H4idR3Pcyht6
sj3nbabRxBcURAjVKcP9tjQHkB/a0tSI23BjTlpOa88Gq0EFVGfrHGTv3oot/T1IyGQdVnoAeL83
gXxXyioAX6Sdvo4bjncs3vPG5CIdkRT9bsHl5sGWOppq6q2aIzYGRXqkabQZu56pcNMjy+g6jG5r
y47yO+bXmM+Jous3nYxuKzlWYOHz7jT2jtzbpHExfWb0c2mzpk8hUxbZjYWtfIMZwDwgAcJGnDG/
fZsCN/roUXO/M5TtHAOoqlAc1OCcWjLubD8ISZu8zXXJlF85H7rcbN/T0uZoG0prm2kE9xlklO0b
YADNGoWI/WJWFsYinMnNLgaAzF5ieLdZotRnQwsW5lgsXllP40M8aqDKa8v+AGqNcXnakG621eo4
cn0sN8Yq7HLM3EVnPuAuJhvMHiFfKyfdpFYMnXDK+w1E4eE4O8N4VkRyPbQky62SYsS0LDk+l2kV
vaoa8t3SnbUYc5cdMWgIiTe1ATUoL8lnMpnabzSy9LbGoDtvBnFEJ6BC89mt5+qxGgU5CKznyReI
P+2TV+jZh1AwU8bvn3gHSFLBAXCEftCroN463K8okUL7Ys7diHoAbYgxkxehzVJbCceqNqpwBLU/
lHIpA8goQChSlua82I42zO8k09DXYcZYVV42PpHiZm41vdl0VU3nN2QUnizW72QxgbNIDD4PIA+L
MxgULKx8JpSpNQy/apMuVnJ1dZWni8G8ZM5IxbCYzmNqFIJiaEUvlvTo6k4nJgKj+mJZH7pyfLOv
PvZqsbQPxuJuHxej+7/n///L+R8luoEx+O/P/8fXon1tv5dWf/uRPyZk1m+EhdOq1PFqI5EWTKm+
HfyFbvymSyzG+JvxVyOy/o8PEWjrHwd9+zcPKzKCaMO0me4AkvzJZ/gr3yEmxj9NxTwsVJACIb+5
tCR+CsEFdeZyqprsY25UCxaDtsDo22KkObbuW63qwDh8zRBKc7MMzlDSaME3UtdwnswdXanH7Gv8
UNvaoFF4XgArBDs3oKOF726QrNzX/KL0a5gR1t/cGs/d16AjZThMB6yWfSPcAgvL7dNg1e0n4jou
nRU7wVqwRq+JUXWQCHqe2rZ16MPsVI+aO0M+nLsortYUUmDXVvRDCRgwRNPqp2ISmeRcrWNCcBpE
8busdvv6Hjh3+tiQOf3SZrOJcoWmu6DJNiylctFEGBKV90EDt1fyEsqeNxwMgVlW2EFBSCtQPWYZ
u3dpXaDDwurna145fowHi44zp8MtMjRQ3k3ULK5Kg/ye0ow0lxhIrbpJ5zzbJ30WfWS7qj8YrYnd
UJSx96n03E/ZpM6uTlYiUKFc7flHcDv0tnkXy1jfwYsTmy4xvfWEr42/Y3r1pU8KynFQVzQ1xpDI
EYZwnOwZndESpZamxBKSQlmb8/te9C3ZbHmwNxo13swIKC9eaygyBUFKYfBicLUKaNjukBDHb9wP
8pKkw2BuULVrd1FeuDeTtCmXy0lgC+yKp2h2GMG5PSKvmdHpMIVoySy3M24tORjvNTDrFjJew7wr
rbD3vYpxWe44zp7MihlUtVSDD5Wh3wij6DdgXg00i5QA5ggrHi3nVC4UnvmjpvIK0WCm3ZCPO+8t
MJqfsDs6+6gV1eNMxM251+ryVGphn99Ys6Zg0cz2IASVmNVBt0T+8vU/8Y1ZQ3SrSaOq+nWs5+j8
V/XgWUVzSCr2ouKAN2zMSp88zDrxtrhYMOYIl6p/+BqTBWVW6J/+XVH/LyuqKd2Fhfv3K+r7V9Q9
RUgj7vtV9duPfVtVhWBVFKa0bRZXU8rFXf3Hqmpg/MbCsfAs0dL8Yez2yLYzWICxEHz1s/y/BdaS
v5GTJmCRC4O0Blww/80C+6NchwAGaBVf+7iCVi7CiB+lLXM5L+qu3oamnuXzGnJKf2kId7KZiNft
x+8uzF94VpZf9h9Cw/XFcKwsfnWP7vGfCA2hnKyMZFqLTEZF6raFNlExp3n+GiJ75RqEumO9ekPS
7P4/XtoEAurSlra5qD9+zlhLBXHuwrrMQOhfCo/Iss2gRmfaOIxNnkx3Au3AWgxMkSYvVpRfv/yP
u9jyyR3DAj7qYrjgi/v55Q0crYWXZOYlIwoJ+I42QCPUux6+RFwuLzctIL9fv+ay8f90uXlRbhUM
SmzyzjUJ4jspFhGeQR9WnoFJsIACYrrmni4vvEpcTd5z1Un3hACPF2fhhRcRdX33ZlOg3mRkLMEZ
tOEso2Yip6olsyjYzDMMFdgAEExIeNbFEfUGNqd4Rma5aisk+/5EgKv5dZbzA4vge/bAj+SBr9fu
ilRF1QaG3/qpAnBHNNeTExkXwYT0Oe0Jy5iyhbbotkBLMmKZjlNKZvqvr96Papxvr+rxeNAy4YV/
1rHZmg6GWDbikohBPLE/xTeYF6MvejLhxxfz9CAtctZpHQH8VEh1b379+n9+MB3EbURy20C3KcYW
Tdp3X97geaRfpxOtWs2eHuLlgVFeT2zF8Ae0428v8E/omOtnRUTHk+Wi2sMT99MiECiHMbPeiwun
n+lBqyLoomyAQEsDk6x6xLrWK7bJ6iXUdcT/mEl5WK5B8Qmeqn/4uv/qg5u4+zD2LaKan+9aw9JK
r+bMfum7mofEIj2wPBldrg9MzVHa/foy/9VDsujBeC75l4NG58frLKpEjzVzMLAAda5fqAgC6JXJ
2SMWPuYk1O3NAfplXcfc5cTXwIUZvClcY0XTSKtOZmjW9jA94CdAAZLqhnvq0sVp3y3T2mggy54w
TJ4ySY7oeEAn2GdfTzt//wX+xfLiGHx/uqAq97hjf/wQSRYGvas8cQmCBEItQ6pmd71vpi6vXpom
19aZC5OWAEDvlLtkyhHgBIkJp0e9q1TOsTtOrRqDCEKcxheB3iLc0KeHX1/sv3qbJhwoSwcDBYDq
p7ep4W0agIGIi5wdLsj1MnNkrl6EHgi6xo34h+yOZQf9YQm0dcldzZ6rYzx1gUD/eGHyjhh1PVXt
ZYTZeAR8K18DDwYyRiC6K/0SnIfeqLVXQRyA79GHBAUaJhHvMe5TGE1mobo3sxym+0RnBSBounqJ
Ud6erOWeuF6ill3DXjGc8k4tQ5+jEqZ7gkBu7Q0EaWf0TuXx15eRT/Dzx+KT8D2DK7UMlIcL9uX7
xWFGTOtAlgovJdsveUK0SPwEe8BdbWaq2xVDRKMEdELCiExqGY2XgdDNrRcBll1l/G59rWBLrlG/
DBuyop3tMIdat4vslrMG8jRlrrRAgg3UzRl+hx6N2rtKy8PO152S0n1EaSbX8LAB9OmGzpORtCNV
MqRFcAHJkuiHYuSCiyU6um2enEiYK89DAuXTdwlYI6nEyEhYo+dyJ0qVfdLTVvhIJOhC0PChG4UX
KXpTi1Lp0Kmo8ImC6UDaezKna2YmmBbJg0beE5GEuJh7GAw4kVsDT3S06rkvsmT0zcBxHlHW4wWr
aWLbgBIHxPe5DBv064hnSIvCbfF7raFqXFgSXbqbp7nDsd73VrM3ahUDvOEwfDLCHnpWNQQ0UT3v
EXYFtn7HGsLmoo2msFaJ7Aq5xv2BUR/lX1XdO2GeNWtCXqLAd5PRe2Ywxrabco/gol06XRzkNnUe
oY+gNPA2DpZa3l0p5WtLNEy8ppcszpSAC8i7YhdoY8WPwc/KIj8wCSN3yc6zVhNTW/AqKe55dmYR
4RUAOd4zRjiYmA7UrW2W9UmbmHNvQ1XmYFmqeKKjGMYRTWav++QWqQ2IB98biMmkofmPaLIxrGbb
eGRR1aDSRl2fP2AijQ/GQHYsgUrG76orgfhD2r8hPCTYGrNZfsy9Vn4oTTLQa5tMAm6U6XPYB8kC
BA8LX+/5ehAbdQXYvUqiq3MIsADoozMQCIoJl5HSNLqjZfdm1Vj1JxmH1ZMm3Tg9DoULJ/eAgsTL
n5yBlAfOmlGmSsfPHbJHSDxXloNhZ2VJL1gOVcIYDVmtaevhDSVeWFM2drxUeNUHDnO2ydtNk6Lx
VQ1JmW7YUvyA0nkoIf+FwG2G8qiHLsUQK7j1Wrsj3N4WurcCRhhk7yat5RtTAcTuXClMz4PjLTDk
hYscK+7KVeTCPWK6xhFz7QmnevEaYpfWtpj5UgFnamtdb1x/9EZuryKEyU7IBkt2bIUXRElAKGZl
W6+BHEdC93TqVVJnWY3yUb4Cw/GeAUS2by0sPyTpsLw1i3WIlAlvkzcReqSaJ9Rl6mTy61W9oLs5
cZRHyrrguWeG5qfkCh3TIjWean2BkKsyA57WDazPLGdgKulq5LiXBbFkqxAZW7saMImejSsjGhc3
1GgXLcRrY7BTr4j04m9AGkvOfVGzxIDJc09hTbab55TTA1M2NvVYY0W9rpHUcJhaJJvoFRsdlG7L
FGi5lFfa+CJS7Ck4eLdMkHGxm7U13ZeUnYBOZKzu62stkmY2lDPwy6CzQ8htPbC187Cg7pQBZH0Q
s7cxFhx8H3PcMLPEeEoWm3vUTdXoq6V6VAbXXuQLMZxHkldKo6F9i3H7QIzmvw2NgsAGnNza6+kg
X6/JrEi627cqY7dlclW/ECpK9TvFrXq4FgozPRh1mJLMfjUm6vukzfhqa94M1JzkDVSGw7VACo4u
W9PPJEhqa7sM9DO2jbQ8cRvx3QFTpXgvazaeFqAb3pLpQcfyDc28ZIIhRVq9BD3yMgKmDa3ZBIZH
ld7OsM3hPxM/WrcN73zgZ4ZVWY4KSK7WwJG7FjiQl0ANM9p6+3r4QfHMRWPsgdhUKitbW1paJyun
QgqMn05BG8+l9Ro5JsZVth3eYGVMIGpcrUAOXOUi+D0DqResiusjJAKZwEWfmqUMYufp/Ga8uNbY
vmVey3dUBS7FHf/TCwUbcGFha/LRTZr7FGfHjVCCwkCHqm7zTZ+LltEvH6c8mvi6H5hbMqPT6Abl
PprDZgcwWpy75fZkLiHOepiwM2E14zcnA9YxC6Z5f1uNBMfuchSPVGl2wV3LtBcUN/xK3kwguYHR
6S68PYhoz9MQO09J6tbZpiOP/cbElLjQ8gFMRvnINUViy+e/LgJpZk4PCtGCu8Yx6J1sJU2GqDxh
lb28fD4Cgr/y4rNOVC+JIAoFeUazo9yvkQ2ZfKux0bp+xkbOdRgpQb0iDp61JS9tUqH92rgdz6ue
QbYkegbTZih54hs6imBHlzsRo5toj2PMEiBFwoLBEJHFxwrrsL33psAY9265fEFJbbE0GWVQ7/IG
xmHczZNHGxCG4GbG0or300WYgQ09zB+VDs7QTBLxZGhQNdd05NiaJlc8jSZA0ZVpgLdasc4jUlGx
h0c2pDW7rsU43V8/ITsRNXK7DLUaDJ431wPvPC6ECchzT4CTjKeYpRvbNkfap5754VMJqMjEL0qV
NrtLnMVXWP6ybWLD5I6qMqgQpnvl88vKOxWGq4EUMwjZ6XtOMstVayp8l34yimz2MQjw0Nt8CuZu
1mvVM4deFxFoStDTPFazMkmgNmfcagDQSFhtQ5YjolfjtWEt7NCoBRqFwcKYem7wYHqI4gCP6DiA
3lUw2/KN9PpMPkwNmfGQDSxCD7RGl6/fsghiIhWKCcgj7G1rn2JQLDee547ZIUcMjFsOmlf9SCd+
pGInpjpfz8vmEifXtW8yEu2mDAWLPKVIuBzJMfXOiNe5J+blAnxdi5aD+5AYrAvLworNnx3neu8G
4cS2NnVM0CbgS783bEOX6/1pIYq5AcbW38AqstJbp3e5RVy954aSjI6jUDXutxuCoHn3S+UMKVRg
SA07/L0kXKtKvoY2vZTrXWFPRAmuUiMQZ9sqeJDrQpwTuXQbGP9ifwUPLPBRymtOxZxqa6c2aEI0
EkMeQbV8oK+U1JhQPAbyI3+mKIQan7OnOAuLj8AtJ55kZJejL7KQJwseFjuMY5jmtqy4afqkZLU3
Y3EHyGW+cFLnptY1XBjrbuRRua6AVtpBRy0Dh4uNxG7ZvruEq2Q6I4/NsgHhSQmhGZCh2LEolCHq
sm2tQc3eFP3ybhPU39PGrBWvG1ZqesjRkTMN5Kj27E2Kwk+GfO5eDag4RtTsGlLqZhKrhlpofhwE
vCGSHociuhOwxMt9wTJ6btAJhBwaO14hxMJOwjCsk+apkz1FCHwR71kfK5Kwqmn5vAzm763ecB57
d8rvAOd8wgKirVMvaVE41TozBlb2MQ2TL6HZEghg1AEycY7U66GE2WRObI8JJsYlrmCc1x0tT48K
RdnPWBe5znHFF1rKcZ5uNMIyt3rhIioK6xKCOapg/I9VcmtarRBrds18z8l+2uGBKNQauHMB3QK7
hzdl1Au2MbEYUmQGKyQ/HVKgqe30Q70s/gdwXjQiPfDvqN2tkhNMVmR7rQRrUNBlAyyTEZnwGCYG
X0+TV/yT6QoXyZTkw9EBHJG1j83OJKcgo3FOjZMvJV0dudNDSlIVVMRaW/eExzPf5S4gk5MLY3o8
qh5OPcDcDW8PpSfNJgNfs09EA+90um4mQcS6jcu6TD+X1JjsLoDlN8myh5OAEDwHbsAddD0YhnpY
VIcsS3AtNR1rWmnjxCSkfmHiRqV3iokH2yPDEedr6orQuvaNwZHr2+aSBsHthM/VNtg/Gblwt+Yh
q9Vsx8bTwCuvr+smfBAWRwKRTAbeBc9EttSbVeC5p7xx49wPKtpXqPiqlzTD+Fp2rHsNUSPnLuPm
Qf6eHrRSbu1wWZnnuWQH4mwX7QwZxZ+twdbbo6x6nrhOI7OGtE7vpH2tMOry2C95J3lauBZMSYJ1
9hzYpm4HwAYZWd83N2XX9szFDMPlrEJEjJ7O4sl1BS07bBXEdAPBCSj9NLaNIDA4SeQ2G4sNyvcp
omPtX2NYKiBq52YO2Yy+lswIGr7YEMWBLhS5vgXG4rgbhPLGlleOnqKmn95NkT2fIqgd74DXw4Pk
CWF15rQDlSgzegeaX66ToW5V2n2j2SWWk9krQHU25rQziCj51FemfEM4Nn/OqCqJyJxaym38Xuj/
lHHEhKCfBEXZTUZz5YPF2238PgiyaFXXRVJv6nKqDxJ2yjl2UKaFiR2/R2AVPtrU+MgH8wzwQSv1
G+VKDNxmhb9Ac9JPZa34TbLAQEWlTATa/VxonFjhZY+CUCAmcKvGG+yXa1vhX0/pP2jmDTTuv/SU
nj+P/3P43LSf1fcTnm8/9m3C45jkZDN89iwLHZRnOnSivk14yC2T/D/gAXSH1G2DP/ljyiNwkEIP
c+kvGwSHfWcuNcnd5tfpOn9CM1RH4P5fjNEhBf/QMZIMkiRsdEY9cIodEsB/aoQZNRU/Uc/NzuNk
R83TmN1GUXmmxwikwHHSoRI8hrKFxEXIRM/8s+guUaUN+U2aIB5bBtAZYsTUAwMRIA4LFuagUdEI
pQ6xYlLqW/1moXrA862T9Txp4zlMBfgAxLrB/7J3ZktyItkW/SLKwJlfA2LMWTkopRcsU6VkBmce
vv4uD1V3S6m6klU/90t1takUBAQ4fs7Ze+2HWSCydqrxpTDwDPFRD2MT2fe9CqXtWv+B0MAMTTBw
Hh6uIiKyyEBSRebTejWwIUTil3nGh86B2dHLXn/2SdMigEiDMVlVZAt27QgwReWNng31E8LYLe6B
+bqkYg0NzSCZZUXFXHaa/9aJFkYm9FQWROTO4B7GjPBDoDMgx0aDOOapUxHEXbY5X6h8BY3Uuskr
v38aaJpKTUQk2R5tEBHensmej9q5HI5rnlmBawK02XQ2wj8glnLJCG7xS//jmK1NHFQqaNctgac5
ktxCGyXhocRQc6AIao+jRkTjyix3wjUI+qJLez+Y0tocNhDIW5wGaSqABXWMn9vMG8pQyFj7NAwm
KBS8ljClMD1ctl7n63vU0cXTkheuF47xYDxjG1PbrxluC0yFZL7x2D+/rcmkJvak4+bJTIgk8erX
khnB/vz9OvWtuLNJzM3451EwE682VbmSSeRAqdohva72A3uboPbkukuZxG87D7ZMtaKt3bh9KsCU
GwMGwKHP8+mS+FheL1FBHtjB6XpCQRKbDeqeXXddg4BZNfoupBivVn0cW2biwLrO4dWxeJYaMcE7
Qy6evudWWQ8Dc4Fn35P5KRs66MS1SGFMdHa6tVzbvse1WDy1mlncJ7JdnhuZdJdEMvgP2Yp8OAF7
4oTomc1TZQ/xRdRYyUfipoh78hf7QpP82B7gHQcAh43KueYkycfWtvYqumpvM+XcoMpSMmxfDUwz
GKNrNRFAYXU+LwVhvk2OOQE1acsSGQXgbJihIktzCO16n1znRc1nUTDInUOk2YSLwYSJgXSiRQq6
7eO8+xCVpByn65QHRNKmKFr06Kp0ynQO4E94ewM3KO+zxHwqBi/fl96skWfkJH4BJSTFuZwbencP
BfPZ7ovhsrThunrzkqnAD5xs2UDKPWD74op+Fs0m/MbOLvXIALVcIQMk2/A2Is8CPD147c26FvUt
2T7lXYcAZTctC5Cu1CKEhfEmzbYmJo7VsQ6r6/RbdgnrKbEaoJs5eKNgKmzzcTYcfWPjmsBK3Dow
hTFebzD/8WCIKuWmmqJ8V/XjvBV1j+5aj7I1GKYOYQXO9KvB9LOb2TPzi0qb7NvejsWWZjcMJt3t
6CrTco2IIdF867LwCXMOJ+i+zyMT1iuCmeIvS5tlX6u+PrYLP/0qFVnQMR2Up0adwPvOME4GOn/n
ZW18Hnota+fqENdlc9/4usyo9IxkOySjmW4gX6+P4KH07ZrB6R1N2Z5WZHlPUK+WvWhcHUoisCkk
ryg2ofgt+HU2eGUsYhKrbguCGBDLxEJhbAY8vOHoOMvFFMn6LpnX7qPP+ZtHK1pxQeMbcbvQWWFG
U2MnAX1MnOT55OU9eluV6qHTsg7WxK3ZIVSyDdjjJA8OfEaiHgsghKItswtCWvIlGFuyc/RMkDaJ
XZsQYX+c96h0qwDPz0tNZb1t00Uc6Qy41zh2tAegLCz+g0hWxKBzRoZuVfQ0mb21vW29PD+5Fdvs
mlSqO+FAJg87Z4g+nVcWIsIitv1lfiJttguFsZIJe36KJGP6+xna61NLQRk6ms6yOooasBm7ONhM
tVPtZ6K/MX4XwuJxmMQHxEIcCPTSHIIk4psACV6vJn0aKc4nza+uedsvNNCAdoR1TeB2N8DmbD3D
/jaF+d926TfbJcMXHsq//18Qc1kPJMO/Dzv49rf+2i0RaYA0EJUBxkLmV/b3AFfrD50ePXM7zzHO
qph/b5dM8w+mp0JHsgKpwwfB9G9RjOADfcbXFICEkzEb+0eiGFPNz/4jVLENwzAtXI+wQlBP/DwU
Tpd2guhn8IKvIt6eWaYZH/SkgQFF73tXN5nXb2zp6q+d5kYPmEHa44Ls/aS1acRWhExuF0PUZQ2I
aM9ragzEaPAAecjsHzyJlt5NJO+oWuftbsBZvsHRMXzNWiIT5iQuniyBkxsyXArTCo1drWM34n53
x7Bt4AYYsd7CRCy19VA3kCaGaph/Mzn9cVSrrgCRLcJC7smckW6B+vPv5AcZTAr8b6Sez60x34LE
8PcxIvxA9L06L773d7fI7bdr+73I48dB7bfjMaVlC4y8FBzeOwmC0CBhwH6Sx0lrTWrt4lWZ/In9
4xr8+kjvdsLqzGg9QLogK8Y3xHs60orcZ+0Sp4Cm0rAeZYjgedtre49k6/tRFNZ+SbLoN5Pvvzk9
FU7MNh6Fgceu/t3l1AUE+aorjuyDgKlqavPcQYHBZojIZPmN2ujvjoaPibkwFlkELO8uZkxDMa3K
rDga+mSDsmrPpheanzdD4T/8+nIaqnL48VlRqcscxDXZ8PykIKOhWCRlrqfHJpkLzIlJhMu7aco6
9GgvbpKFjebQDggyqXoPa+H2Elcbr/5ff4+fzxk9AQxmS4fvjHXq3Q1bwNhdysHMjs2QKyESPMkQ
vmr04DsgWX9zsJ/vIVtXxmiBrwwkkHhXTbWNX5h96/BeNtb1rsaaFPYaT7AkHSI5Ll0KHcKtfNLO
//lJuo6BYM9xfJRB7+b+NO/A8jkyO8LM5YU38mtO5qCKhRRw5z86lsVgDngI2iMWVXRXqjb9fgVg
YkqJk/iAzQwUzc3MqH4jqQMu4mUyH399rHfr7flYtkFUiuWp7Kb3bm5sQY7WatxD67JOeOpoxp7w
lY5G+Ovj/CjqogrmnKCSeT4ML3W7ih/PaXCKrqXTk5Job49ZOE8ZJwVsENjDyGYkSWk8b2aCMLAV
kfEWoY2Ik6tff4d39476DlThLHQG/ngHccSP32FcjBxwd893GDuU4sbY4EdZtfgqwrp+qmOPQEnH
XH6znp8v4XePqToshT8nTiuQd+h7ycgYO7hoIzc9Jl5kfmwzpzwRRLVcSwTa+9aUpBD2ePtQvywz
UOaI9K7xOAHk/hOCU9N+oVgtT3lUERCha+UJvQz/WDPt7tdX5+++J4UTWwPyxelavNf755hcpxVX
60EHbve6LOgwgpH8Q36iwpkclOIZtmvG8S7oynoivXMUiwrbi6LjkNfWhd8DDSYTx7xWiEh354xJ
nYU1fO5x/+vv+vNdq/RyJroiZtjOT9YE3aeQQAyQHsnfokOSx96cB1XX9dtfH+fd0sZP9y3ZDeON
wsy/fzemGrS/SOtS2GdssH2mfsC1cOBfIF637399rPfL+flgqiPF29FWkrh3t+cCU7hjhMhyTnMI
sG+EQa9AiE4SSw6SBiS2nKflwkCS+Ukjank/13b/mwtrfIPX/3i7eia+D/Q8bAr4Ou9eYUUrNbQ6
Ijq4w9QuR7cQLKa9j9/yGA9yvaP81F/tJEqDNB3o3SwyyWL+PWdKRV/XvuhitDo+jYlbFMZiAFKZ
URU1BYDzQOTlelUkNLuStBEf1sKM3kYiS54ACK5XKODoC8HTdBSwJj8hXbIvRsYxkhB7SpAzRJEs
PfD6xKxcJrjdhlCXKcH37rTeYdtS/ZUqGUmR0/uXIlr011VjG4dbZUF3NFfRG50YW56qssFeWzEE
PxCZBDc1c8kqZfLUqj1CnVv4eBvBtN2PjC/VUJqPEwy0Biz0iKKvmyPrrRh7awrLfjYT2i5ZchWb
PNkWg8vQaMf0dUhYvOsutt/IEfIEIie2jfBjdS+mr4TdFlitY+0nS2czVLk4dUk6FVva1+4nryHc
9wNkJe43nv443+W1z+GlbGGACixxG70b3E8reS7hjH32ylV/t7NrvgaTb2vbpFMH3SottAe/Npcr
3jPFU9Ms08358kbORJugSvQ7Scp5fqpXrGLHyIgd8yT0MrnKYx8rXrMmmcT5rlarwVgu2n5lhfKM
WftcYcSLA2yvFJVFYdAQSiXXbkEuRF2r6wnTyNT6OOD91QIR69WtmQtXoYz4HDC8yZXTE4FDqEz6
2upAIuhKwOzY+ysCjg1iS/ue7CXz0SMdGsmr4NqWpkhfi7iEUQ7a6iWzUY/R7cMPiYiwXO/sSZuh
6OQtw6ixmW/QAY1JSE82/Vw4PUuTqngNBa7Ymuo+LKc6wjgJ6irA1NrT4pmVktoo63VXjQX30rlb
GE8LKQsRpdey6btxvSttTdcBK7DPISYXW2bGCXSbMpvo3nTcYFu9S+QL6jIdwI/H3WvnaGfaCJDf
YUioGIh20R4AnnLB9Bg/d6xBXM3Bk/orAVozLugblN3Nrs/wFcbTWm+bM9lUq9u7GFvTUVfwU4JT
rQDOXBo6AjSqYVbraUCycaBHHj3EvbutFUq1UVDVReFVIwVaLVd3nyv0KgO3WYnOzE+eArNC9Ieh
B6oVJpMZ6grfykBXBOg02p2v4K7WmfPKVRVPPuxXhPXLKTNIH1BYWCh+9QlVDs0AjUyoXOFjGwWS
xe3fBomCyy4KMysUcLaHPItx17wizeumnXtvg5doDkcFquWFY+7sJn10IiC+SycFPIIiwElsB1Kh
bnO/1AlJRlWWrMypfIXETf3kQ5csr74UaAuQUWRaaYbot6qNUEhdupfPjcrLwRslye+ePd5qxHt/
xgx9IhzCoP2RXicK1JtbzsM4Rhd15cbPPX6yLaMssL5FyQJsqT1SKZZrJzXNK2KZmjsjLbqTpuDA
6+pc5m6zeHJj/cUPZhGBJgwOTx4Wo86QLkQjZmCm2tnJIAzE2ETw3S8Hu+AL1QW8ls24iPURl7+5
m6ciwgw8Cv+iN4zmho2SlYSTw3qRk8Lw2MolfgQVMt0viKXw0XbSi5EnrMtV7q7mNiqxxjFk9/7M
yrQ9zoUzHxM0BxyUXfRVG+sfyISfPrh0E7fmOgxb9f4B4VYrbnMqm/K260kFc3nSiqOlYVrciLyO
ghbuM7Hy0PvzCha0c8ZCW4TPx1bEG8GNffcgM0of/Ft5WCqmtL9ClwbWDWi6laK86fT+yS3WJjSm
dLy2zmjqmDS/LOzPyGo7E8DjFMe6UkRrfZg7oBND/LHP4ukCW0LYKwJ2Ng06AWfoqj+b2dxFG/uM
yx5ZJ49YTZIT5DJw2kKRtdex5MbM2DtQIhTaXYF3fFsu7XOlqNxoccdPg1V5bz3TCACMlSEeRGm7
H+cz1FtXfO9lIAAkqgf2Y9XcHOS6Ar7XGkcZdxbaxLUMtB5eOBW0f/BnA4i4xOHxVQrP20qFrml6
kzhpqOP+GUBuYVdHMVmxhYFOPrgFnPIzsjwyI5PiP0ss2hSt8aClGt2HvvBP/KjEs9kwPHkJg0FH
Kml9mc9sdCL8jjP8AYS+jUAoyi1whqkvUWzvJ0VYdyAHbQm6sx6RZte3wEpM8s6M7Bhl0Nm5gmlo
lmPQjJGxH22bG9uvrmBV6QHdcHEbN4V9sBvXvPQV/b2Vq30f2Y0RomxnGKsDiS9Qzr0MPafEQtME
Y6do8iinVBq1gswnBCnACp5gC8RdFEMgn83rQQdMrytEPazWGgHHmVy/nCn2sAeKPSIh95OdOzRx
FO4eAp1Xh1FkFcCy4eH3lOOQLabhrj/j8s0zOp82Me90C4BQUNWjfU3Fjs8SkyEFgFGfmIf1PF29
vJqysriVjt3fIIqcD2bTJX6QQvEvFc5/8gD7Q73wLmoF+88GzI5WPJavObkwzjYnz/yjBRt156io
AGTSgAWkChAg14xeUla0T24nP5d89LZtapR9PmOMQrmdxhedSApi+TSiCWLCqMFoGwQWNEllh1ZG
rKMRAUDQIRTxi6fYv8UXWq0SZ6SM4JH6Zret4ni5clUugmtU44metRaikJnJljHX/aJCFCya1beG
PnavWZuzZjcFbw0WgRZRRjBabpPbj70+VC4B3Ra14ka3qjl5wyvWkDmD5pkHu0dHYvbaW+MkFQHY
UlyngJsetTgaX6029YgL91vmU+TRMADRgV7z2oNm65YBHZHqoDnWckIJ6jOocMaPSw8pUCfZJ9SA
WBFA0EDZIHHTCNhFxdcLZIKwR4sXAEOJAL4WM9nsVj8frCrTr6wpLUByTrwzasEoJCiGwXHYXdbJ
gDGkmQ8GORknoB1yAOklapazZY3vPTMDoQKSBIYsnXE9MOgOcV8WPmyHbtUe0sLXIYbX/G68FPak
i/cnuabDF0ltRIVBkFqllVwFFB6fI8xdQL7Z4lwlrgSG4op2Pji6GT0toN1eNCG1N+EM02XkkT9n
V2sWGDUfO1uzD5YsHTeCwfDnSFop20kk1U2XPrIxJqkhYlgDYPCDYz7F8YoOivEWdVjETVU+6SgU
NrqnfXDHOYenVK2BDgIdcytC+wpyIVjPcjOzOQldN0k2RtWijKHGBihI8rg/p685Q4oq0KiTkWD2
Na/K+IDJV+wGZ/rar6a/p5a3gqYV/i4H0hzkpXMSXWkHBrB8hPzDzov9OAAaqYVuxO2MPcsg66Xc
D6sBz5cPTurB24ulyTcllJ490arzfeOIJBCDF19l1fimSR1PwVpW0GBGcUIDpW87ulmE4yzFwddp
D4h5hG0r22Evk15/zXvwntT4vHXYCJ0IyrQIpE2bHQJP6LH9nF3iN9znDlwYkw0XgxX4Rv0030yO
bmwSa3YOdtskgV6OxGo0MmR6h/OBreDtbHTEMKEa2nl997VvUQhKrV73hpOq5Ff/c7tocG4W6VxA
bhCbNdaPQEruBlN7SR1rB258YZ/iX+NnOJVa82kq15shj0DJOY+yjSDY1DSM8FpcOO36ljXxE3Fp
H1xRgZHLZVBlxYuvp/ivYUAxv/VfsdZ0wdoqf7Rm2I91keKUqcXr7BtsrLSYRT4Rx8Jp+xAxwy4b
5MWcuBNkUucLXikUpBAfkLJpVATxNJCMY65fZmJdHKSau8YtUoBN/hJ/1LE3r5uWidLJaiXCetS9
aZ2ae4MZZZM+z+PcMfJNLu3mUffG4aHxUEAnXXrvmnFycCcfnUIzDs+aaBGVTWN/YMrZXqJE0g7t
nKnHHJabbabuswOmbZ+WjeOFXTK1x7RxaI9OiLUClELJvK9BsW71tEWRsEJhBrdna+0uKTH+Ccf/
U3eIRztpsqChgwisYyItRsacFz3pKsz/G0Rxt4Vo1eeJJs9eQFgzZ8Q1FvWkh/fc0e6Uy3ZDV9PC
HaFnhbEzOvzpm5z90AEVgatdY8l007AjsaYhEIumqdNNlJxKhdEOIgK2lkdvXYTacsNRGTEAOaMQ
ER6FVCi8mrIo5rYfwprlhT6TmmmAeI4+DTEFQkSSx66qBSi4dJ2vG95xT14TLVeaxbxbEPWw7ZfG
0a8zzU7Hbe8vlB2Dy7I0qdFbZajqxEjn8Wu2iukmcxbjUmeuvzPiNj8l+RR9ikuNJndsucYHo7P7
rWO3VCLxOuqvaNEdm3AoJRMw/R6uVWLL7mNDPkfoYUFlxG+Y7ZG9PR+tOZVGGC0FOnSUeN2dk0B0
kqE/I5sVYdqy/dtYiby1WxKi4S8jokRRsvLKP4ocNUfamdHJTGyaAnAVrrzBpUegJjXn443S0rYL
jMIjcl5mNnkByhsbxfP5P/G9UnwAnuTcM5b39ygL1oMwEYt0ZU8NNreCLgGiw5tpZduD3lfNetbK
ufdzLiaoBXhNSd/szo1iWcyMUebaC4ecvnFB5Ja+SbGP7TWfr4gdKD9BLSRHrrS7jzWWqKNIMz6R
dQStDI0XRu6F8VwOOr96lSPKiMhSOrZ2Nd/mM/vdlWS6w5oP69Usl6UPZoRpR8A40YO0KfuaMZHY
dpas2bNVU8LUoXDbcMyjKYdNRFeE5iWLwYDHItKhaNTWaDfHPML7yf2vrxrOhFi+0PzDEZdndBS9
9cJvkXIS0Ov3tGSgdiS4WdZ61+fTxCy+6fVr25jsizpbmZCtNs2raEW1oe47LQVIBUtQY/vfF0+k
ga53CfpzyqQZhQ+vBijxGrIFmiKUWXfFoK5JMTBlM/i//FbzNZgaLhtNysAy5HolEBfvmTf/Nf51
lwgoeDExOiaoa+dY3AG9pfPZ/qg+sMiceyJftC2hJh6qciRDvZLsgU3Tn0udv5JXFjoYNeUm04Or
ZTizArGZ7nI18kHo0VvfDptJ058TwwapiKrY36cd932isb02XPqsBKlS8BvA6N9WnJwXY8bdZCJF
CTNkGy+0EisTyZAYH3sBwcI3pug0JlH9EhFIdrtECY+OlvAIW+bAbHLqo1MkjfoldzuS4ppZM0lg
Hwsd7mgRGR8oDjjDSji0v6I4ztkBk6q4x1AgLqlb2o+9ry5vSbbhaaiZkuNpFB+mvCdDWz2wosuT
P0vSJDE+pRx6HrrxVPRLdOxpuaIH8LTuhezCINbpyOHWzSBLYdNi8X0d7G4MEtJ/NrKXXyqM8YHP
MG/fjSRh6j2/Tt9HPOwzT2A0EG/XlZW/75WKK0ZdeWXSAr+S5Rh9anGd2MheV+OiiIVxU5lORPiN
UpL3VD52WLEc7nVEed2GsagHgpW7YJK05mxp01KAczMGuQfyaTP5A3cJStVXfHHyhVGkVgfMYnmm
69aOwprqFDAj66NvcaXI5dUeVGbVmxtJTtjv1T3Y6uiAXFtCZ4qFEsmThXvQEMyHcHGhIXpOMn71
HOpkDADG/NzV6fx5Hj2mUB0b8pZWqoy3CdsK3owyI267G6vrZOqHh1SfvD8leZhvaT37p9HG3LaJ
J95MVko83GK7C/J0YPHH0W+iT5ljI8bqWijuoVvT4A7R9NbLt/bz/4QOvxE6CGBHvxQ6XL103cuX
ZGAX1nc/SEO//c2/xA6Oj5QTMQN2dvzsBkPS/0hDz+kiAEEYJP4L8/Evbaj4Q41UIS3BYsLCrDrg
fyGWLOMPYcKRYDdtOmcG8z/Rhr6fLqC2ps3uYre3OdhPMzHfXBwtlxoMwLR4S+qY95BXR5vUQ0j/
69nC3x1J6DrtIwgcAnHHj5MvsHCVRXOTIwkof6UuP0siRDZTlAy/mfH/3ZE4Bh0BZGoMFdWff6de
iIkZZH5Hu6uf8oH1Rb/pxhIdZrM+/eNTUuM08oc4nM6xfjzQ6BaGX7crfbUuf8uL/A060VvG//43
h1EkGlAx/k+/Ue/gXEnsWR4iDe++7xG0oCQMQT6n/8Wl415FS0OyDRqJ83zu+0sn9dKqE85opIl2
OSt0YlTDNGir7DcnpSby3494uPHQ8YC8UigbFa3z47VzR3rUvT/JQzKx8XCG5cMSz0+GtjxJZdr4
9RVU86KfDmYypGOWhEH7vZ6FuqXm2axhAwM4DN2ubA8ZW91NraUvzEJoD1joTpAq9//8VvQcy7SR
0RCP57wfOTttTeJFQl6xJBPxfkC/Q8NEy5+0jH/79TmqC/bTOdoMCWGj6zpP9Y8XdIVLvqQ1NE9S
MdsDbcZli2Y3uv/1Uf7m2fKc746iqDPf3SDAFixUygVHAaTAu35+GkuYVFX731267470br2Y0HHU
Y8WRkmJYQmfOXhRpJvj94/XT0NPz4UMIB60DhCbGre+mjfEwRWw/u/zQKxeMjcB7Qw3PhMy0nhvK
oINmUo4yXhM7m31eELf9b+K87bME6MdfD6Y+dCI1+cYQ817AQlCM7ZW1LA8SDWQo9RE7+yJ73D1W
uWz9CLy64bfGrvFt+4BFqSZ2BmiAiYvzNDagp4KpxobmzfEQtHU1fXGTtKRrHplHJUzaDW7+xmTD
PMarMV5JlzY1nVPl8vTrZlNL/pOFyNitnqNDBupmH9y5Ke+W1hcfc1fURwIto89jSVrnVM72IXLX
HGgmuzbg5PjIoczGAEUGkMW0pZGcN7ib+j6pAPoWFSRXt7rvtcw66f46fWkiXjQgUvjujsFRMgsP
FvjWLEhcL6mhSxb665kukwLZDs6WozLipHNapbvaj+VNLNY6ZIZjE65jAj7ZGKibiIM0e9pGUSt3
UGTmbdawMdMYJwelztmtJWsnY5EeHw1ZupHL+gYVo9qSUDNA45yNXU95REMSntfJKsd0D163vqAf
iqCpbFIytBmguoUuPsaJck7ERvY59uriyZlQsTedKT81Tik+Rpy73GBPl58kNOOV7wQPfUOPzu8D
0yRNeTM7FrtYjUibp25iyMx+urxjS95/jrg0F0nWyBtnyN50g990yBzxEUng29xN0T3E1vo4qdU5
6SCRLIXAV9cWILZZXvwiuc1SgBEZw88jL5U+YGKMJzQuzA07EeS/OKAq9q/IGzYW4RzXMc1qCvi4
enMoV66ZEnERcbJWodAmz9ucn7yii5lT6Vi2mVFV2zzlIpC0TJlt0XMiZDZ+8DBZwAlw0/yzT3Az
DauJFrmdKD95jwIlqNfWKfZpJXR5ZQyj9EMHB8pzEknc2MIYsU4z1MXO5+hVe6lRrn3EWm4/zFVe
vgl8cyfOcdlWIKZV66Q5WDQInmoe7geT/noW2C1DkqC1bOKccBGO9W6YoQ+0M7p+H0wFjIIIXtRm
RstQb7QY66meOf5T17Q8dhblLc1o3rLrQihkz3M/bGyID8lTX2nxuB+8KnvxJ6Dq7MPHKwfBNfAc
n+lAN+IHnhBTP6/tmu9xzfXFDjmjSKGcY05EJu7lRJeB8CMbac6N19WXyvHHs2URLQn/ZLK7xxGB
3Kc4ozx0l4JlfK75su2gmSf0WukS0nXWSJHnl7CTOP/cxKI6zRGR2u0MXJqe3ZvwcIRHBkN0vghN
pbhcQo145SlMSifBlUPC0BAX/j7T+IUGk7cvzcMiSDxIFLjJo/tsBO4bJnJOvlbSJyc5d+jGQbJd
Ly1jeJbdMu7NsqaiIv23wi7jVSfw23SiFKtQA0bcqfjoNv7aD60bJt18zwzy0NcjgoQFnjS2xu0Q
0cLkbezeJQMPpVHxtXSjGK/GvgVQlPOcQ2okBl26+UePqv5C9+cd8xwVADVLILtTTmpQnsKjNPtC
adqVcTMpJNF0Q+bfmOxrMery1AMNW8IRncXG7LJlu7asbrRqx72hXv3S4rxFmb2knebdeBNOd6x+
3p05Yr2u8dw9ZFZknuaBOypnQf08KPulDnckHCtO3+5WHqOSXuRNXw3TF2hp9OBiUqiDxMq9O8Np
m42lFy+MsvARKRqTg9Hvbk2pJgV6gxAsDr5T2xy8u6jO20tjGljJzps95hkNM61yCDNET0Ephjp0
Jg7dwuE5pB0pb8Iwpi+JXSmdfIX9qtO5gzEftGlxY8q+3iWTCRi/K+VN16itfS3qi8KQ3ExTk4DQ
Lg1SW12uDvZ0xCTOYKDQZNVFIPGpzz3jqz6xWo3qHrF1kDSkYqSYued4N6KVZY1jM4MXq7evs9je
dYyMMMu0IrAJEds3PdbKcXXqx3TmCq1uVDGZcUnf0LopIIqZlbvQ8eESSl89jDKOqKCrCnHZgM1k
YO3RYlaPyeehz0dkpaNfDzuTafAmrsb02oyE/uobQ38xakzo83oga7QrDp2jj/sMn+2+9GPtqm/T
GxNJ4bOWZd3NMidkXmfrx1Q3p49ejunWI/ENMqdhH1YkVtsqacobqbXRbZF/cpu2DFMzeatjQNOM
EB55np/aUWdc4dU0JuOSGZVuyhtr6ZjGwG7es7i/krSG1sDlpYc6xjpqaYL8pWLlbStWHJ3ob0p+
g27cyk8qvy2yjtXJ3cpvsKP8YyyEaTjgvV0F41LMw6EUttXuq8TfCAJIJrQgPsx18ntZzDLqTPKy
GW+VSiOeK5mozqBCukow1pZwbsZmBbwqzbTcmDFdORrGU0PyQykeu1KUp6kxESHiMZX4uYbmZBbd
EA5wUUQR4q6vXedimQRdRl4+Rcv6V+LY+dCICc0CvcBE21uwpkiNznxznOn8R6N3skbaSyRRDCbh
HZQDLSEwq9+6b+SxJB5hyHn5VdpOTC85do+z50qDiQmkHHY3Ntlr3cy6vnhuzhSyh3J+W2FsIQvF
GvwBHniMVUomLdn05mCMJWtP99nL9Rx49VzcT5k5FwzAHZgu7O+tdCPdZTwBiMpDWq+vljcgEyAX
RlsIg7FsLdkJsCkhC8d4Z9uZpiQtGooAtyRv3hLLnudUmJs6Q4kzFF5PWDamvbmJXogIyrfuJPKt
0Onv1m5Dm5ZW3jXeNEQWc9zq5D4CzieUwlyveVzjLzFGgWGTGzDxC5fOMJRu7Ugsnu7tAEixvlkO
y7cFO4qBrWtN4DH8wg4lJ3zIhwlogbfYv1M2mj9t8tWGGHG87UANpnWharfvNvlyTlGLIZs4JCQx
nIaxK99qs+EKTtgUmeohsZi3BX1TIjQyo78GXkH1lCfyRhpsq9K2fOHFVZ08gYlqEZQ6XSphzhTL
YF9YAjRK1WbtZe50PsPvBmN3P0T2IY54Bs2ZSgn/Xhndm5DkXiAdA1nCTEZcn2a4d0sEN3ETLXPx
pKdp9vm8BlaV7nvBtOakBv663vkp/ZfiAGooFRVaREy/1ruCp1vX2Bo6vTgw0mHtFdN41cfQtXD5
s2fq2WZfL6bGgFOs7LFyv60vWPzsix6IVrox/N/Vze8FxOfvQ8MGprtCYr8XZqt4YdYDvk9bGk+D
jh4u5/0yuVhyiuFDhMts9+sr8FOhzs2gU6kjWVaq3Pf60472fxlPsmCYxoYUqGjEy5qtSVUlUDqg
LB1/fTzj7+4+3Mp4lVUorum9K2QrPHfon/KCxZWO+oYVsw7TDp1kmHFjIVMGWYS27caxven2/ApG
GGs4+wTY0y4xkPpFOXge2Lbjfu7Y4/z6+/1UZ/smFiRhc1mwj2AC+PHh6MnOc2RqpAefentvazF4
H2v63TP4U8eCo9CoEKBPLczh7x/BgXj4yKnq9OCQrEAqAqtGJUmvaITPJt/JcUIvGTt3ut/j869P
UKgL/EMt6rM/MFX/x1dWqPe1KBJ1a2yLKTlY3RRHgK6hVWhR5H+GyMHYrKYlf+NrNiwba3nK/aVh
hm6TULaMBFVCSk4A2sYtgPGGuTawkl6yl7Ogc7H59S+zuoKqE6lBqBZ1VI3nb/+/fvXv+tX4Qnh0
/39j3lX6JUnjlx841ewN1V/6ly9P/EHGOQ85lAL8JVgG/t2qJjrbQunu/2WisAjw+zfGwPsDEJau
Qv1QXdNI5gP/06p2fFspuKkyeWjAIvwDjIHCMnx/X9LZMsi1R/iPhwqn2HvvFhMusj6LzrioiAIB
LzWi3JwPrU2VzoiscgDLJ/DsLrPc0Cb2mxWoYLng/d50PngiN0X2ZYSwrNTexM6cdWk3lQXH/SIW
SsbrRxXPFto1aEPfXenbb8/O9/62d2sociW+sMel1Vk4kN2oP//uhep1JBdF7dpenDlYRgLpzWaP
dEkgin49aQtl6a8PyJvg/cXiCjF0sMCN01Ximv14SC0tTEkMW3xBV/KSoaUGYGHkVb/PLGBgOhE9
WnMwWh0m4YTZGSCJNbrWwXf+j70z27HbyLLor/QP0OAYJF8v75zzJKX0QqQmzlNwCsbX92JKrrZT
VRLczwUYhgBbyby8ZMSJc/Zem4Vn7yWp1Zzwi3Ca15PPXalFTBPDHoS6DeoMBFGD6/B2jf18LG3I
lQc3rpuLvF8xbjRU2LKtIpZi00lE7pGnRrg0wOu516+4XFSXHLos7b0MdQtxLe9WOEFILyDZST9e
K34vZgI9C4OWgOAbobKFJjPu495YUBKDwZGWw0MwO6z10mHvXVwDKJMe4L/JgCZC5CfZQipzFoLY
fOXxmqkLQooEWvvRsgy6DJmP95wRWt59eKWFJWLm11B2FkB08kBo2dMMGEig4UhvyCbgN8It6JzY
ZVP1JDsv1QADDRsuGslB/YXdMJG41gU6xz0KEdE+2/i80/MgwQv6CdIDelkELN5rCfAMMoGt3jOq
RMru2AN3LutXQhdgTYVHvQ0o7yZZ8JdiAbaKwn1lQrUjqtednU8UVEp3jHsNM8/TW/SEtPMaSB8p
XQKHz58XtfeCshzW48KBYxrR2m3CGUXatsvEXUqHB9FW33GTvuMqhcuo6zmd2WuPrmbgv+M+QmD0
snXeCgGZJoLyhk4/LBq4QjTZnm1dEH8OuOmVTOSvNwfnPUitV+Ru2BkrIrwcCMnQ0zRfpQjJ74zA
TNWG7hQyxwTVJH7BDOxGj7SpBL5Ad2MjhT/72wZD5s6N/QQaYUdwmz2r5RFm60CIdcjBqMpjl9Bd
b2xeknzwrhYQee+MybeuMYSXt45TJC82nYkjjWM3iDK79l/qpJjet6Trqb2leWTTmeH6hFgoiNJ8
LahhCKBPtJXw1M5DDIShv+uHu++4PW/yeWwmuTLVgOwJeYPcy3P2RDQbxBpWK7gOGiC0OO1wZHcN
tJIVGtxN5lAkfFsAELYf+GOVf8NIA9m7ggaXi5Xf2CQr/pP5/xhxbLUeF3v95klF7iCdxDPfbQGe
mR6mD4+VO8PLhaqAl7Jomzne9yZK5edXPiQJL7wIBuEX6pjZrS0Or5Arz9a0JGPVc9iechqGrxBM
hhfdEQIiYEinXrm0fjNyFTpUAL8s3jZwlQq0SOSHK7Fr9Chwmbnb8rHQ2jDeGaOvu8uBGAp5u5Ad
Hu9L6uH5SZPIHD5lrlkV9/FK9FeVIQHUTrCyNLKLaaOXinvJgY57qcyZU0AYJtwIZlASQkhQKqqG
mLen7fAoR68PcqEMvrgGYJTciml9KQbp8lPU7LCGvmYKZKNhoXWwglQ8qzIY7Zs8DlkogsQqms++
M1to7IMV07WKb3AarIh7P05k/lFack6QjI4J2Oc4GIr3khXCSiNYq568aaq6JmBaJUYMrrdMwG3a
gGhWqKqZn3GR8J0PK8Y6R7yo3gdEbhVfPb+2bRpASwewr8KuZt9U7D+aOJgxT8QphlpYobtvSM89
pbbDAR34Dc11I0vMjxkoCORBSXBdY2h89qYxpodqPfhTouYIl8j4tDSLsStIfEQEAM7BGYnFJc02
3tIVzxCGZROccsdavG1KbvmRtouYLxs3Rx1CD5uzzd7l9F3nDAEWvAklouGWwMF3PfrayKnMjwZ9
ls1Ql7S/lnrYZOmsgqNV2Mmnso/9rypxwH1asr4ZSnGJX6tbdgUmqjvR+MlHz5nqXcUmtaXsc+4Z
utUfLTet9nZt0uvxNSlpJpKa2zBBeOy3BYdFm1C3q6xNyic7732SK/sBVdPA+XtSCnhRgh6wmtub
qdTVpUd7YTfOfnnHst5+BNiVPkxueTv7psoPsuvdfbd0CoVdUx8m9IQPSS/Kp7ly+2Qvh7q+JD+H
5mvRadSMIThbhyYBwkEskaVP6ySbnOaRTad9rr2qTbe57mvCXszmfSqQ9FlsPTRZhDfWEeYA6DlC
QUGiDbJNYr//lkn0QuAe3aOt82Q/l7Z97SW9725TJLTLRi2UA9tVaEY3tGoOQdmRJslwpzn5qbL3
iUcIQdy0B1Ol41byGZ/zQtL6QTsjTjXH4Wm3VP543Q1u/BC2qTiAJS72HoLByMgNHeyXRYhrAwna
BQv2cjTresFob4UnjT4Ld4uU0WC7oPUIHj3CJhGPUzbpL6ZZ5heYBPWFrCVEmV9XKD8Vcy7Iq5Vh
vh4qHQ57f69PuqZygrxERqMGYI4FHNbInFd6sGvQj4VW21zgEPldEMibwxuFGOFWHoJgQaWLIXat
mv5SiIFTSf109sJzV7KKZm7GwtAOMFf/2dz39TqrwRdDpe2sqoe/XwfTqRj7kAg3lyY1a6opWbNr
skc8tRICf30r3xyYXy+2jny5ndDlGd7//WIW77CRUASeX6nETQMN+lUfYGRjuPv1pX4uZDmUB9w3
jK8ort8O0jtcNa2BovDsoPa8rkdKb28O8RHgrrjofdpe//h62GvhNRBQIVycsG8+WtDw2paVh6Ug
jd9934JwDLJjePU60uhfmei/vuaboze3kw+3Wm1hgPDlvS3WlypxgW0N7lmKmurKN1alIAsqO3Ct
VsmXi77FAVsOVR+eaM728etf4OeHlCmcx3028fzagA3+/qGb2u1MMnrFefxONYZyqyx4lf+Pq/gW
2SaC6fdPvuISFHAdg2I4o2GX4GvBtPrB8g+7JevNJARltROvuoufZutiwDvhGXyWV+WFINEQ9Sva
yl9/ln/zWHrQZPBjc9rhuPnmjhVQvDK0b97ZjoELI7nlnfue7/MKZh5aNenfHOl+Xr9Y01lN+Fiu
w5/evHQYJ+JlBjwOPzMWzxZuAmajE6XIWNKggo4KL/M7h/vXH/Xnlz3AHw/GiE8b2j+9ESG9dixO
nn0uRt7uuGGdHASCGZ1DWv/1pf7NR+ThQNpEDY565e1i6Zez5FKVfVaS/Oelgtupe8aTpbt2n9cT
nFqfml9f9N99PtAlgYWqCjnGW5nYZKKCTUNhnUuBjKWukCyUZpAeOOjwpf76Wq9dtL90ung6Q7oT
SEBdsCHBz2/aOvM0WU8YlfZEzOZW5aEYxdd4j4NRXjc52h16zTb07ZUtzuBt6a8JkVDxnvmVy+Gi
YVqYwOC30h48K7Jvhu9BIdryN7fl5yc8RDpHNBMrEqq/t1KzOvNm8gtinnAg8w5knKz9sMqGQbvn
dPOwFFLW/+bu/LwOITLkrVpbkejc3vYBk5J+CTkKPOKBQa0LeI3zw6DUQDoMWRARwuz1ec8z67ob
y+7DNHna2jprihBJGOTJdMlI3hRVUnYYFgtPwq9/wX93T1blJDo1h+/utY/5l80czzox3QFvfaUD
im7Tyz9aCZPyvnTqbMPw63dtnJ+eTUSF69tAK4dH9CfwS4cNjaJ/0Wc0uu5Lb+aMRF65u+zsnMZ/
/en+3cXoGxHYKkKWmre7AFKK0EwIQzirhLl2voYfmX3AKcczW05Jv77YT181nwy+PahRZ93x3uZN
VYVhtX1sLmcRexwskwy2BUatlFPiry/0JnGJESRyOMSS7Ah8OEFf7O+bW+mkmQLSOVNByLS//c7j
NsADF08xRqf+os0nOiFuQsxOOqdM3crWd4h/X2HvCvcj0PWCPoExc1hi2KcBMq8c59dwnpCuF2zq
cu1+zB0eiMPMuOR2qJuwqX6zePz8/UAHCxmTsa8h/nxbCmU1Hmsf2835Fdo8M6W4qBiZHxITQP2v
b9pPD7rwgMYIl1EALb2fJiJDYtrDpFJ5libE5cB+RVuv8Q8GTpILfJK/7R++qYHo+bMe2rz6DAEQ
IL/9lmpdOVYnPfcsOuV+FcKezsSmhu9eGyLC7+nqdLrEDaaU/ZuVzn77iMB/Y+wBqoYrrzPINWn2
b0V6icAAnQvudItOEilEOckAAOCFHh1kCWRLfxJWUbjbqWHYe/0aMFA7MsmO9rCgpHjN+jDHii6i
LtZ+TSf99WAxSv4MXcY5yUr0+WHk59/6w2LU/KQ5844heiDGxEXgNHde3jPjXx+v0mAzOCyDtNrz
hPOOQHLRY8OZFa2xPmZ4e1HQOEI/0U2Jvw0SRsBXJNAWEmZ7Ud3NdBuupRgMPJeZuG0Wy9CHxq8Z
7k5DrTem39nmJW1ps4563xtDHIKyJUYMFwZSs1bP22bpNAdonZ3xTVuRO5XeSG6FlXZE2Y9d5g30
vs1pbl4cna+q6pJQIMiZrVVaX2YcdTTFjZz3JSTxhGbokhTp7bQo/uzjAmtOoqFFiWQnjNOjmApO
RXWn+a+6838UnxiE6LyE5VrXdK1oP6Q1ESHf6Jbj3yuwfHFwX6QKi1MSGOq+VbpKb1EJEd9Gtvo0
3PWIb1Zgrc/b3VhVW9zDmmS/kONgdXtGkPDZTaTGpAg0xT0iAKLnmLtqOry5p7+C5iSDRHYE1oMJ
LfmalQmbas9H9168mV/3oUXYzGzQzt3LH3kn7UhvLsOMo/YCFG+1pQ9C52rQKY3woFpwpyMe5CcC
ZotRZM1OfepUPhoPqsm4dFdodi08oCD5Nmnp9PZNPU/ecG9lBsbWgsclveW8iq2DMCtYr8j33NM0
Sego25EYnUi3NQz5V+S9pxOeoBqDG6pLf858YsRiaz6lyoDtMSgLOQux3PS0gnbs9UGVnGE3TMvp
MjJxVvLRqj1yV4LM4wGrU+TVmKcke8NrHUDPnqdPJ4JWA6kI9M1AUDnLRUwjhGQsvTTqG/jz+DbQ
eBO/t+C8cuSXcVJlPbq57b1kwHljmJk9uuzvrxW83pWuyjsz+04evKy0UVIYPDIBLGWlTEHZFTvA
gAgbIik8nqIuEKvYrPS4r3a/9sydvB8/IU6ep71CmHj7fTQDvY5kI2ctJBKX2i5oCP+srHztxEra
85t25d7DdqED/7r9+WKkyZjSu/IvPTDUIFDNTOUY6wo49eh8eE2r1mDSUC4uN9aNJwgWeWgn2V1f
d/wilknvZN+Wdn9fa6tTH+EYOcZEo8crivugCdV45anSehR5XrvRKONs+UqyFI8senHbvVusltCV
dKE2dnj/Zh8Pu8cYAN9mSruCZ8VlmoMs0x0c/z2FeTEgyQQpxhC3xEVl5IDuEQpELOEe9lnZ061f
SpqS8GRqHdCSQG12rkxT0WqjQz4ENMj0OOXz9x3/v3PS38xJHce02cr/85z08Wtdf+37r1//6un5
8bf+HJRaf6CBX4MjKcn5YT9Q7wxJ2bOYT5Lmyy7Nv/81JHXEHyTt4iijaFx57mu18GdkuvsH1fWr
8JuaiDLM/SdDUmiW7I5/OdOsY0aOR4zwLcaxFO5vDqY+0mKDFld9Mqait9oDMV5JPuH2nWe65RVT
3s3Kppvp2S/Idhn/bK1eOQefduWxq2h+Ev3Xky/kMUfpO1c8KtRUO5GZ9TZJRO9FyAF3VSLUc6VU
120X7A8vYVJbJ7s1y2gMvRl4ROLu/Nj/MtbtcJqcPjl4xChvBRrYyIpJydN6GA/LZBJNEgIEQBEG
XcVDdgcHPgAanS/Ns9t2rDi8I6cREvDezLDn9b6/NYcJkWOeJTeWjINjvWTlo506tKmn3uWF4wjV
YMQcO0zZhj5jigxX9LYQn2LUZSlxu22JDlwmyVUjl+GpYM25JMbKvKd9bZNU5d9NoxVeMSkmsLBK
ko/gwtJN6KwIS3+ctjD8oDHlpjwwrKyPc4aCUjrLXdM2/onRXr3HVbWs7y2ORT88J3WxJRujuDWC
mLz3GIi7tczBrkzwGoxF5z1I06l3c+eakald9zIEg3JiEzDw/GiLLmJqnMu+btndOhJ/jFxve7Ji
riBh+OmO4SkLyzyPj1bWuuioPf8ywVFwcFuLTnuHF9HUvb7DW9BfMdSNN8VoPwpVqc9LMYpdP+fp
JvaL/k6zy8MAFFBaxkZtjVYt926W+5/GWEWEuXwk2r0/WK2TH8cpsQ/EYcXvpiBr9nkeiy9BJorl
alzs/CrxqmJTBoiII06MTBKrkjB1zMJIM6Xcw2DIGMVb9o7WEdb0AIg3VO7wE1Cp+VvC7GivTYwE
URdXaGxpyt+5y9yXl0vePqWjlT8FWHBfDFwdzqbWnnkFMW1CQ0950mAuI+4vTNtdmwS45u0YAawu
gnMMkvfGsabmqpytJzbeFtSU43ZHMuKLO04XxhlA/HRjVzK8cBmSKlK13FxGmWVU/nE0xmzZE+G3
KtJGtygiPRLqKnAI5/h2w41WK9DebcltA5tJEkhjV8dlDPKoxqsKA8gdKfJQ31OJzHqyt/AX/G1v
VevQWVeE4lGEesAqUuLzrqSwX5qy8+NL8sBUekE1914wT7gnJPIQG4FlnHri6WP7UA5OXvhg2uY6
/KyZNWW7BCnYDTt9f9uPTJg+h7UTo9+uwT8Fw/jktcq5lcFIWMquLPxHN+7zHdJMa5eUdXjGTGLj
eAXmumwZKbTUcwZsMQgmU3JsXb+QT3Y5u4XaekDihxSOut/457r3gt7YVpCTzBsWSu57NZELsCKA
BGVfEptwwbt5iMzWSK67xa/89ybt+k4Cjlusu1qFY/wlh83L0FmH2ACohi2wTztzbB54cr1igwVj
hNAnXauI1FQywwNInH/yEdEbR1BtRCjBakE5hoQVHfv3sXfM9IQIu6QK31ULYpCCljNPirlYyclK
B/q8dUc6WD347pfFdYbiYMeKMbi/kPu8JTUjJF7SQgS1q72CS+oy4ZxcKca3Dk73KkJ0TDfAXDOZ
vpczQ0EYDPaadYdHCpgjoc7CurmhyWo3AowTbJzhokD1b+JLnwxsE8pPdsQAihs1CbX3XApwhjAT
eS8e95jYyHh5xMZuX0hkEXJTNLJbGXDhjKjDEVd16GLUz0Lee4Wd2StKF3k4sltOOnZ6qP0pODSp
LG5BxlzqhEDKjcQZB3TaSy/itvX3zTwQLsas3OelAnbdbYFLW0QwCPsc+BK1G3NC3tWc9SsR2U4m
jWPsQW+ZDxxU8p2wew09Z/aMjTDq+hqgYXMfTL64HkQ3ffCYOC8bJMAXy2o9ASxqbQvlJgdkvZpB
vh5LE5KFXj4zsvvEHiWvaceQNODHBiG2mUkGmdmZD3iY4r3iWPjkuUl/5+KfYHMgJ6pM/P6mGQJj
XxqgPqbajD9rW3i3jMm2vS+SE0tnfMTXYz4XvgVbowqDDxOVIJav2G6P6MrVha99feXSyiDfShXb
dl7yjzQbrLPXNXDCErUfjJrg1cEEpjM4KVz/fIJuki+xvhVhnu9WT3pPnskTw/rhtADFP6zl3cGb
KoTruTXPke6NiVCEJr1hTAUwWCo7uMgclnhagCh8JcFjM9d/UKHrofbG4JCQnXELb21GUJ8WOxeO
EZiIMNiDKJvKjTW7KUujdp8dpwN1NXlh+zIF9nDFPNn6Oo12w2kJJlthxRbhG53z3lBcDwfYSqJl
HEoAWLsD3lNeF+bcvRt5D69GOchbj/7EJeDumoyBGrpNqlD2O+l0DYcUdY9dimOpp49d4GaXi5um
7+GTmddxjDdnzHtBJUAUB8SAxoyY+5nXPVqaIcp48289QgoPhOHIl8CvgQ+JYusQwnuHYkYhyK4C
AWC1D+9ItdAXVl40n+Y+gUIJOWlXLA0zczN5H6OojyzCoCgefB8zwuLsSEqBBmpaxjPITXM3p013
pepwuXCAqZbr7t9tYSa0W9dK3XyjrOHJsEdSwEdi/+gW4KYLjbkhB1UJqEgE7EQ6DBa09ImNDrMi
aYc4uUJYyZq/MAcQ/Hip5TQAMM6875Gfyk1RUfhmzkogJdBA3iqxpP6DQ3xLwpaHgi1JH3uxtNl3
lO5/6/vf1PcUN6uG+z/X91cZcntaPX8t73/8pT/L+/AP1N4hUq1VA/mX+t77w1+DB16FjP+SP5p/
oJAnt8TGkGGvCU//V9mLP5j82vjdLZD2/7SyR93998qeZpxvr2MRpmiMevEA/L0vJi2BnZGy4ky5
o7oNpg8xDRv3dVFthTt9MJPKRxrlNfdZu9TXAACRTwdIjKI6HPOdta7T+VDoZSdtVdzAG2UhZ6GG
3MHirsLMOWNhgqz1uvR7AR3/TRMTYb2JkbRhEGWfmMq5uTRfN4+GbQQjQnHrE9l6qMwwPcTU/Af3
deOB/RNv+7EQB52l8lSsO9TYQ4LTuNkNdCp01DbVupthXxTvM5YnMrWxr0Tk5CWRk44YeAwbiFPd
xPdN5+J+gEquTiMErkI3L35RBle6AFK4kSoYdvwPqP3WnZNoTnEzxyqg1SXC0iRxmoVitX8cC2kb
n2c2zm9+m2ESy+uApJNKfk2UHXdkabbWbZa2I94/R967vTufqayoMRdyEKsIdttX6m4yTDxe7BYr
DdYnVGfXiVknF32rjc+1wB+8wdZDd0Z39WnJuucpVN19Pq9KrDSYntJ2GB7CcGCBKw0tP60St2dp
FEUYjZ4L9xG3yrjRdch0JaiZf9HFZOeDn5mSm+dHtFTlS0f7biSYdH4vbGFzp+vyE1iv4RjqbNhb
BAl91uZYXmamvDF04p0LObRnGWt90cblFNWe3+99FZBTJUW24J9bRltuGjspnsOM2HS0hN3IT6uM
fm/3Tkm2vQ93s6kEH1SFRBhY8UgEnmewbZrpAQ9M+cjwOn1fDBmk17luHXuzqKaBtufl1pbqzQTN
CjsJTRMP4KmT7ng1uqHuo7ExHRzPFuLTdCVcl8li9tHcg80ptYPJEsHf/C3L7VGCoF7nO3VJj6zN
0/o2Q6q3cSkmLxPZgKTU5A/aMqiuWhzHl7ZB0w903OxSEbqLv2w84sbeYWC2BVV84n7q1OxCi0UF
dfBLyf+FAu2oWzDD28l3ASgHpJciVArvKKrTaIad1aYQKtNl2grpXQPsmz7XvlOczFWnOueGkW6n
flwObp2qC066ArhzONRPYZPHz0YFWOYcd3ZHxV371pduNnsSvsx5vJ80ELjdtBTWhyEs4zpK6m68
szgNAH4jrzBsZ+uFo6acMIQNy32P8Ck4uk4xQ8IMwga939JvwspR7gYKE0r8Mbacd85kphcd8tdP
o+jMekNFDbjHl7o8tkkdfMx9078qPLWYJzq44aOeigbSaM6+DVarnMpty0l1H6R19UKfMXySGfY2
it2toFDBySuWr14rF8AUltXUO3Iw6+c8GXsrKmU++HxZtfxAbQ2dcfHz9hTERHtWBmFBcHi98DK1
1bBtB3nHXJFcrS7jfcbJSxppIN1dQBMcYxv7Lali/Va5bbZ103DEejp056Kx/LNn9uzPTpoH3Ac3
PzTjyLLGmdyPYFWah6l0s3u6Ad6hyUyOLUZIFCY2I2l+sIsUv6/LijphS16isK6y/IAPt1xTOLvr
wiVgm1R3Z7iHuOhyY/0qf4/xtFs2nTU4MytaPJ5I163JuTTm9uPkL2iaXKZaRxx4Cd5Oc+lv3F4a
nxvPxzfbW/l0S+o8jwEAw3CTc47GTQuqaG8EafcRP+D8tSvT+cPi1taV08Pb3+G9CsAQeouMozB2
upt0CeNiG9hthYt6jlEPGtg2LbN9SIq+3QZFOHNSkBmS1qLbito/u+0y4FqtS9JwyemYkiw+5QXL
ZmO53UGZ1WNSe+OhlzPTDAahE9poDpyIJJc6CodJ7FCm6C8aAWO1myzREdY9Ag1o0gl5shmQzmXi
4R0v3BLi8wCtmfPQe+INyvq4+C64sudgKURhb1LpWMPwPI5Ln9/Eiq6IHebixsoRkILIlveiKs17
YfnJLcuiQppS6BOZZ+88t67vO9pe96PVx/YGeHT8bkaq8+zQiOd0SyzdOWXA8S5Y01M3PW2R+wD7
2crvrW6R6Hf7PoEhOWSFy+yo6qNm0vYu92TCss2WF6lqya5HOxz3XeB3+dbpq+o6D01+XVEYYPrK
lBvDWIhXPbTdjSV7cYk+WdxoNdhXUJlidK16iB/cQIoTiW/zIwYemvDpFKdfHW0sN7jJxwoCW9cw
+Vni67Bp2wfNMw4dsDQ/t1mHx3KR3gHLw7hXcac/Fm6u8Ip25P4kVrnsc3ex17IVRPoAo5mUOtaj
MbP0hT1o/wTevMEknd/iwkFT2tnOTdyQGcAiW8T3YMJPjcjtK1ASSUN7wl19piM4XmTDh/V+Pspm
pZDlWh5ZLvxD3knjpiiAZO9se/buylCnX+IBdXVG2qOxkZ3CaeGZw3JetL/cUX7Ph3AJw9Nkjf07
GTfV7USA15H3SSwb5qUSpiaxrHxFCa07vSzmdoCThi3YCbu72aHXtIE0GEYImq1d6mXmEWysC84S
nD4BverUszEyJ7DJhg+Dz2aThZ+t3rEboru97jkby/SjSaTcqW+M9sA42wiQc7LU8PilbNIkrHmR
Y5r+Ppvy4jYOm/lj6/vwtwdLfLCbLLixl5o3L10XTXRudnbQ84yZX0rbbh7qJXxGVI6wd0rJB0fA
2Y1WRDQyfFEUquEHGhbFA2envrsVss/6o+Mjid9oIQCJV7nVmZe2IOL5QAxwbcLkhqtOsBpeeGKW
mCs/SPj9inTRZe+kgLTbUPhRigo5jkBQ32nLbvKLQZZ9BRjTSJ+91vGyF1vwikfox01vJ2fQnUjH
heq0uLIspaaBEHHgDeOZR9aG1OhPNe2Ely7WH6h91fuiMOrP+aQgrA+j/0gjqz2j0H/san/ZVU5H
uHPXtxF9UCZxjboXJcGH8fjNzdKXfBAf/HEeP6HkpIJwJU2v3hs/+KGRH4UflLedVe5mtzIu+XKY
dMFpOtXMG7852ptIBG+7goDLzgkQ3o4ZLkdo8HeONxNcN45uysFPgn1+DMQod5W29V2qqXfIrZ+9
yvg+4f/vEeo3R6jV5crZ4j8foR4aMKv/s32BQfzy12PUj7/44xgVij9ctDnYMEMYZ65YJxE/JiWW
Sc4bwh3H/fOY9a9Jiev9gaDOZiSyHphexys/BiUu9rTAIxYXrQrnrXWG8g/cZIgZ3h6n+BFIczm7
EWpnIqr/+3EqNPt6iOPOuMD5Ot2hLMRbwQN7qkqNj5sR7NakRXvvlALrcePqnTUt4Wk1FmyTopkf
2ciqC0bCuO27ITjySk0eQ4G8BmFi5ZEv6pRFOblPWufoFsO0iUG9RMA1381jcbsmwePoSILIWF3L
nO2IoO7dkOKtJlECejJWNLe0H4aaF6lt7bW8SaprrKb9IyGmKThBsiTpOJRfTGPcLIHzlDf5N6cd
OiYM4x1M3eE+b4R36GY2TYawY3WfwfM+N23QXSw+wZkb1VXFYQLUAE6oVpfLLPxTlbC557kezq6M
w/3Qj5gvSOoVjFBMEyUDqpPN7HKSQ47fVhtf0QraLGa9HLUpzR04ceDjTEUvTRkcCUK9b01ajYB5
rKuqwL0XqwrkZUheZzDYu4IIik3XBfEe7EAV8cA0OwpuFD9JwYlvJpG8IPWOL6u60INb7H3P8M9V
noso5uS2GV2/3Sub6uuoauZzkderBAeCfui8utvOS/ouXCz7aa48cVKuP32orYYCpO/Crbk4TXxN
4WqbO1pxmaTRA2LTvJjq2NEPxP8WxbjL5iYwPhOgTh+NgITRIFQA/YjcjHXT46DyQKTCBhi6gWI2
X+47pw6oLELAoHPQOYrBxtTNh8pGoof7i2IGI0m9yYiqu1FVPdwbEBeGzZIZVTqAju2daTMkmXdJ
m52TpqWyYmcUpHJsBoJYGI0xerg2lgyD39ZgBpcgJ2mllvIKwSLCBBJXGyzt3oYf1Pth1E6q1vWZ
SdUg5IfGjr17oHUz5pAQOqVBD4ABtcznu3goqkPdNYGf0L1fDVt7BCEmMipXt3K4D3uY6OIJ8FBv
PhiktHPANkLotCBtk2rErUBHL1D0wwrR0KO4mlFJtd2e4JB6jKzStN4TE6zuZjajCv8yVJi9nVl5
ExVGorYZYuU4MsAlhBjSJuNdWnhZsbW1X5F6Iip1RZwtPeA67L4gplglMWQE3SO5pBRjJenowxag
emIPWtC1kS+2FVXtYjIGmcVESxhYRUTbHRqFhfHjDI05PSIvN3aZBiHNwW5kx41T6BLUkmyEHOwA
3HfC+dilrr0l9iW56dKluxEcUCAXtC0oF4s4EH4B80qbvcdctDN3qi71MVvq9hbnYv2Ow78ix6UD
V4sPKO9p1YZAPAkfpGYPRHxCSGagOyXootgk+Mm2JFYPCIOs2ucr10UF28MZlg2JbDbo0H64Hye/
vu2CNjn4ncuEZPJuwnxKHuOyVRe0JWxv0xmJ/vC6yv93Q/zNhrjmRWJ4/s8b4lVTD28iT3/8nR97
4euGh7AS7fbq1EAx+H97oUWbEB0yfmZAC0j8aCD+SQGlEQl4AmmrYAr6fQf9czN0CY9n9/TpOaKt
x87yTzZD11kxFn9RDaC1BvTh8I/DtC34CcfY6qawY7obN35LLRqVBAwwCE5tltOOme7Rxwha7/EH
pvCWWHmuEhvQQkn3+ksfB7rZgCshMhpnZ0fAi+7A6TcMXD5raYe7qs4IdHB5Fy+brpDl+0y73SVr
p/kldxJFdvRY8Iase/SydgUm55AZIIP8YfDtEwv1NJ2Vk8n5Srai3qXouegj2NBxi0UUV6vuK7LG
mFTWxbg0R5rpG9yzSWTltba33SI/MvzArGenRMhMylxobcA1QnQ7epsFD+o+DGJeLfjIXhq5Is2u
ShSBp7Ec/aMhoS1PTZW3G5nV6m7qjIMNup7Uh/D9XKOcSI1ywDearPl5y6Lz98qjPnZGZgsjtso0
tNAx5dqSlrUlXSIetmNTMuDfoGv1OHPWNpPhBi1QpDkvaGvDN89dNvVIL9LOvDNIJca4ZLeIixlg
7GfuyHJRgP6J5aMWrT5hguwN98KXiSp2ubQ2mE2Fag8yaNNyZyt7Zmtwy8wtj3650K1GoKCDagK0
w7RmcI55ppiPqKgvIJ75F4y1sXzpyKKdYytmJ8WYc+YNE6ZU08liFw+ni3IOwcxRQ9BjDV5lf77f
bll63A+TY1v3fb/AwO9CQ32hzdXm38Lc6r8tsQkn/9pmVPy/7J3HktxY2mRfZWz2oEFcqDGbDYCQ
GRmpBbmBJRW01nj6OTdY/Itkqal9rbq6uzKRgYD4xHH3Ah0jwS9bOiDJZ0IG2q/1hFaO0CZ3PE0k
wh6h/gAu7TYLY3/Jh/SQCDbZmzbP7pg0kUSQME4JMZu/6ZZ8ZBqQYJOVzxlpEjWx4kiztaND9bKJ
yMLerkTE7QjouIGTmO97axBJECo5DvJuSxQFRuXR0XGYU/nC4Gz7euqEexUVUL/JjYXScFbbLQ1H
91bpdf5J7xvNIKqjs/BoI6fM6x0M+HmEpy37087Vjp3RT54wovxI/FGqkRwyfIhTuE9/rYR5y8sz
MZlK1tGHqBXqFcZvxRZ7RYWaTJSBzeGuc8uoiUDQ5ruy6rUdBvGMWYQW2rjrORPmQbqK6bYWNZgD
6d3I2McqD+OkMpfEXIsJQZ+LEwjqemQsoXprqi5BNtCqtUa6ddQCb8g8Olsxo/pgENYJURIa8DkL
P9Aku1t03iNjVtabWUMc/KDZ9RNo7NksbfNOXtk3odapASNyXBQb7XpNmbDSxfa+Y9QmQsmaobIw
avVrRezZTWVm0WtUJ4gKG4EOlfD5fZdbNdWPFe3SdMx2iJKAaxppjofF2662WvchEorpEW6pn5zM
fl6hC0ojbXx2/sRdraN5YmDCGDrtpheWtDLaPpun05wY+vvCXObZG1CsR96Uq8a9pYtho6FG/apg
NlkQ1jbE22xN+wOWfZ9AuFyfIGe82pRhaVwvGy3xUBsTIAsRzNUncclRSUWkepi1mR/7Atei0u06
fketHNAtI5ulNPOaYSRmWLWqY0aZ7Tu4TG1QQs9bo4yc/WxaoTfVeMp7A+amW8LsiSOyhz650tx4
eOxZrPg55+exm5s7LmsW6fpycid2J2YWuniOxzXuWUZjH50WPoHxYe58nuk6bt3cSXDwrcrPbHzc
IFeZBXg1UKFFyoFQqdU1kg7Se0zRncPCMC/IuLofNAUDUtbIi753ByP0p359clQG98tsRrZn2w2+
b4hCPJa7xocqjzB4jAeFIFUNy3tUgeZ7LHlcINt6vcfBPPGZr04vWdyVuNul1bWe14z+R3v+xOJ5
3Iy60X+lyFf8zGzWTQVkBSKtG686/PnNqrGfGWdnvV1Ks9pqedTf6m1bX0GygRtouCz6uDZmBCuQ
cLjpqkZ9A5xtAzEDHWDoio3nMsUGsv5B8YTWR19n0lL25UiME3YLqxKsXFobKmHMDzGvsTwniqeg
JJni4EzsAWxntK7hrSKfO9LYioguImrc+sqZzPhYuW3NNCMeg75RmYwubrx8ITu8fzDHqElx6gnj
oFMXSLNY6wo/nBHya9qoH9aWYFMfpPhLUSTGRpsrl7GuXl3PaZ36Csv7E84E011OAgdxTO51g243
8ewlicODAVl2HasaqWUsED7k3ag/UlLW13btLA/qBMvnKVbs3gt3Znfm9POhmsNEsMgTgANxot6Q
wZG9FPi+vkRO2d6WQx4+11mYXA0Uql7MKvtJa8VCpVmlu6Udl0240FTCTiEyp81RK585p9ofKHNH
4jzs4QkzEnXxEtGVgZKYKKFNujgWDupt09mRsbEZ+B/LiSbJLzICRGmTigyjMMl/VcLgPPbTq5jp
WcwxtnbLXJD+ljKSOmqJZn3S+f2KX4VlQlwYA0IrVd2XZTW7vSpWXvROyabLY2+fbK0ks042IMNj
aI9EDinoWaiqSRIXgTPNp6Gp2m1XC+Ta/xXHZZ/0yz8UxyyiZcn618Xx85e2oD7+aVD07Wd+K45t
7R0Yq5RWwfthGCSL098GRbbxTuBAxQpdfBv5/FAcm+/kAEd39N9B3O/Fsf4OpRySGdxvoG6Raf6r
4vjn0lhHtkoEEmp1g3EUF9oviiVHG4c1IZ5v76BS4omHZ2EaoXb44Zz8iUXQL8t9THqw2tIQjAMK
oOL5dbkfDiMTegC5/ZCWJVGQyIM9Zw6rD2UPrk/gHjrIleI5qHC4+dbXfZr/T/Sl+pNjy+/rx+r/
cnA6ALTdnDY0rb98RMzkyTbLHHcfCRfJl912E8MdjeOC992njJnfyGKtXa8rEyMA0Eq+zAot9MZq
LSPA8gLPE3SAu350ct/AWehIGHN80zkpTkdpHrJtWdp60xEjBgNgh/eFlU/B35/AP/0QtE8uUwI6
BVomPuSPcsBW1EbRr+6+WWd9MwsSVAulEIfEnpanxlCJGtEynIuUggQPTUWMTyAIlrdVRMJIj2rx
1ipRelYdpqPqiHep68Yk0wAjsxQdMYYY8YItkqHfLuVK2gn5x/9S/Hr5HtBZopdGiwdH/ouOuSPZ
ZUBH4u7psKYA9W3uzUiOyCf5JxvBXyRl345EgDXCZdORXns/nywTsyBQB440Ykm15/HOl2c5zbHt
jeZONfHF/ftvR15BP/SXl+PJyAohPRHQL8sr8IcvR9e6siyUnONFSXvHEwXcb8AN7u+PApvz61Hg
3rGsgcVxkO//cv5ctjJ4ICjOvkUmzdAWlx3DTfZZ5zz+/YEuLn+/fB68jVgNceMRiPTrQyGlFnDh
ORxcPbT8sNodgxkWEbtl4YtbCqNlyBOT2FVVfXaPMZ5zqnPQNuyqw3vg3vUKT5TmriV9I/Gs0aT7
0ZgfE/FosN2TthhVXi67hGvzCVFZSbAn4aUwouT7Uk5HHGSuhb7RHD3Zd+jRXiZrTfZ//yG/CQt/
+pQOwwqN0wncJPX7v4zIQ8Q/WAMRKIiNKlhQRGWETKA7KNRd2yrrkLgb1dcZaELSpgxEWe7v8yId
tqNW91sCztpznSWT9I8xAlbC6oumZ8nZdBfxwUY0R7VubVpt0h80t2iA5KZc81sLkISuhlTfNSmD
fsRrK45KwHwMvXZZtGV7Hn3gcZbtLegBxFG6ucfapbri7RLvizrUNwZ46l4B9/MrMyk2sS60XWdU
zmMbmukBMVwRlFrDuBVbnk9kNlkoIbLoIOp1vKlzbQIGWG1xKhxkzDgxmpt61IWPGePgW4NV5X6v
RRU0UZU9953sHBnal8Wi3ABdLp+JruvwF4qJM8p6Y2eGIsXjzIp1f81qK1DsVdyZsaE+smUoXuwo
zr7WWoxuL1NdRBmyGaU5AInx0HHNr7aDfsAu9HZv4u5+wAp6Pq2Na91YBBsHvZOUFJBFQoIdy4KP
RPiZb2rTbRQgHdCn7IuSKc41/lQKTrIJI1u7PRaFxV9taQ2KAvcwj0p5rkI8oPW5nHovail/Fbvc
qXV6kuczYGDBSMN1FA//x87TCuO9GWN/I+ZYPURZUZxEWC9PSp71yKyICTtrgwL1uMiRpcr7xU+L
ydjplescQFSNtza0utuU81QeiP1k7m53xmMmtmVcc0WMuA0NjWG8VfiybzPIhsCoZweVo162T+XS
DX5Fh8dXM7PiZ4W9n5aBEGjjTg/JDOfZNh76vFq8Bc9AkJBY/wxyWUA6afXd0mIvhCu9r0wjfHiU
43EcZq0Hk4qGTVWPtS5NnSJQj9Sdo4cyja7DyPoQw8fs475X70MNhi5tLSJEszedaX4wtR2le4rN
Wk8I39ZoW+1kz8N0BBd3PQiDmQQCI0Itz/4X+UqI7EWJeUQN0sapTH2RVvOVQp7lLutmtrcoRd4r
dbzwx+A2EOuZIMCadF8CqJqRi2uc7IDXULbFHMoi0nxKkoDIRX3Xdp1yZa5VdcIqVfXb2VwwgevU
u4E8MobnCwNAT9XT+matVL4hZjxsgxZNHOJyzveawZrdrrhdLAW8lh1Bgx/TsNEntlSITVAS9nGI
YVdafmpHEb2moTZ8lpLgV2Nsp2PhOOMhG93eG6NanFpsyTABz0LfDNXxMGjcX8qS1dhk4NZGnmqK
wdahTFxcxAKtIW27gGL0ZmWdn8TInAo5V3zA9L/eiLwSfrrgP+saQ7KDPilPySx16uQmA3XxX/FD
ywimZdl9BPrJAqsCwlIsNCBNp2bbMB2Xr/jLT9VZXSIsrWuKgnVcVK+tdEBvvXCCJOLNoa2hRM2H
eoOoVsdTEO21bbGsmtqFhUSM7e7aq93L6k7iBhMI9bwkajMEWKNbgHR1NX7R0nYKYA/X/ZKm7afY
xi/dqhL7OU768gR8R56ySn2BD1EMVjFRnYyUfDSfKnavLFWCMEdd5Q0aXu701tl9HonmNU2NLMhU
NMEJbli3ilkvBBNryDNFk23ryB2eq77LD2iCu8+XKMA8xSMvhR5Dtkv5ZeUEzq/4Ke+XxajPRkwi
nw3ls1smA70xyR9ZgOcOGHo78smzJL5x1WIKTLTXgCaQMgLoHiP3Ouy8TKz8jO7m3QuyXRPBJO5u
hC65AFdjz0dCnxN5PbskjGGz1NywtzRvNB4MQA5dssN6ad2Tv0AcsT1glsQU3K9Dy/WoI1uyQbhe
NSNevlIDj8/J2PJcr/TmmDLqy2mZhb7T1KLZhaWC4XJbKfcLB4gDJefNu2Krz58NtPphwtQgwoE8
7u9Vu+afsmi4b1W9CVo71l5VB1dbjNx29thUuy6V+VTUi8aVOas7tnqsrtrBOI9GI7a1nG8XmU7q
SJ7G24p8V2mF+aiFCtL0vk88M5vMDXOX2zYs3dHLYmIj2hqr/B2n384+tcJp4lPbFc3I1cz8t5/L
gf1WgT14a+hteHKRbhHfPi8dvptYQMfn+Zvp+uX1/t825x8aVp0REoXhXzesN3FS/dit/vYD3+lw
9Z2J8YOq6pg+yE3O792qI96h/NSQ10lBJ6g2Vff3VY72zrWBF3Duoa6XTe7vmLjzzpAZPNAOOkAb
tf+/6Vb/YJ+NnRpVn8kDhHRo/Q+bnHAip4TobvPAoqMOAz1ds3tSMUhNlEmIzPm6F9dI122NG8JW
w00B2zA6SnIj5iezdOr3wkq7F8a53NMzz54fzuSftJq/trn8dbrKx+cPZB1mXezWf+gDaLhaNO+u
OKSjqN7MWMy3jInkA3GmEm6SfNnx5B79jjRi8Q8tNk4mv/YHcr2lCbB+WhGMSH7petjx5LU1JA2w
ZvhaNKHhwyol7rW0bbcCq0Y3qatwg5wmy76ahZs88RxPPsxruX62h64Zg3pdjGOEcHOT4Z+6w+9x
yDZEqlt3duxAj85EyxLJWvQnVJL4XkNDeGvLSyslh0ZaN3TFTawvJCzYGvsX1WnASNnq2MEwrOy5
keQpDbAE0sMR2dV7RnQELXUINNfOqa7sDhClBUK4x6iv3FbwobAHveFgr9vQsEKGkshj4Lv5olDE
bRiXPw7zKsETpgc40Vl1eW4FhIQSU/7w4jPG/aIUISv41fCgPngWrfY0kq/BA9Ov4zIGvZ2X1zKV
UnSFrcYJ7+IQ8nnpX5wJj0MvUXPeWiqeuCNPZcfaO0a2bKc4txAV6IlPbgI1o2rpzb07KOmd2iWJ
FjBEUd/nlWrhbIFBHjHSs7uZBqNNtqMxg7om3Er3uH1EhKE0jZV7BA31j9pQxQQA2dNwwJwwjwLk
tv39nBCh7WvGxO4gsTR1W0A5Uu2ANBg4elo1cc4iWo2rcm7VyYuiRCddIwZCSdtV8LWmitibuHMS
xCAsskJN89VOFwfs0Cpvs7KdoUYbVhkDnr9wbYCKXqSSF4X3brtt+wmNWa4ru1V3os9NrI9bvAm2
ILNjwJ3qHizdLu5XfRkNWLUhPZIGlAaO2dtvMaTxfqVi3rh53WPEBsO+7fWeLGw7Bbfwm1HMJFLh
tLFDsKEx/3bmo+to4TNqhGHvTPFUSweD+IuY1PFGq7TZ9JLSLr7ggJhV2GkyrGqQXyPoZE2UUJOv
Jp7ydmulAffeQxwpqXEesmTgtZOGhTU94BGczLWH9rHiLW6ETeSnc8hcyqn77HOZxmHieH2b7nS1
mj5DhRaMrDKgeFClsh7Va1aUbfI2JjkBbm45Cv2m68h+XYdV+nkZ6fhqzQn9/8Lc+21VDF6yoTvM
LXcFCUKfiBmgAmrdnpR0q69EsumHlgzoihT7azK3aYg71e61zYDAO3kA41mWPZQNJhRKWOLFUpVt
EeEtEkf1B+FOtONQjcSlYt9ctn40ZWQkI6XhVUA11sa4zwaNalRvXcWgTSP5nUt9Rkm64N94z85V
PgxjPn9GR3oDRGWfieJpXBaMLkdr5WcjP818QF+hTZvG7KiO4lF0L31ipYLN8chfP0f2um+qGTik
mur3mPVW76cRiajnmmM9BqTAGs6mA1RWvEGdh49q2g7qNTYYpnp2wwm/mVqvq7e2y0m+rZV83V4e
5S6fnL01S+lNn0oj7Uzpx/Oc6Otz3mHdDF8zGSu7tFl29CgkIN6WN5NgdLU+Oogh+Y8swuiO6whB
LGq4Slun8bWM5jzpkNOZ5RtyHXDcpcWhichL69x0Gn/xiP+csp3YWqXSuJNS39Hzm6Uk/tyj2mXK
A+o+03pE+o3A47YlZMjJb1ozZyNWRlBCJO+MI8ZONn0je9a4OOETbMMe8Bdw7Ra1OJSa5qC7bMhw
91bDDIcAi3b7gzKW0+JxcpDN5NFaagg1LMpcMqYcmrnGnt5XrLRw+13cInCstPJCRxWHiH34Jpu6
6mOn9U/GPFnk6bqpSSCdO90NZJnkgQKkDPUXO9A1mpMUIwt62CSBgnWrDSobGGMMZerRUp5ifPIe
9WyYMWSOB/MTHKuVeqOhUR5OrOP1SsHHWTPnk8hTXE3jMT5hmtx2Xt84zBbBeMyNM7caysScJGcd
4AkYKFQeM94zOBYZLhEwLo6lntYUts5ypevYGlb4HEEMMxzalZOBMEUbrbQNeI5HvhmZAmqcB35X
GN3Lf4Xj/8+mg+GhzD3468Lx/OVj+9ZlPzGxv/3QdybWxCJECFokQkhZTMjf9yMTa0IHWQ5p1Rfw
9XvtaIABUcw4xPFgyPVTwoL6b2pFdiU/F0QqGxJm5ULWnwY7OfHL4D83BgX1QTyejGJ1xxg5HSNU
9mWGaFIubdzOxVIXB8wu4y+sepEwZFLNYEpdQycVDnnhIHYo+fOvW6mA0KUWYr7IInqpkNAvYgnd
aJUt9lXDq5BaivYiq+DBN/CGdJKzLlUX2UWAgdWWvmEWhv5/MY1zL5UaOBg1W3V0CqQgannbS0WH
exF34O+fPbfLNB2la/DgzVIHojYTjvdqrGBUhaXPfR47xX2r98+Yj6yHztEAMKWuxGrM9R65Snsv
Lay3htSfrGE/b5TJ6I9ZDf+CrXjmj5Y2b0QsZKGTNfnjkKTzm20XDflrVRh5YsXSqIFXuAVdjl8g
aofFZ3VaB0Y06ls3tuFczCa+N2cr3YyqGNlK4m1xanEKOzlN91Sg2yP+CsdiZruwM75q1Otj2Q+Z
r2rzx2yeeVgY2LngcjcmpyYpYTbL2uw+kLQA7NDwHT7lWVqcnWmMt0ofr8e2EBgcxNBNQT46tnRQ
Yq+Rhkpyywsn3St5dDNlabq1UzTua2ymfscIeK9OFeBEXA6nUtHIl9EKLM97zNwfWBIM2wx9mN+j
4LlxSBzcL3pTXtuNOp1Y/S57aHDjDS+C6pi6Wv9AjE7O3CtTsg1x5z2caaw7Bx7pw/WK9mHbaLYS
4Pxc3hEaaDz0i+jfY3qaf130Tn3UxyEJLFCvm6IzlbOR2Jhhq/0r54o6u0HLfdt0TvFKwThuNacu
g5Kt9GYqM2z/VFPZKEY7I67ruhutr3FAm/vZJ5eMkMKUC4coBMV1Pxlw0a3ftAyDPSpgTPznXIrr
4Sjuym5kAGa5Tb9ZULATWl2NWwfXSTwoxNuoj87VxQKZhUR9Fq0W+QOzKGqCFQ//Dp+AWSMmdzOC
+ZxqbF32eVQ7e2CB/EtaRumtWmPflmTRepOZaU3tZYbKJwcxbeGFUae5XjNZ+eyB8g5XZWLZNL5x
fEwg6Bj3hmkgTaReE6atL7wa55PlZuomFt1wndg1ksiqbsa7VmKgzYUIVS5wqJlEj67IzBv5bgMQ
ixjVAJMmEivV5bQ2MyVrOly4U00iqIzW8NqKJZhqXRjVbirhVROJrhoSYmUn1x7MC9nqXChXWAd4
PqsNi2ceIzUEB0BsSb2/QfFnbhKJyzJ5gZwlA5ROSOK0rQRrC4nYthK2tSR2m18IXO7t+aW7cLmz
RHRRz0Drkp+mEKoJwgtJUxyHFdGLV1wY31FpzHFbSvSXAFxN8ylgJBGcOdEzJgZwwrbFtNsXTRPy
JEnqNViL6nN+oYsHCRobF+Y4ufDHqUSRo1FSyemFUM4lrGxcuGXc9mCYsUGCZ64l2qxLyLm98M5R
rbfAz/k3FFr7jYyG4ZegNAwGXiQUoheIelYlUR1+w6sju6j7e3wlhnFfSWfj8rjWekcR0TtpMWNY
MOrZ9NCmc+R8EhFkXElsbq5O5lOBT1hjbygolGyrDEOffl4AOrWM3FqtbXlx8XL7b4D0jwMk02Lo
89d1wA1y8ernoCVx+ZHvNDDIL69+Vu1EAuGGKreL36sAXbwzAdkc9CYYgF8KhO9lgPVOt2TMEi9r
XteENP3PCEkwXaI8h1FgqoFVs+r+m7KAsdMvZYHJE8tiXAWmQb/OpIv//4cpTdYNZNgMbnKbZjQY
rm+wLie7NsqsGzeshbgTVoPTX5WT0rvFFIcxmTeNieVnIdzsfG4gjbnJIAa9Dp1lb9zHTq7k84vp
EGyt+hZxlF49ltmeul2dbvu8UT/j2jTRmtswBo7farGjevqgVdgoVaw/nHFXuSLaFHGTov4ota9G
RAIdEobG+aiwVPRn5AhHOxMNQ/SId3dv5/fwaOEOf541MJjFM2dP6GdLwxoGj2Yeh6o1r1sM9gyh
PNmq8tGZLdx6TNhnJDY2VOSYHJJ1TU9zJpKDPZrDh0m2WYx1XMvDdSS+b5GmAnpV83ILKBK6rBGm
ot0YNZ+Yac7a09Hx/A1cNUaDHTKnGROm4dFkfUymsX/qRitOz6Y+K7jZ1/ZN0qo4HSwAuQkLOokm
2DHxgqELhOB1ap8sVBN9XwZ8E8truKBmUFSXnOKFHOAH/JxDMI0KE0KfyN7xkFhhfLVO8/yKI4Bm
7iwxs7DD5GrjYqpaUmCkIKA2ewuGQ2AHL5h40iBDsHW+Y4/FUelKlaRkE7bOL8KViFy8IAbPyKVi
Ol0TmhB7jrs1SGlLSGXJ7eU9Q6TGuuWT6KqvMxyY2YTECDzUwaC9bTFOUtL4q93mgvDUJNt3iRi2
U2RYgdkkbOOq2L5rVqZUHlEzUaCTiIQBTNEewRfx3C8a7Y4EoGlTjoV1DIW9ID9tTevzBLsezFBC
Z5twKbwGlqqIob8WxiXbplTqE9hmulyrJQmO9ZGl2uTUJGuWMB8bToSofUYYvLBEhkzksJZodDzV
oFoovRhzM8Y/RSdOSEpLLfGYBzgOYCX1tQhIJk6MO7xj+K5WbbQfirokFdVmCVs/k5VqN7xHAWUX
zM0ZGKgxnlHGPNsd5qBo649pFbbuyaoB6osG/TjYjI2lV+4saCVHXtqdH2J5diakODmN2EFdWWE5
sXzEncvLumnYLHhQL4c5YuPhd3JP6rEHUWP2T8SD77EXz3Fy0pYe6HuNlH6vtoW9ZaWe4Me5aLjK
NSNxvhUvbe5sjPKIS66XpA/aVC4p67Aex9NKDd8QCi4Mv0IYZAQ1kfBS8qq0q5eyb6esLtWk89ti
KOzreS2mc96Z6q7N7CGIIyOiNEZOzOrDJgUASU5yVqoqH7cjblkx0Teq1QZF7kyvOtX1rkc7Ex2F
2t0jrU7XO8aHn5TVLbmnEAjMvgNIaJ77yuiYmTUscLfRsFSvcFOq8JxliB/X1dEr0snqttzxP7LY
dZUSlwyeRMuDaFyStnTTwvCWURX+HLka60AOlA0HA1HVV5DFJ3PAWt9gobY+jJmOKdiUyXi0lhDS
wKkV+vauQ/4DbH0nyklm3Qo3RUIX8TQzMXxDpdCku3U2nGOqoH+HQ1Tm+XTJdLCNrkTHVLe8op2w
2+RaJL2u+K6qbVSvKeonYdwplDLj1hjiPMBfSr+qrNLdkJ9COJOS1DLwK8bClRIzCVRCxfieMxGl
H9vGTt9StVee4FHG90z4x5bhsRDca2IeA2wEcXLULKU/4IUofNrBtNuAgkftFf+CGDxNYcrksdfA
dsqzHDx9jygNTDSPi7DNWsWmMWd6Og+MivXOQrNoWi1rXRLExj2UiFFtQpqHqPcqk/RIdDT1ANdG
zf+ICbHxPE7ri+ASJlboEn3mlqq+t5zJvrNMRsRRHy5Br8fNwUZCoG5YeOubXDHxh6lkfFaJYvKc
k4o94udkF9r11FbV9dqvVrpzmsp4bfr5NULz7KIfSzAb1hKCpfxxVPuOCjedh+uiLjD3WLTuvkA+
2fosYOfoTpsxIcdVX+TLuuwLw+5tGiR8xoh0aTCFcc7CyX5LWv2vnvqnekr6jP9dPXX+Mv2v/VtR
dygwv/y0mfv2k9850osVEz2mYJVAcfSdIdXfsQ1jDqM6MhsEuvL3rRzjGHRPUDNE5zCVkbu83xlS
1lT86wZrb5AI1fg3JdUf8DcmNwbyLwFQRa7tr2yiUKw5wkxiJegI7sRYeQXoVvT8w0n5k90aH/Fn
+k0eBJ94gFU+5x/yOnpMBGsMYdf9gEuox6tlJfJrtP06E/3m7w/FmOoPhxKcFtsU1KLmrzhfVdDh
pRGs2jwm3Lt5ggRFJwdMkwqCnPiAfaG1GJ6vpvAwTav+4fB/OJ1sNiEXsX1g2YqmV9avP9Sner46
5sQ6aZ+W06OOh6STdMHff8JfSmDhyEOYyPVICGFOYf1SArM7WwY11Jq9qU2Ps2k8s/iq/AHZH8Ks
5svfH8xwJEn3M2mnCVaLTASxv2e7zIX44ycijV1YMyKSvZiM5ghQpRHB7irFMTNpbvNRPIlLVDvZ
nT2x7UaVFl6DBQcWWpdodyZRKAT0iKEBHjjZgUQ0YuAZz7sNAw0ZD0//ys5Kb7RayjZcAtRdHQ1q
YXzU02lHf9t/LYVcHrS9qj8vRKb6yuLiVMrixDjHzYCwAwIpGNRlfl6Qnp1Q7EzSbNdueQE1bvFo
mXn0kiw2VXnRGndhVJk3Zl9m95asqEdB0U+0XnQeRjYptL8hE/uBukg1my2183qgQb8eUoVXXVF8
FdTvVSI+oVS7A+4o0Ko5xbFW5w/RSIXsFqm1ge4vvIJ1dpDVa7PLWHP5LZsAs0unL8iXeHGk8U0N
ZonEC7mY0KHDmHBZ5xng2XcVKzzqvIdsRQuPKcsgHAjt2kvGEcN5xX2coVSCRUvT8+o20WNvCQyO
HcZy7hiRt4e1zzyFmAInebhJSWi7RtbmDzE1Kouq6cqMAHeAhpR+ka1+5B5o4Yd5m5Ar+djgxxnE
jHt93UnsU80mUSXaFnPGLUvK1noSpa28xNnY3mAowO9xCFt4rDRsbvM2GfbAvUwk2xbvf72RDp5F
gwI8x/RDL2GB8B/hEikaDGCqaiE+sdQwlhr0LUs59VlUkIOsjWZfiRN9eD/ALzG/UhftRHBk9JjE
KHLKhNz60CrIqmsswuinRIbGKSAqYRi3d/WKeqRou1PoLsb7ZnX6RzEY2V5K6K+12bD2Rcm1gPFI
soVMnHcl1GCMZgrdZjJgN2kb8150iXunYni2w4uxvaYyrW5hwwId/6zraGaGhelVrm7biZBW3AyY
2yVUyTj1mMmudcVwlYRT5hHsRsOBo1kYGhXjs97W5LbzQzpkMUY35ss8UkcWIZ6P9XRXL9kTYkTm
sGOq7ERRjlc9zpNkG4LWjUM03ZG4qe10ycLhp5Tvl6IXB7PuIOUu0JwamdVNcUHphkhnQkploN6x
J13eOkndEdvJ9DxKlateMnnGjAG1ReECqFfgT5+Fjc2+UYJ8mBsA9bmKQkUtSb9QMn+zpP+crC+p
+SECozCcrmb0Y/itUIpbkhxkNBly72N6ogvKLjyqmLRK1tAArT+ueqydpHEMzBtMYlVVKXNYYFrL
jt9wzHtxJcEYSZaR4l/d66PxweZ7VZw8eshk8cyEnHs7WY+9wJdvlHzkKpQ+CCUz2TiEYlpreq10
TX2HTicPCGD4DIrIYop4NjCGMBoPISZHG01R72bgzF5Smqky0GLgYrZbM34tiEHz1GqKjQlQNylB
LWnPQa+MNzy7wR4kC9rNW8A149E0a9cvtawtDzjZdreDUhtvPLedQyLJUugDRrdyfhnHA1ijCcp7
Di84qkGj/FRpTn7igbQeNFJKPWSq71tJsuJEongT8iQfRgYbPTU+gVzsYknAFiMbSVgBNrx5oZXn
rnAO+ag/ZUXMbCLEDjVyWlwyHKRkSHeDUHK2EcBtKMnbFQTXHnTxNqii/pgO+ErXrD9cz5TULo8E
6yaRJC9u7vnBknQvrjdZUE3r9Ep1a6CibDmy6kLJMgngBvKUcpYyWiV/gVBWUTjBEZP4YQUEfmoY
LBRgxpWZY+Yu2WOLqAnuE2v+XEgyOZOMckfLn7FffTZjE08uNwFlbtocxI16309xn9zkknkeJP2c
G9hv0AXCbBado+w1Khu/aexPtmZQ0o8u33sjeWondezHvJu1HfkQxabVxeLb40IgSyYhdUllD5LP
rubB3JuS2bYSLdvHCtbqjjRNSKAYl5jTL1lv+CCCQhiPsclY8keD5FbfVLWa0J8+02narI0l2fF+
ycSHmfHJGRnK+tKBmBP7DGye1nDnw4VAlyx6L6l0TClbL7e4yHh5fi0lux5Kit2SPDvvx+kwSsbd
xQrYtq56rUBfHuh5N3yrK/4r8v+pyDctiWP99dD0ltwFqdF+KxPm0F8uC9nD5//7v+m+5Q9+r/HF
OwpbKDvLsVGt8E//U+c7EsxzNcx8vgF2ki37PjrVGZ3i2wq0Z2gU4ib17G91vuG+o77HVUhzNCRo
kpf7N65Cl7rwp0IOiZhsGVRdUJ1S8f9cyOWs29eiVpc9wb/ZEjDApI81iQs5YyhOMqCrp8QTI/xs
i+3UWwiM9a5tD8KpgJbWhtecH+eqAhDf9TmZveyRYe4BVoPW/VSP/f9j78x621aSKPxXgnmnweYi
kg9zgdFiWfb1HsfxE8HICkmJi8RV5K+/HyUrEb0mlwLmYjBCgCCRVGy2ml3VVafOsS/LXq86Cysh
DzU/X4t+HRJDkFFLU+oTlTase4GCrrGaAnky6gqKewVxG2WUzL16LNHL9SVJK1Jp85V3AShRHhlS
Xd/Z8GT6MKIhJ5BYwP5HJKhWEAkm8OrICMSbQ7GWDaeeI8SD3k/cpIpQcSpBO1uLITUNe5h70Ylv
1P5MEsKdltB4nq/5zle9iuf5kGqb9qeHujYKSwYYF9gPLKhQct1VRrEEfsoy3eCsoAx76cdedl6U
qTQW9hz1c9nWgn5MH9yIdC661QaCFtD80N+/hgO1LyXAfYMwtNZ9a2nL/SLQ1TsTefgBngUpiRzA
9im0rPkoovXtRFFW7kixmHnN18RpWVvhVSapveOsV4fX9FzFV3NgipeeTTcTjXh0vXO8JCFn1qDk
Ss84RqVPzgYNwyj0na48qoweVdiEEBSif12+B82X/ZnH2ldkwbNbwZ5rjsE9oqGrSHN32Q8JIccR
mOIvyHwqx7gGcxwuXRigitq2z4nNCDpVeTGgr7KGT7BIbyhYmfCrI892irq2/J30VzTSQnFjFFeh
FaAgDAB8THbzSkM1NG4SgOqFkNL8QVRL9y6BEfSySOf6wAqJmpFrHaDPQIuzl4VjFdz/KVq7II+X
8+iaGqt2zr5975dab0gwsBhWvbw6jmiVua1yfTXqSXp4UlLplGORDRZUkW/sfCVf5lJqDO21Vk5A
9owXc8BMoQbXuZfL8dCGJd/vW0Vsn8wtW4dCKVx8t8pyKmxLOiYpZaOhkwXihkUObIWaGggDEZKh
t+iR5rxHk7qiQWOpX8estoEwrDNiMa8fmitaarz0ax1CplCvDenYA2jb1yuTUaZkQ92cQF3kwucg
5UlfqaO4k2XgrW70YLk8r6BZOTXMdEU91YMamdzPINAS70ItVqwbli1iy71KGS9BeMH55EGWJWvk
14GSAtwB2HNTlZlOv4OvxTCya2HlijuU+tb+MYfGssEfilrr5TRpeK5n3kDNAeMBLR6Wmd8qykIv
b3VyZxyVkX7wxBcBH8R8hJyhf9ZLZOM6Mz3bu19rNW0OOcJe6nFkxRzUAmh7uT6yURyxFVC9y1ju
B3MBOWxiqx6nHRFL+lfCwGg+KWMF9cYgrufczRyRkWgMYD4pbgvf18pbRNhz0H/uBgq4UOVi/rBY
ZEkdDeGCjeC98vRUGVTLnlUPixQ86JBl5roPofBdens8Qa57IcUo9aplXEGBVNWCyo3w19y+WVYG
MAS4ls3RKkRcwaXj0NQe8phmo6mxsMSi98AcWeTxgjyLTwHlqRSwI5vSEX/1oHCEdRn1AYLLPLM/
R4u8RyJ5RWVroGSJAsxZAqSxcT//99QfeGoUFZqC4Nue+i5zvH0P/fSFXXFThrVIJ8tFMIhjpTny
h4cWoqH9k+mohg+pqW6SBfnpoek0xAkb+k/XbDT0R7IKQskgE9cUPH/DNW88755nBuuE55dpCu2p
dAnjm9qeOV7FMKJW4EetqJYgjzDLZVUdg3ZFEqSRmQVmg9JY4brLs1TXkHStKn+8ppnoaqPxmaxK
GgyXMXprjfJu6Iv1jVdV+hV9tGnTqcfzblMOUqFHK+oTGuzI2EDtVq2j1SC3CiAjdx4Hg3B5ksNy
TpMPIGuahQJburRCjUobHGzI0A4UiG3M71CjVhzyS0iK1sXENdi97IltrKX5KRixVXG7LJjkWylC
qWW01GhwHNEcmqCRQM5OpUiHYA99dQBy3aWMomeouEC6tRpSQKBBKN6VgX+B9B3KuoZSq7B193iu
QoWKCeUUmihFDPN2Ln0rvdD/bM61BKX00Jtfr2MKLutkNakpSh17sZ07lpBJG6VAUkCzwDfcQzhp
YMVFFRgoDtaGEp3OqXrqhtunrgz6sgSovDpTjDqMBMgkc33huYtCmqxJzcBOAxtcdStVIq/loYzG
nntsa0geG2OFqmhO058cZysO5q4tGiWHRbFaNDSkEKSfL6n+oR/VD2EOCIvJ/9aO8LS1DZ3MAQEP
dcN1Pkuqm1maB1m6e3Sad69iP8o+x3/vQ+8beorcP9hjyKwSgre2mM2YNgN+z0TgcF/54+zf/1KN
I3LAiOMiDb95cRIIYuqV27eJMS2UGehcFhr0Dc1r/8d+bxbev8HtdL7/mdYdTOM8ypqfwfWfg0LY
Gn9lDp5Z2JsD60gnzUdRH9xo8+KgtD8HFluxoBdJRfhy89pecG+dvLUS3r+/354D5zEkueSnWeJP
s33fIaiIgH75lVl4ZuPnLGjyEY1OQtN19O6aFwb3Z8G0jrgMnYsQHWxf/6WV8OwOfp5xYVxrSiid
ZkExj/SGqgT5pGe33/DmGvg8Eyrrp0XClf5Bi4BD+QtA1e9uB7ADU/xSOHtDQvt0l/uLwNCP4NOA
55Devc1rG+L8g2ZBpQRJ8NNpEahQ6YAeg3YZrGLzerYpsiGozFCjJLOdhe2z90uz8Asf+uFkBp4f
PG7ciz9LX/NCb31gt++8fP9pT92khIgpWx9svM322ttnqvn3H62nbbPc997cLf/NdZ6+/nSDLy/d
utburnb/eeLPEocG7mrzRvU0zAsnxEf9J3C+OWErncXv0mSz3u43+PH7f2D4WZ8BwR4lys52afqM
o/aA0Rc7hOGFE6VOurPU/IygAlmeXYc8cAL/e5w8yxpuA4zOtpGnTpzHVjcw9ONsHd0tozI7zfxp
3nKHVPB5IrsaH84Cp3TaUAmwDweY7J0L/xR//zSgyzT81k7WWqJpre46fkgPEv+xvQq3HrKr5fEs
Rge+bRmvQFjU1fIJM+77Ozub5U1HzQFWyuTR8VoLUJBYPsAWMgkCP4r99hO5jca6zsUkevSf0SET
gDXNR50tx2X7xyONQBKhq9mzl3sTrekHeF7OGFk+XVS7IW7WBUWGAzwkf8YQtryYZmojB1gb544f
zVpjhkvvAGM+d+icdaLHfdOKTHS6+49Xj42/5BHPnTR1pl6ezrKstabhx9YOMSX+1PNdp43q54x5
gCf83G8Ux59paSgcWw/wwDRqh82f5bK1NyF4KB/I+ltaih0jHKCgb1Gqd7T8XpdmZ9OF0/ZbUI2o
BwifPkRAdh54+el0lqSz1k7FuUwc4NFsBn8+W/vTlhvDeHPm7bp1N8Yf4mSxs7Q5H2zPk51Nxwky
NwMHOg2/HRNDXSIO4B0uNhd4qaODeeUAIclbPDYd18rlIiAiaZ9qoMixDrDJvt041XHMVx+ACzqa
v/Hix9mnSfrCtxkoM+xW5t/3bbcbvaXXFiIpA3EAv7y9wMuF2Jg/wHnkM7M/S9NZK6SgFtOAtLs+
pJ9n6/ap8imN0tXuW0WujivlHTLkrpZ9TjbPTsGqjlRE9zm+d1LPj9ysnb4mn6odYBO8n6XZpy+v
DZ583QEW372fTmNguq3IDeqppj7YdZHc0z/GxOwMNb4H4i/lQ5/5WqbpR0b2Zf5pl25/7Wvt5Frz
iWkwc5I//gIAAP//AAAA//8=</cx:binary>
              </cx:geoCache>
            </cx:geography>
          </cx:layoutPr>
          <cx:valueColors>
            <cx:maxColor>
              <a:srgbClr val="7030A0"/>
            </cx:maxColor>
          </cx:valueColors>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3AFD04BC-0335-4200-A3F4-C2C37DB236AE}">
          <cx:dataLabels>
            <cx:visibility seriesName="0" categoryName="0" value="1"/>
          </cx:dataLabels>
          <cx:dataId val="0"/>
          <cx:layoutPr>
            <cx:geography cultureLanguage="en-US" cultureRegion="US" attribution="Powered by Bing">
              <cx:geoCache provider="{E9337A44-BEBE-4D9F-B70C-5C5E7DAFC167}">
                <cx:binary>7HvZbtxI0u6rGL4+dOe+DKYHOCRrUWm1rHbbviFkWeaWZJLJJJPk0/9Rsrtbkj32DM7gAAP8BUOy
iszKZKxffBH197v5b3fm/ta9mBvTDn+7m399WXjf/e2XX4a74r65HV415Z2zg/3sX93Z5hf7+XN5
d//LJ3cbyjb/hSDMfrkrbp2/n1/+4+/wafm9PbN3t7607evx3i3X98No/PCDa9+99OL2U1O2aTl4
V955/OvLrbGu/HT78sV960u/3Czd/a8vn9z08sUvzz/qm21fGDiZHz/BWqJecc05JlS/fGFsm399
P1LkFVOSMqIoenjRPza9uG1g4b9wkodz3H765O6HAZ7k4fejhU+ODe+fvXxxZ8fWH6WVg+B+fflb
W/r7Ty/e+Ft/P7x8UQ42+XJDYo9n/+3Nw8P+8lTe//j7szfg8Z+980glz2X1s0vfaCS5NeVn69ry
P6gUKl8RzoTQWH+RPX6qG4z1K4ElkZhh/fB6qpt/7UzfV8/jtc80lPzf/0oNnRhTtrYEA/pPOQ1D
rzBhmHGOvohfPdWP0q8wU4Jyxb9cB9/6svcX3/lXTvR97fy18pluTv47vefiPrx4b139h3z+3wMa
I6801YRRSv6MW4/jmuSvBFzhArMvuhF/7P1FN//Kib6vm79WPtPNxfv/Sr+5uZ9v/4NOQ/ErJqhi
CuPvBjWtX1FQmpaS/OlUj53mp8f5vla+Lnumkpt3/xUq+XE+fBzOntz5b2IAql9xRLlkVH7XZUAz
CCsqqP7qMuypyzxL0//8WN/X0LPlT57k/xMG+Of44E/slN76280D6HoEEX589eFxAQk+W/qjNPRF
dieffn1JhSbykSKPH/Ikify+WMCG+R+qeLTm/nbwv76MMGKvEKdECgQRDwNeePki3H+5hDFcklpR
qhWonb980Vrni19fMg66RoQqwSQTSFNIbYMdHy6hV+CYErz3CAmlwuRPrHtlzZLb9k9xfP37RTs2
V7Zs/QAf/PJF9+Wu40k5UogDaqYaoCdjTFM4Qnd3ew1PBDfj/5ONAZc868PF2HzKB5MW5uMjaXxn
AxDWDzeAOP94AzdT03QzbKAqEReqiUd9W04XpU6K5tOPt+Igyad7YaU4BRBNmeaMI/R0rwUP2HDD
8HnFzYKqLm4iQpFYYq1I3fMPQzXn6q6wmfJohzoyRGtiDV/K9oAo6vPmk+2tkvllPrICabnLXI52
i2rH+1IhVTZno2NDxE6R6NYTM+gqczeqQsupYJHNbpbebytS8sPgK3xV9bYq46XK+tYnpCV5rKjj
PiaTiMIQh4lqn3LT9EX9ptckn1wiWDtJm8IhGh+XYiFD3I7k4HBX/rbMZjw1WT/KZJ0WE7bNVBra
nErPq5TPYr1QuObhQ2SRiOsob8pYeeISJDmjlyyS3XpaeV1EbwKKStZu6JRnOuoSX1d+znbSuHLY
PWjkq59+1f4Xc7uz3eLKvPhaXf355z9ubAP/HrD/X28ei7O//jr/o6r74V27e3vEBsPzm46n+fOz
4DBfT3f01Cd/fBM2/klg+FIk/pOL/1rUAGcX4Gl/loDfRI3rAkqnFyeDuW3ByP8KN18Xfg0dEgPA
RQQLiEKCKI3Aeb6GDrikNGNIY6mFehw5yCtYccS9CgsGIQc8+o/IAR8HXoH10Uf4vxM1INA8dTWm
4EURBA7G4Fz0GNQeu3Xv8tE1Wtt9JIc2rpbCvtE18eUmV7rZlIS/C800nZuoK+Nq7N6ZnEcnKMgL
YkdTJ81a1Gk3sOa1npr2yozoLc9QXsad6autZUGl6xjRE4elSdgSyW21zCFWg7zozFTHZAb/moO7
1bQ5F8Gc0yjsMt9lqXdcJ2NoeGymUcWTKz+PaCwvGpBj0suujcfW9jGK1BrPnIS4ROup1ehK4IHG
2oVbO4c55rXbLGypY+fLz4Op6rSh+bKRVl1IOu9CKbuky9vPum7PA56us5kXMSvHLSP1+bisV6xa
TlEOd7kqiueivF06b1Pbr3fc1wcz4Tsrxbt+GbbWZCZxTUF/z3q2L50ScUCD3tghW+M2UhfY03f1
ZG4lWvEW5eEaufr8KAHfjCpltflcdW2UDLmvttQsNqVNqOMxl0U8hekmp+FatbNIFBH5iTP6LmS1
3uGC7fN8Oa1HYk9WKN4SiEogGIQSxssDKUaSzPV8I4rlOnTsXUHrQz6bW9dXt3blF7KgTsSCDRsG
DxQYlOd+uWIGdLVQv+1118cRqw8rG7N49kUTQwisYmJBUKRwWZxx52NNULEpa+2TMZrsqe/KZZNH
R1kWze2IlxCjZa1jH+wC0XHYdAxuiPr1KgzoypOwG4v1FKu8SaIJnXbSRslUF5+pgds4Ls/rej4l
oJy9slrEVQlPaNnyds18FhsvTFpqGqX1ABtNparSQrP1zPHqYJf1rWN9Fhd8vmkQT+elDUlbOJ9m
trxtp6A3hsx3yq6nE8nLpCpceVH38l05o4+qp5c6lDgRAW8X4vcrH92+n6ebtef7suw8GCrd5w3o
KELKJLWffDyO66mwS7EJAfSpKaYHLcES5tX7uCcNjbsBvW1zfKdp8HEzuzb2uTlgOd30brxhs/nc
oGpJkLA+HZv5hma4iOvSd1tDrN6sIioSjMsyeZA7bsWF1uyd7dtqKxi/6DiTW39cB88ZF7MEU6Ti
XSndshczmGOE54uORN2HKot0IqtiSV2UTa+pALMzc54lS894smg/7Xu5TIfe8ulkaIQ6macouqyL
xWz6tWsu26hbtqgw06Ep+iEhkaFAvQ0flsmJM6zqLgersWXPUlcXXZXqpqeprNdwm0nrojjviBG7
ivXt27rN3jZzJMZ0ZYMu44aUyVxkF6ytPzi6TEk9m81ciCVZaZl2fnGbns0FTp0QoorL2eUHZX0V
C9lfmKi4ai2zmxCxtzbCeTKMnG+mkd/O7eLu2paM4JVVsTGij5Vcqrhbtdg2ZTOmZLHZFfaQ5PMW
zH+tyJ3FtouHvuniYkKJmAneUmlBbwu4wLiCGfYZRulMmLpkSI67mYDRLbV8JyNxMZI+nGST+xwF
d8pEfXiUdL4Dzo7g6xH6gygO6FYDyATXl1ziZ+CsrAQbq1DbPZuiOqZj75NMzRcl78/XDIv4x7sd
seTz3TQkNMoZYliJZ/BMszC2YpHtPgdXT1tcH4ihRSwoBPQf7wTo+PlOFGgfCZshKGWfA8Eg5Uyr
rLN74utbnUE0PIbjCocloUM82BP4H9r+eE8gk77dU0ECpwoDnpTPZJnTVhdqyNr94nmx4cN0Y2dw
7IiyfYi4SY7Pa8x66gaIbj/emtLv7a0FR1JijiU7yuMRiu/qPKwV4NT90DiaVrZRV0smimO4OK1s
Ve+Rnu/CME/bOkzToZoG8Fvd0tgVy10hMjDX9XTMJ8i6lO+1bqKkGt2GqHAaBIRvJUiX1Axs1Vbn
rXDbhk/Xc5O/RbxoUjGzi1GZKJmt1TvObfc+51wkTEF4+PGTfseEKIPCiGOBESfkmQkRU+rGEtbu
CzJsmUVXSK9Xzer6n0iUf0+iDNMjtILKjKtnEtUBqxkugq1qw06Geb5acMk2yEAQboWu0kHV5z7H
zWszLVfSo+Z1kUMOZWv+uZ8gLh+hSlUDgMBkPs2jIYt1GG8iLS6om3aFgnDPu7JJ8rwQu34m87uc
k2XX5KTbzOVSno7IDddtPb+dHaT9kZTs4EvVbILw9pS15ees5CJuawNanJXdzVH1ObPrW5WP29UP
kLw7ui8Wvi+KtkzyZs1i2s2ntYxMQsb1Si49jQmBz9Yq+uB4vSQSA8b6scK+E2Eok+pYrypJuHqm
sFVGtmcRbfdrwA9wYobIxjsi4ijQ/Y/3AoT9jQdyBHlKKSk1J8frj7zAkaWUhi3tntfTNRvKQ2N/
FjAfPOlZDJPiWCsff2qinu1RFn3tDULt3uqp2w7lTBKWrXfHSF+udNl5lx1qwvY6Ihch08VGtuYQ
zdnvQ1V9VGJqY9JMLlamovupgiReaIhO3dKcY5x/XkWgG5mV9d5QscYVpyEe0TqcmVJsJtX9pjy8
LQaVn7ClXBKoXUOMMfVJr/tuSxwpYqp7shvnzseIlJ95CybYl/X5NNeHmudLokQFABUHQL+4S9q2
KJMJ+WvbkmLD6Hr6E518x2NBF5opqJcRYw81+yOltKTzs12ado8NFApT0ZQJ9L4AwUc1PHMBEigB
bqVmURcNF12SDQ7FK24ufQW2nNXtJhLtuA3ZGmIvsE3HAr0LVUdTheQa15O4yEYpkjHjF4UmUAo7
iESdDTaV1fIWkXC3DiguZflmpoAOdQ8P7KJ5Vxfo7QJALO6yottRE3a6C9c5F2NcObBP1kHgG8QU
Yh2xKm0yo3eEr29156bzHwvpO04COeP4wlRD9UaeGm7Ie2l8mNp9UG0KEGeOZYDjMDTGWZf/RCMY
Q9vquZ8oyMIQ1jAm6huf7BldKGFju3dkaDdYDDZVWXXIIFNpDPpZLZjkukCBNBEIU1UFCDA356IG
ADjaTMS21V1SNlO/0WJt4tIMPm4X9XGo8Vk0qUujmyEpNKD9ubU0pd1w11Tr9WyW00YekzGYWU7r
2ywcUWogSbWi835s02q2JAG4upl8pbYeVPpQXq5spmnJ4Ubt6oOIPKzowrTtstHHZvXFyazmq4ci
KGtnmwZf20M7hpvSQyGp6nxM1h5KPb6GG+dzFC9Mx5pON6TGV31UHigFtIblmJZtvaTH/0QNvJNN
R4PsxmmLmRs2RzcaZn5hZbgR+bGA4HUE/tRFiekBLaGsOp/7WqWyg7tdxN/1FQcX81l/pvl857xP
wwgCrkx5XlKoWfQMUJwZ9q4qputAmUio5fupbQ7RVB3Wpu9jl4MDe28OUBTvmgwyS5lPYJjgHSL4
c4P5h2II7aHG/GIappQStyTHwmheXbkLvbOnCpC98ewdceXP8rH4jnsD1uFcQysHLAo9y5NmoVVP
GG/2g1zu2mG6HhDkvQnKrIyDWx/x10Opbb3GW68B6T34fFv47RKGEPcVLOsbmta+rTa61qmaHJWp
8XmfEKLajZ7HZW/wEEGBVjd9nLNy07cmv+sjo887p4t0zSEv+rXQZy3E8mSV9IJEEGMqv7ydKMAt
5GiXCFSOyZz7OjYKkHUOhSHkw4JaUEgOMFtW442fIII64q+dgpJUj+Z8GsdrxsdyZ42YN6WradqH
9bQpwk2VNSptcLTG3C53Yli7rev8tYTqYF+X4mKCJAJF5nhDxXx1RPNe/pFf/5dh+24L8i+iDLit
I5b45wzbKdw73tXLY3bt66Kv7JrCr7SEeoRrKfgDT/aVW4O+MdRCwIZDbSQVxxzi9VdeHno0mBF9
bJ1RIQhGUAV8ZdeoeMW0gqYnh3EAgY6r/uAQr74giB/x8vgbMAO9AuD8uIbeAECN50gX2kCFU2uW
Hyac+SKhFMvXAefrlobW78pe6sOEPlZRmE+6nrEQV1bp68lOfu9kM+1oj/sd8iXQOY/E+PWkjzsG
nHxT6RB4uGPrgAhovyPyzOfngS+8JkqcyIl39lLrGl2qVYxwhijj4OGjfVNiFjFwlwwICqrjqJuG
pJn1mH1SbYtfD5ir3m26RTby97WL8oul6INPWDHg901ReOE2ZurW7QpkuUoNrwi6bAauhihlwkdq
HyAbpQzVrS9SbAKr59QyWbvfimXK93aOmiokmpv+WmWDWVImB9rEUd3qg3Ij3liyVJvZ6ZtejYUb
NzooerViMf6mbWfi4PpmirUhJo/HUPUfm6VB1yyjtoon5roqKQuLlljVfMbbKSOFOXhqTb0tgZw3
wHlS9rrth7QOedi2Lns7Z3m0c+XqDn1e4d040uGuRIW71A2fU1ENpzi3h86K4Ua25XyF9bzs5DD6
0ywrpsMcTVFayrV3sdGVuDhm8bM2L7ZRWdVALozYXkdMv0e0GuIIZnhsutameEeyrJMxGnk4j3Ib
vV7HWs+JLJZhE8ppPsvl+gaNubl0y1jG86pbGQ9B4Hyr6oh9dENTxborBoCLnK3JSFEprhHwM9dT
2dKkyVRzxadVFlNCHa7PaWsG+luVuyKecVRermu/YUtGgBA04WZBaI7bgrYns+j4zpim3XbSF3WC
nRiTAbo1m7WVeD/TrNvIVUcxXVG/mVFnT9jqQ4L7XLwGqfenStRuW0mDDjnAqoPGQh0KjEyeZi0y
7zpgk26stNXnPmDJk3qMujf9UK4XtCXzGZ2Q/AQUqdiyzPebpoendwB3EgMM1IaU1osY5M62ax/m
Pu7qrritwexjSLBz4sHS4nU4crFyChcwCDGd8jCMG8NKvWN9YTY+WgHsh5LCA3l6XfjGbQHLkzh3
ZQEm7RqZbcME1COAEybecfiQJJpNFGdKjxsOJegtEKZF0lTLck/6PDvvm4Klap7dnnVsCokHaPZ+
IMvqkkwW+AQ6S5VLbaBLkaxetstusoRUseTDoGLSN5IkXPfGxojqJTW5yY/VRBbd8Bnydswi40/0
7PCp7rjlmxnkeDLJ1Q1xg01xlteiPZ2LANIDUndN2FRtqmEqtmYhvIpblbG7JrAgABIGd7OGrj3T
RmsQ39rX5wAIsi21OksI9NLAuwrVszg3LJt2kzDUAFzQ4bVsUcl3srbipPbuN12E9aOc1nmThYGd
aFHZY2tMN2mHI3sBkTC8n4pFubhTYkFxk68tTmvI1DrJQxuW2A5OfmgzqceU926uYouxmi5o07GT
Ga/Bxo1WsorxBCz12WKlJ7FepunE5sLydIAg0iRVpswlt1Y4wCE5uRwMC6+Fm/AQr20xzfHSDuaS
gWPsAlFFFQc72WjrBtxNaedWcSEgHABu0KaMx8w0bzPf9tflSL3dzIbQc+jC9mdR7+2QStqjS6Cj
7Y20wIymeCxZiixcF2CjeuPwUhymlbvzQIriqiSh/q1rcHujuMdJvoxN2nSh3kB4huDLh7q+q3If
AXZkgHDjCJj7q6FcTPSuo/kakrnv9TWhQZUbiZoclNI5YHkYavS9W2l/WBoc3ueqMMm0QLcD+6nf
z7ZL10hELs5HW+wRqSYU+75gp4Weqq0Mk3vDqV2rGKjE4jUGOud3OzXltVzmBu8HN+RX0JPuunha
fA2khCyGD3ZBbRMz3EJ0cEtlNpkY69sCylscczxP5141k41zHADWLVTVJq4XX1xGs4/qlE8DbGdy
P32G+K6vdVSEbS/F8EFEGrbINVrPGMRmaCfR6sTVZN70gfcbiA3zSSXr7N1UTxh+gNFBnAcnrymt
4wXZ1gBbW0D9iBrSJhXv5RnOuc5juZCijtGA+4OeQ5mdTL4fT70S4kFt+0gVpw1yURGPFB5ywnIz
FOKuoiikQTHg1fqZvi2x706qTsorTQsMuzZ3pB80GCKv6eUcdWfQR4aQw81ZvqjsbgYSU8uxiQWP
5gR4qAjq4bbbdB2rLhZu5Y7ZqIMF60wuW3B0FodShQs+EgS4eiRpUywkHh38gN529AFo4P61I3Q+
ZbxnJhm6on3PuJ7uJmqG0xoGV1LX2Hl3xCUfTVTbO7BSTqE7J0sIHZWc1GYpsuJssNNUxJBO3SlV
/TzEnBaSJnhYJduMS7SwNDRO0+3iotKm8wrNP1F532560dcfmZd5vVmAnZwB6+ckS6shWtbYG2hM
xKqQ4bYdlFl3XV1OUTJOyL0vh6J+CxAO1FXcQrU+XUaI1dcLEm/qOeO7qmryZkOZk2vSDgU9H0qg
0WIgGcklUAzsBCCW/QDkvd/6MWpS6xHoK4NWigVnqdoPlPcNfGY5fSK4rTdIZOyYRF1zrvoBnw0Q
zsCLhmVN8hWK5hhwF+mgzvAZGIgk9S3W8v0QYZHyBVOWhEp3h0plkYzB6yIW02XOimQ0WQDCw/bN
dSiQv7BVtbxmAgN3YSZEUzFgmsfOkGg7DsN1rgMkaxh/PC+4LdLZgoudlURgnup5GIYEunK0jXnD
8o02xZRm1SLvQjX3HxXwRVPs1kgfJBvCEWBy4jZNBV2iBa+exS649QSGNqSNtR3FmW/QyuKuNCOJ
52iVfSyrajrr8cq7OEAcqRLXMsETgCfud1LJJXo9Udaw3QhJ/zV4LTA4CGwg22iopQ5T5SATsLJs
+33dgzzTOWRFBqmVAf6yhqo384wZtExlNBz5e3GqXA2BttC02ykrTHUO9HU9JxDam4uqVfNbR3R/
jWmQH/pMVTsrcmhj1WUd3TGcRdDkkX276wc3Q7swbxCNC7xCyuhlMe7KpsNXBCYcmoPqSg0zILL7
rFvEysSgHJ10qjIoae0UxQMdBbRsxr6g/lSohVjxBWT/b1n3pax7Mlz2uEIDYvVRNfLN2MSzGbW/
ysGHdV/rOiGgrqNUcAnDchrDDMQfUxMwe/UKBp00gjIN0Ko4svpfCzuYp4C2lISyiqjjcMQfVR1W
MMcK7Qag5mDOW8Ow979T1T1r1Bx3hJYU1HPHcTAY6npeOhlcuRaHmt8rqOpGvSEd64CPR91Urm85
H7v6lkWOD9sWJgMgUHoCcwVzAsNF6GPeOgZtYUuAQj/ogi9jWusIvCfoxgznhjddBGCnnnn3kdce
uLQ0EuAlNMmlZPheAg87Xhvo6ppbmKPqsjva0F5c5KLsOwoIrxzgKKzjrrkEHO1Dm+aGOygubOBN
c4ahYwBHzpsGL6fQjG6rz9EAGMf8pMB8OjHGhEaAdDUXTB9H7wl6RrFLoCDHQhTqPgu2rfq9b4Ah
2xs2AYzbA+b2ZUjWsoPvAxiUlSTbPrKo79S3D2zrXxQ/7C8llUCAUnWsvOEwT9nYtaJqgFm+8lOF
a1qXibcUMlisNYlgNsXNAYJK6gqfM+jds2jt2qsAxRh0XDA7EvgHL4p2qGNre6iILjRUunDtx4d8
yhgziSjMuCkwoeP89NEsn54R5kkimKGg0SeAXxMiab7KXPZbo5inKG6dF+JDzVHmT3687zPdHPdl
mklCOPRV1TdjP90I6NhGVH3KF7A5EU+oM8O7gmWkzeNQlWN52WbwnR7oaxRQevysg/yUeTg+NvQ2
YbaJaGjykG97rHwqIzQX9FMkjexpwgMS/BYcKfIndoXuz0UZYYvPad0v45t6QGgt4qGAOTn0k77W
U94TTsIJMFCcqyN1RGC886kCvCgBHMDgwV2m15a7ne27JoPJlKwZ9AIjg24GrfxY9t8+vJLQqhdA
2MPEFbD/T7csZJGZakHuExMBvHy7YLHiestdGAegWqD4Eh/cCFLvoW0hpfgA/MTk9GYqLerCTwwB
U9jtkZeAADSMfz04KoVw+ryxl+u14rrz0ceiBL4p2sOEz9EhmtkW8P0hoEzYyqBHMCyAg2ZNKJyK
A90xvmk6ARMqbYRd+0Y3RePatOfWkWuYZ2yHjz+W2ZGKenxK6H1B0wkxaIpDDKfHobzHLcExZMqh
fp0/zg7mbRDwIDUCYaE5UA5jWY5O0ZsOZkOPTgMzRsdfZZeP/66wMBYwxgvkxXHMl0Foe3oM1ZPB
L4OwH1vDI4jhFUQvQEPTgvzCT2nGIe4PMFFX3zYVbyGiuq5xGIaWoioCyrwvINoeI/9SwKq2XM10
yua6s81Pwgp+bmPwlSYqJAyDAKkPjL54Tu0BudjpdqUfh4yIqNlUfujMeNWvvuzaJPQLkO5JBPwi
XLNL39gF2ivrAjOlXZedDNqZKofhvhVGYmGsBzofcQtTjRlMd3EUmWvR6HxtEvgW3AwhkUTVgmH0
dtUGPrUuswD9jh/r/1mvS0Ji0wKajwQmGCHvwtjAU8m3yBdZNXf6DlWEiw8Mmu/RGyJqDup3FLrt
+ykoaLgkqGGOyFg6M0joEKwID4mn7Sx/qwIaozc/OdeXNPaXacJ3lgg0xDWAi4egBuOaT0+GUN9a
WRbDzq0wAzdsCJ+PkXxEjIz28wAsmBKJHfIuDDpusrWADpPnucfNKSR8IKXzxNbQXKVnhM1tha6a
jOe53S9AI3B7kc1ljeclyQiI+v3Q902fb1wFsxNAdplxJT5BMCk8NKlyHJXmjM7YUnGll4dMUgs1
RfQyaxvcz+d1XkzAntTjJEqsY1RBmtv3q5Blk5qo6sCHjZm4dokEmhKSZd0ECb9yYxU4voBxJvGB
aFeMJ/WDNEPRkIonOpoXsKQwkQhCiCX/Q9iZLceNa0v7iRgBkOB0S7KqNFuWLLWtG4Rle3MmMRAT
n/4krT7x/+0TsfumFZZKqiIIAguZX64uiukBfBWGm6IyMflDoqcUfyAa4uMRFZhYuG9EFHTvq1Fv
MwUhqUGy9E0m8mkw1dpDCwRILTcI6BXxHre7HFr8FyWNw/juEsIzP+fSJvI6J9GYxSdRrHjLefRD
Ym+Ii3nf1pOfte4vk5fTML0kqxnK5CELW8lwTs9IFNsbMD4K0zj0CTxb4B1BJ7LpRjOXMPMGnydQ
MoZuK1ZeR2ZtHZkrmaDyih9L0JG5O7USMIP8kobS7usXQsKxGHI6Qnh/WDft1uxLL0jG2gbzHEvx
uVOS0qGeaaHVf0IeS13cpJl38RtNfdiKBzY7Lj4vZTmM8WlYdESmShCS+a1G7gDr0GlZA+5t43y8
qwAM1ovV1hLTPS1qAK/c3Y2l3vSOU+bg+pslKgsFsqfviL4wApv6PSPzGLqGMy6WpZrzZVZfFymL
yFRAknOM/j6r465JrCVtdlfMfY7CaemmLDY1Tw3FnZ8ZtHQoOMtW4MvH1Jh61OxvSz6NGbmoEtUE
pCFFsplW0IrWHB8jHqHAujGyJYxctRbPYimjCfBd2qZV17buGTQ/fMfQO37pmU2uepLs17Py9sqo
dn3KVQYypky7h7wHyFFLZtUXjkl9xdp01RWevu59UGL62pJDnCgpn0BrJNuFAsWuXbykt4Ugb+uI
x3FxIrvLXC+anHUAXCWJDkXas9Ow9ubTPkwbOWHmbqcikARKlc7mH50wzzFl4laxqL2drd4Ai0FN
wCbeXtnVlGBQXfE5F53Emij6n2BWeTN1ooVtvSxNykt5U+zxfA584aqCUsbwp4uw1GxY8rPDn7wu
otC9K7+aC/YM/lNC/LqMnk57FcohPXcDWZ8Fy+IdYhmRMAyStX1xfi++T9GSwhs38xdXxP2JxBu5
AYbe9dUaRckd29L9rDa9/NJDzj+TKO1R621J+ZNCN7RVTgV9svHQ9WcRluhE9bw9acu262MpaHTw
5ibRCp52OrsCsnXJu+Jrb+MyXONMYH7omA1wZ4zYVN32EKkqOLjFr2JL87mJeKRu5hLadMPoNnz2
NhnrNJ3X21RvVAJe7NbvZNDizueM3OqMHjOUp72oWGvdjVfG35N8tNfFvEY3/Zh0MXSzfvpJnYNS
su8FeNkNZ7JvTkj3S0YQ1+Ke7t+1HlaIcfBSbsp915i53QSZAtWmMo3Y3ehvMtPKtiLIajwEmmMh
Ru6lti6Zkht4mZO4UV6qcyxMfIvUh6+GJH1NXfhBDAerSvH4WLg9zZxL0letn20OsWhNTizflgfR
MfUtCBB8A4nN1urKAG0exzrvW+gvEeym79bIFfbEtFyAsIPtIvP22UOu+qw7CKxAjLf2RXZBflVe
zHElvfE1p/CyqgGfL6mAbPIRD57vIO37wj2WsYbiu+x2+D7MAvRvS2bIbD30fGHp53JlxbWIVVEb
RfgNpGX2XReZvxt2qmwlVmbwpnyruIlkHVrT3mVFtPbVRMfyu4rAbTaFFHKo0kHLx8xlI+IzMsvq
st/zq42u3SNqHHlKXKde4nURF2s8vQzCZt9Vwl/csA8vu5z34iIFC9Ug5/ZXwIBcui035rSmJDxv
qkx5BZQ73NKxBRXVQdnPSuj08FBTWrUgrF/KZSvfExBzXwbF13e72/2XwQRvEMeJ7xkfkgvBTtFI
L7fnGRxRlbrF3kVKj287xGHwQ5SjqjU7e+gCYdjLPFYkMvRFhF17zK4AR/Fa6GW4jEDBX1AXJ/j8
Nr6hZIEcnSX62yS4fCyBmF/RMJXP86yAyegB7hdEedAMy9w/LIxsN8ow97hohI9UUbAfyWixOMQy
2AcGof6Ec6f7BCjM3HqVu+veAXyqVlMsF57NrOlkhtMp4PTyeo8Uv4O9qD7v8CxeCqzb3+RebF+w
4bdXeNjy+51GG+q/rD9PJU/vejfRpN7mcmqKPYAgJajjz3sbrY/jWHSPLVwBWZdiImcF2/Sb2Axr
wYLsoOpLZm5R5I1VG80rYgl7OWPNnv0pycfiiq6+rWH5sk+FbZNLZ1T0M+Ix6ve7AOcRgbEwe/BM
TW7EXBR3Y5rYfDsRxJonUECl4HcuEu1jaej0EAEDfJ029R2/01Z66+mrnlHBDCYfHnw54OiaCtrf
wOuN30yEGFw9dY7cB5ublz62Vl46wMmsLjua3zK+quIM5R/m8dwVolm9ZvAHAIE0RbnPeTXsYFuq
OeHLwxppQm9DJHOMdUbcpu5kad10pjDW3PXCoCQnnkXwucoeVIpX3XrqQJU9DW1v55OakAC4nftx
7ZtILSlOk5zT6JJbrfcnQL7KdJej9CBNKf06rSNGbXXtgfcVmZpqmqNyqdPZcHs/TmbQdWJo+8Xl
OzIUK5myOxx1OG0cRYl4u+GAu72mfbcXCusIAJYU4DBpl6jlV3bL8ps09mQZvoBu5FC2g5ekNDcx
FjtyXbDOhoucwqKazurUPJdRO8L7itupVBWiAS3CPrCl/XOfgH1F8INNn9cAZubisiQMSKfJmNy5
cvBLHStJ8vt8wnLa4HCxN+uy9zdDvPV1RvPxZouC18OnKURZuScY/oX4uQGgMI84JAURp6AGNzYU
WxOyIZtihOf0iueh2LWsDQ3xfGLUwMg8EgVZNS/C7zBKvVyqZA77c5YbsNJLz9L11Do45mMPiRFU
Wu+vkhZIe5MVpIPkDpuVXo+tEkA3TZoH+Lw+fMm2eHuI0tLn8Gw501XOxkTVIbTZKxWR+mlLlCaJ
EiG+rCunyam1HayYGiVcF631piOjM1fBlH4KEVtzFGamCP1UYyXd8IIVwT3f/8AiJIvs1IlJVGkr
qS9P45zTvDuJGB5Aek8jm5mXoVhmfjXIgn1vrX3b9659aTvx1sLcHSocE+Zn5/LhxAuuLgSbB8Ei
kalnYM/7LRzd6UElCDTZTpW1kGIXFdh3glDlnM7PapmyRilkK03RAwxXdpt/bC3fz/kK/EG2nt+L
EftKTb12stmx2bDHEt7Lc54qpZreFvwIAmHCVL7t3U/kJMbPQsLbOek8b2EjLeuzkXprT8YDebvO
lrnNqwgUyfW8DrKJFzmd4Rykz8tI6KmEhXM78jS6j0fPwHZltl5bTeqxxLGoiWNuvy8GAQs4YvFU
IRY5zQ0prUSoiGbrgx4Lt10L5UBqa0d8LUdYGizTVlTAIjnO33O0mGud4eJOAdGQ552jSwyP9SQv
QwR7ReGhdCAnR/WAXR6bf5+NSBgNqC/wEfgTdp3+bI4gmllE9zr0LX0DaOPPfqTlZSXlfM5FPjxG
A1G1nbPuK8zQl2kgOEnh4HbOYz58W128rfDU1vVbQri6MXHCfcXhaxc1zBl2wwUsvrEl/Mx6b+uC
xcmnAceSG4us74+xS/K3kbf06wij5M7SJWlSIdfrJLThdc2neDzWNC+qZCDyPuM8Qd2KxfGYhOwH
G2ccxMIyH7u2j/X7aouoRxam77FDzTiyXC/p0q+1Vr1HyGnaEbaDRT/QOpmwjlQZeJX0fhI6fu/A
+QAERhYOCcIp74p6xN+tlyzDnOiCSK/nzMR5gyO8nRRqrbG9mcW6/SVwauvqUSQJecPG6xQQ3cLZ
q2gbs2YTQ3TVyzR+yQbWneluR1P1IRKf0tQP7wYYNbYHnDzPq4FsWa08Te5goqlbEXY6AbhESXPn
tRHvCDT6vtZMobDt7eR/bFvAs4KHEuc0I9KE/UQMDD8sB2tPy2CTG0gYCC653u8o5vPU/kKE0vIz
cl7bLQs4v1URypGtQZA3ShFkm6GXkN2mr5uepm+5sL4edaKbiUSSPBiX0+cNp7zyzDfUcFW2uW66
OBRVN1j9FnfysgNrIH2J0lPtGkBE0jkKW5QnEFPALKXipISFOiu1wCQCYTV3AxvtuQXcKst5rIcR
RRrSjjjG2poH2ceoqZOF718XbZbxU7xSpxucKviIJa3M1h2hRgpkKFwimP4L+5SZhBfVSGWffJ+Q
UYmW2kaFB+2Bjj2jJ/djt2ZrWeO07Zk4fPRZG9injqSh6ZBaLmCuQwljoVls4PN4C4sbkg6iVziA
icfJwu5JKg+JrDRnZYTsv7btyNa2cXhUcovlO0kWkBlertl2blGrLdemg5X7Hy0Re0lP3Tj283JK
ZaDjMydxlNuLiIZ+WxoVWESGxwHmC+4Dgty6NwOyeIvzFhIhLv/XHAFuxzjqYQkNaCiffk1xxO2e
pcdsfYtEBv1gm0rIDFFMuRe3YL0JTsIp1nGchPEc7qCNGCc+u0At3fG8SYqs2jcjXAereSlc2COc
bPngMmwRWI63V9NBUCjuNhSU/oEMJQmsNq02crzs8Jdxt7DlId7znhRmsTOy5JsJy21icHl7hdZO
cazrLAX3xp+TDWmT7JStwN+TG2KMhNvdJP2GGgdnh1aeBQxOrMcRUqpjOrX3AEsCSndRYsUMSNXp
rWCXfsvnEMS5YzZOZI/4gDKA707t4lk/nYRzbC2hHSxrcbej9CtOPJoyDkPc8lKYijJZslMe9oRd
VKzmV1GY6SXaVxDkCCiSomIGzw6gdHQHIMuIKgvKYafGE7g4kL5WxUvuqz2W22eYLSb8VihvSjDR
jylJ7VUCjutuJTypxzgz9wMNYT6JZN6uN1uSSwK37XkAp5FfS5RwcN8XERgwdTcuF7WRuN58IRyC
CsSOP8VO+Iillc28yrCPmmZL9vCke1CXKBCi6YQKFCdEPogUuErGtrkBE+zfo537ICraOkmfChjQ
aYMOZssPhZCEArttcTRY9ghwPVED7U4oJ5S+Mh2CKz/byB+KCypqcCb72LVneFyWR+fZ0KJ8MbEs
l5oTtq7g6oi+onrNv00WbQ90nfO4XWsIiv1Bx+RBP8xFRpBLJKnZvurdKQBfSvC5QxytlBYFEo1v
GUKA5UOLkzfIG4k6/N4Lwzyin2N+yscMAZZWr5XeTQphGuSUmAPg7GB0Uyzgyao82roLNF/cmNy3
QPZ8Ia/kEeWuDQSz930AUicQh/lsIrLiOkFKZ1QgU4Wb3bASwNtpMKv7FQGJgHg4iPYuwjKs33C4
dN3nfJjVUXUlcX+FCia7USxP+3cskUjcJJYNT2De+L2fo/ZnCzZKVIXb/dXGuYEysu+9B7dA3Evh
U/PoFEiIBwELUFYun1espvkMWHFMyycK+TBvymF11xSiRd+4pO3/ApgPDzYdNbta2DDU0qn0WfJ2
PW/xQr5mYLyqMvd706lpf2aJ3kMF7yg8wI+O+yY22sIQmxahq7K3pb1uM7VimV92wDEtR9yjcMAz
KqdwGq7FAqLoDGo5AbaZwJRtWouEJDSamUOF2UTOTZW0WqIoWIK+T4wwd21MEd4jaSuQlN8m8cX5
fEPyeFtwlfOY5W9MdUWLaGzHPsnoqHg1egQhhhqF0FeIdpQwFkbZdw029MFBFrLucZ+hAFR7JkR2
Gi0Shk1C5v60S4/fQcRPX7eezKKxifiP091yirn2tdvS8C3HamFv/bYo0UzSFk86VZvB26WpxIGg
hwo0x+t9MvH4FljZmL+XEQ9zpSgvb6Ooi9/D1I+gXoV+TGY91LQv4u9wFMxyWnRehrpP9QC9GYhL
aIwLoF4nBd7mZLq+mLD+qmRC4jMO6XnLXPoaIeXjH6BcjcjLsXUO1QRi7ltfLm2ogH6oh5WXmpxy
l4Li2ctYYcvkJJ1PMx26L8B8lauxb6KqQ33edImSxTFu2SeXOMjQSbzyhwLxQGT6FW0ra6ZviZ7X
r2pb16pDa7SnfMNjU5StxZSf1Lc2cqRFbeWjGnwTvVcG1oiG7vK2tCa6VgMe6kb1Y/5pM9t6swFB
qnEiH++gC+RXESfFKxRjsFft0mbvIt6Tk2dEP1kwXdejXo+UjC3cUa2R+TotF0g8udbFlU66JWvA
1qJwmvvSX5Y0ttMTSIO+URC3kLjWjNUySQ0SYSW9XcLancFT068dD/5ryTeKaKkhsJ3T8TQXE/8P
0AHSsJRtLwXK/QtlnL6vrR2/EvxKWkUeAxcn0Vc1swIhmai/CNCWlS/M93Vet0dhSEDOdFsJxXOw
P5ZtNKKioWy+YD9A6sUUGpGvPL2FihbdORmrvwaIHcBhcVCR6H6Ddg4dXV+jYmLPQwfwqGZQ9a+F
WGi6VoObQPL9CAbqvzqNAnqQescGNc62gdHNQ/4VJ9p1Fk+K6ZWliJ8BSPcnjQi1hN0vwY6ACPNh
mCW8BuTP1k8shMPsdbE/zN5kJfBAr4npkHW6RqAqbC+89y79kS5sHa/A588bqzlTZAOsZ1PmFBav
scze8nmGgT2UtAdWBHyQ7igbCxIQVBszRfy1ATHJ0yoDDXJmbHHFW7Ysh8suxTh50Op52qFFAeq8
ZYZKGrK2PUnJ2tVe+xFl/HD2ARwJHhqEeFhaBduJ9ReRUch1k0HWz9uTFi6MXVftfTsCcED+nsLc
wBwEM31ph3Yn8rNNig1HmD7xmVKva+G4HRq3pwXOfXGW9H54GIZVm7UBQl5k9EREYrR8N+Nuaajw
V9DfoXYrQ0lW7aLDynDFwYIMZQ3F+rgSlrWknC5d620u/zJRu8dp1fMCEf4K/eXyzN9Gm8aB+XYI
mk9Z7QnYXfsvDMg/3X24hmjClcHfR6cUmHTwZP7pzfVpQOap7fOf4yoOQ2PGbcLtn0fQzKh6V9hS
/2JU/hOsON4RqAnMyoNvOBqr/OEQQ5xDT6KuXX7NH+9o+1TgoJWki4JfrfOOGVVvlvgorrse6Tf9
L5f8h1MKpiND+YA+M4QmSHdAa//nNaMqXaRdrHjLIa/DoREEThViXNxgLa0pkrzHA/DhDk44Z+Jn
5jd4ISg/PBzvtiSTZ+OSf0cf2PHm/88sPT4cWtIBOUBgMSmgSP0xPFC6NXa/VbwJBd4AijBO6+w+
pl0SbhNtAs46JQ6J++uMWR7yCpEOJzsEW2OXPbVy59EVVh5k5tQhsTwUPTotwU5idkaqczTpYWSv
Gkc16EjHse1JqGHcX/cpG6FXkmk68J4ePjWs7BVBf3wzQTskJFRn7+FyJyked6TydtJuRSNQc+sz
1CSP3xqhbgDFkr/fvizaCJHdYvXgbasVniQ+eR8tB0W1iXQev3sNTlycS6uoRS2x7tudUiN8HmQl
VHxwi3z2Vy0DhvRtKRbOXlGqUpioedGCyLJwlQFz/Xe3+p+Pw+/Rz3Fsw8REYg3Ng/6YGlgd0XME
mu4bcrka+6KPSY5ixq3DOl2ja4TDFP3v7/gntxHnoDZiGA7g90A5/fmOWhHduTlx3xIUnZiMzrDD
G43hzQNzyqyElw9RHucAaI1m0+19/mE9/vePcYB//5h3CRo54VFHOiwm6MCR/HHlewJZDLrl/Dqz
Zd6SaltNGv3CIUqC2+hQwtGT4vnaP1pksmECC4C4LXogbTEgdaTU3YSjT9xKNO4qMgSQ1VQExGto
Zp+2AjxxLdPdr7eYRNB4BlgEh1PFM3pgEVjR7dNqO2xP13wYt4ORsCxNPsVxnItQJaNKvP3o2PXR
m/fx45H6/9NdfxIgaEVXEIBZuGpcbQJ68p/LwJjxbnFS5y/WLAS4H8S6GLif3Y95CxSZsauOIhEj
UTGXh8YA2P6YvRE2xeOpQD+RmD9znx3fjGUPL/iqF9j6AZNIJLHpWSLYhS1lT8OIp467+aAPaShm
PJ05lXiM/uUm/jPvzBBvLQCAAO9IcQfR9vKP1VzCh9/XYYmRnu8SPFubaI8PsEWJOR7d388xGokE
fDbe+eMRx1p5LClKSCA5UUcBPFKfHt9a5ajH70Ccc7RqcqADoG4FqF4PXHq8qu+S4xJDO2f6PEa5
Ss6iUDbRdQBZg8v9l0v757ZxXFoJXByJcVqQFK1w/7i0DcJhPpk1vCSotTD8m5KYWvu09+uPjRQj
9K2woenUax4vB0k0RyvFDfHZPLXhtM8Z3dozOiAZ9wKeT2E4oAgnmH2J3bGaLH1UYooxN4ljdTNY
Nq/6GJsPzslgt/CG/cYJ/gUalWIoYAFjKLYth4xQp/Ae8EgcoXz862N8jqVw/P7fB+GPZ7QAWAUO
LUdzCQC65P9AgdTtLAuZjL7YOQfgff4AAeOu8HasweBiV/0XTCr+Yzs63pIlKYkJtiXwF38iqmRY
AdsJn3/RhmKGQJrbMKFASWF82CAYslPcRXCJKsSaQHVcTZYvgLuw6GGUnPLT9ohUCopE6HqswGKA
B9I+wfrBq3CMxYO/+QUb1d+3DfHkBUPpp2LBs4Kn6Lgd7eiPGwER6yjUyjAAOyEopvFJUqhd++uY
wVH4NzoXPSH/uSbi4o9NAIsERdD1/7KnAOc0jGD4HRCIsgkBTzMiXc0d4u8PIAqYCifZqUwUaO4V
lwPy1Er28oZMJvFpJcCFRbeqnSN2Dx0CwRDp4Pz9gAlPrhw3LGvGHDHun2yYdvU0r9mM9u8QZt0n
ZinBKbsYlhKxegQgmUZjCJdCkVCy436tspnM9C4hipYNpKmS1oPfDEKoaMUjkQzqFquAWrR+tHgY
7K5cmBBmSAc2nMuYGvacTVtgkGQ9Nc5cROk6ykG68RYCUgdcaKrzfXL7DgAYU1GgvA44jkNbHbKz
LfMWYvoc+f2Ly9a4fzVsaqGysS2mdQDJu4YKjQN02ZRHZKtuobNdof7c0PGRIFTOETcgF+poF5/R
MqboyEmM68xeQmrbMUIyFUDTFw/ma7uP9LZET9gxcvMzVVmmXvbctssK232lnf5c+n0aL7wHB37e
YdTPiHGMaxJ3dQ6dWBbvdIZB9LOLwf/4BlMlyF+l2ZyDdzA5TQfIJ4tMiwbEZIpOW3yG6P4ABiYa
xwukY7ge3a+uWBIE+2tPk0Kx+z1ZLaY03H+kh9ATjGwZOS0LIl75tSl53013S+pHgGiDbTdn71zK
274/c2BLJn3iCzTF60O1b4sz5kqG5JWw+6GjTrroXQnjmGU4jXVcQYy4dq2OOvQ46GfsNrB5oD2G
xorepF/XyED4vMbkcBGvHRQEkNhGoOoq0XkrQW+fT1Oc5/iyfXwz6hFZBNlWgn8GwLRqJt93g7ac
9mbIFJTzK+qjKM/rMKSjyS8g7ug8VSmzx74IKq3H5bRJik3lu+cBLV2REevKtP0UnHAif0TDNJxB
z/mYRLG4Hk0oC/spAwPSl5Usy4PezhU6R42vect5tEOVmzRGKgoSS/Y9Vm3ZpbdRwlU+3dFe9nR6
HAYHwewE1szp9vS/6FsSHx8pWJzI4xNpu9DLhsCLU0WzINeULl/jFiqqxIke2cwX0xZS1grEMEY2
LkyPHaSG/nr8EXx+lCwV0oFHTY9wNq6+Fh08o+w8dO4YsWTaRnxZdbdFz8ucH0s+s1tb5HXpthUT
YIcOnV22Us14nfi41A4YEYZPDsfJCHuJ5ni3qaMQ0BcoPbgvVLAuTv+ikz/GeWEIFW1NZCKFWxEt
QA3YL7igJU4cqu9RadWuoCGXdV90qYlwB5mR5nUbFtMvGK+o21cwBTuj/r5A0A8fpcedFjB9MbPw
Dgl+JN955I8JlqnouPNQ7/E9dDM5hsZaBIxhcm2FdPgMdtF42/rv61EqSeQ7ogkdvpeCqUPwLGW8
RDzOlUDlK4F8Lsbi79nDd32oCvkQHRcHa+f3YCBUhLn3d41bpvvBU8aJThGqJr2Knv8e6ujj5f87
yB+vA1ONxpN5DDQir+kCN/IdLShEry5IaQdctIx3/F834CNC0STPQJXbFcnQjxu17hAdoABsAYzc
NZThALGBjvD2M6TTzYpRsvE84SWxKCk+FYBwbstqJOEoets5BcBXQ0QgEjLe7xFc0dwTVyg/rqmL
e5zR0JVnyRy9gghzcMzk49Z+TA+QRxPGJ4MyiC9pPh0X77PQYZ62FLI1CgnWZfhmWEEJdC87etia
DXxilxzD+zGRdhMMPiUu8vgrtFeQvHE2yxPMLr11x0f/GNBodzv+gZQZmgacIpIu43ANqSH34tKS
NMZvux6KtL37gEeFdri/vQVy+U6zdsH0gWU4HxevLIrdTxr08fEHEcHGF2bRBhUjspDjcZj39Pj8
i8nazr2YI3bdn5cWgO1zJxPaJlejDjndbpOPudIPutzyy99DDm9R4eP4D8oUO8CKNx9EP2KftxRk
DnlB5TYUSBnLaEOrL6LR1xfW09DBfYMDK5ACmeBLQk744CzzFbItSGPsr/jeGEyGZjsjikUfbpJS
T3692tBbbZ4R5WMTgtpct9CnAEAi/Q/YT2p8QdGYTg+IzeO/AbRv9pYSR0HnSqSepgcLTxGigFMD
3p12UKJes4WjK8OJh/2Y+/BNs0OXSqDkgbBU3WSK0zRji51PPlqgxUKyxFblv4FeHbDegCVex/Hq
7+ANRO5ODWfTTTjv/ghMsyS5EkOH4bgkv58ZNFGeMOoawBHfX5OuWN32AjKqc9kVbOnj0n3ZagwR
2qLtI64IXfR0esp2cgCqG0Ri/Ix6ccwakP3HFP9ImhR6dPhtauLjerce3W4Bk2OC4/WyR2gkQv59
hy9YohnsUqLJXh+y+T6ByIxXZHAgMaltajSyBx8iy07TCVCyWYAmx9ctlzv+xv4RUuA4lgOOlikb
oT2BDsbRd55xdlrqbYIwkd5C3z+ep425HnGldiw2LJVJxqFDP2hIlBhmnPWOwTN9ckgFsUFMfXkc
JmjfEFTDhKv85lCeISPp0IALjUzLZDjiHMCesfwgF51kMNwA/Ad+8nwAXXrOnEgn3UC6oBkD94kD
7htr0XkYFjf2atz8PWI7rgrcxrFtzCk/xhyuH8Xk+xjJYQNw8JD0pAd4DR1x5vnncTcuelYopqEq
7LCoszest5hfkUOjzXAZGDmuAfBxhMUfx8tDpZrghx5aALoDOvGWlegmQt/RDjWbHrJMigAWIobH
GP0H2NvgOcTRMpnSSk9ICqGF00Rz9Yrshhu3L6SVQ9uCUw5J559cjtpG/ixtbyUweg7wGmwyQPi5
rKN41+PrzkzM1spgd4BfvFG6oqbM8xQcmsEsn4cyri2+CccZbb2Q4fPN31fycS+lAMWYgmJNDhSe
/2bV/4bpS5BDmHWo/o+Ht9fz8QowURgzPvwm4lNKIrwC6MbxQp5AnZhPOLkfKbB+4gKPcotqkT/s
W6DiBEDjkLHxqY6f/D1l/4bk0/z4kUYdkL0dy2nU1soH9GKqaKxI8Wi6vEWrBEcQ8n1jYedlfO3k
cjzlbbQfcqBGog5fGMqy7RpIOeY3I0hqPSDhcXzy8TffXX68UapKbGkwAnCzP05sSz/s+YE5wnz8
PH4sWODXjr8sC3rEdqJJHiKkRm8CxhpEuuWK/rwICkTP5kMv3Rzyjvamj9ujjOuYx3vkdjo+lvn9
wEXriH0EQOJvCl3ERyCzgdN/zMn8f9g7s93IsbPLvkq/AA0ezrwNxqzQFJpSuiGUKYkzecjD+el7
UVllV6r8V6HQNw1024AND5kxkYffsPfa4WxkycqOFVP0TZzmi1Hg5xeCY2Y59DLPWdwFlhJaehEb
Zu56fzP4+tLQM8vhfOAKZr/HRPhPBhzANxSnmTTuYlATvGs3ikbuhqHimK01a7mD4F8vd1ef1Mt7
/+teepmj/mHOurw8c280R0sYFa//Zc6KPLrSBuUyqvp5NKbMgJfvH2VhfvXXL/XFasTdpCPw5bUY
WfGvztLW/wEMOHhZzbJXlL9fI3oGPjSoZWhZ13CZlived+JlCN4lKb9whQyH++S3w/Gv38uvIwRb
17l+PMGw33FNk+vc+PW9hL1pML5No7tlPu+8JLZY6nF2ZS70lorS+e++5z+/INYfBgeO5wNRsv0v
c8UsbnSRF3p4/ikgiTKe+Af30ybz25391x9QLGO7//ywyydkdkvWBAJZqFVsN379hGOeWlHZ5s75
txNjQO/JRTQhwrTt7WgpD2W5DOfmthvQZa6LrlzO80+7lKZmi+fR37yjX6903hGtlOfz8EJlzc7p
q4Fw8nVtcCezPkNjW26qgbqOe3zs2KnW28TrE34C1h4Td6Zv8nCgtNDi5Y2wfKu7OehrOvutjRrb
5lGOdQRCOGpy/u/cH6G4SqAcmnUw/HT+yZ/H7F9/iK8/Iz+cpZuke5BjBDPmK/OX527dGpCZrmKV
LSfT/FkISWWX3e2keZ1FXNS/EWb/ZTr7317P1vkhl38Ap/4ynHVHqhHD07ur3x57YxSjw9MrTtYK
j0wS/aPRmq0z8idSg8/HSgpk89fjwEQmLMo+SXncLBYqiuTl13CznPuiVPXywPjrD/jr+cN81mf9
ZHEH4ty3mGh+mWcighqThqXyHohek9kBm1HXfHFAgP/tLfjnl+KnY7vneBadvvv1sxWhUUxd5ET7
n6VIbzMd4TqCksS/fX6qf0Rz+J/SK/4YXvF/lJWxvJv/y2IwWB8sB9G/r/A/8Rzulkib/xW8NhXZ
cFyb/wE6/PZHfw/CIB6Rv4plDOvJZRvzO9FB80y4DTyvGMj+TvH7HdVn/wtZE7Y14mAci9aNa0n9
jNAxycjAcmPDrYSFYrDy/idQB0Bcvx6ubG3RlnFb8neyMuFW+fVw7VBMlk2aVHuW1mLY+HFmEhVQ
QgKLl12eU0JbDcoo9W79xJz7lZGUydXgsBXs89jz1o3ZCWiSifnkYNW54cFf3vXKCWkgxHgjZ3OQ
e5cTcC8btHwr7iH7IlkY6m5WVghuxswp1gjR0MCg7vXNEzDu+CoTFVD3nMfvsZvrvN7UyOSQf00T
KOasc+JxjbOn/FBFx9YJSY3FxkJZsB/S8SaLQ2hkFfbJDTIB89iwAywQgNtluuakM+JDPyrsedXk
XBq4SIiRMULz0KHDpJBnYwXaVC8BW9X9s17wpliAhu07ryLAzlglQ8OwK5W58hBzxvzF+bTxJ9s8
jCF88YB5ZJVt0NkRlgDNw91AgSs+En7wvR3a441T2kO0wQUavs2OzUw9Q6P6JGfN5e/lnT2BsVBP
5aBnZ+iE4w1u2Ph66MLyXiqvum5V008XY41HZ035zu4tjF0PBVGBjSfQBePY1RxL73bMeF81hFfq
UhGGBYqsBLW1lY7u7ZzM8kVEnncT5uCGYefxUF+HlBDl2s+Haut6BfCj2T2MspDXyGP9GxsYQXxK
kTzsFd/ftq9q/4R4ut7NcTyc4s43tmPc03onNvJ3IWrvVgP2DUo8Bhc7efa+EIBjAcGK+7DKrAPK
ZvOo5Qkos86trrOm5qCerWLaOG4qjrB9hqDOs84CoGvYaj9rRctnFubWLJP6+wBk9nmhBjxJ5KVm
4JNP4QS4KdUbXZa3wTUKCA91qn87yoiCAXTuHSDZ6HY05xGsEBW2H9i9+ULKhlJYJTWb7i7Whldv
zlB0K+GfJGq7aMuTPDpaY1om+5CB2nzougnieYI77GSEGgClwXChNOmjV1Lkm37aHlBE2sxYBtmd
XXJtslNsjv6N9DTBypCp90MpJusyxuc6RAjMEfKuPBQos41jBHDZLhon3Q/xD6cDG1ONL6LZT3ZS
ec81qMyVBm+uDlAUmiG/jzb0K9Yh7LM3kBi8LVLC2ej2mH+09tg6SJQOeV1PyZMhKdeONv/Afsnl
882F7Xg3DQ05Fll4yUOrv0j6Vj3FdXHFEDA65WB//R+preH4WhlmUVnaEQCRW65dI9cfWLegqpkn
jDdzO29C/JFbneHXij4up5WKhsekRUqo+XF1qVAmodZpz2kn4nWSSzAbbsqGEPhVPDw6Thg5e25v
7b6MzHAHFWtu6H7MQgYUwRI/goGECVnCFpCyit7skvewn/RkxIHYGd16akdUNp6eHqoOVREornM1
o0NOVXhIe2SmPvqF40BVvnFHVL9Wi2yoBg1GZIb2ZgN8rPOwCepw3o2eSHdTYgjsOa3LNGK8a0G4
rGkld16b2o+MRPDtdV2HbaKrrgdPh99kGqu+gVevLZLfyELa3tPLclQ40TYsVaCAJFxAO1Pv8Kzo
Lo3wmUXtsB+HOr8rHQjUaV+xcl3kw1au+huBHH5bs5FGmR9PO4uwrKT2pl2Omy6IY5UD08gEmyD+
lADaHyRNA90u8+bnKoQdOeXu9Syby5ZZUiANWJeZWWEECEv8vo6mXzZNOFw7Kvfo0qvvIBbrXZkI
b5OEjB6IfEuBVNkqqJiO7OcK4nDe99oxLRKcYgAnV50bvVSJgdZTgCfP3Amtg99V0IOr5gkf3bAH
y9c+pF3TcmEM2i5qxo+ucfLdFKfTpm0Gcd8LI3wxMyYAK1hi1rJIgd1JwrB+6ByQ3nuzsOyLsk5Q
l9B7k7UUVcjwusw6AiLLg2W/cdvJ2N8laBLWabHsyG2r4KpwZvdqUjVm2j6bk3Tj1Ul79vElP/o1
CkmTwc2GZ298Nfte/b2ssgqAOO6yb5jyi63oIN5D6vG2hWrxucy9fEYNrD/5TaRtWsYVQcV+86r0
jOoCX1KzL8zCu0V7UV4qZ9Su0VawFakLzER+3W0jBU2xMUIxrrqxzcQRX0d08rPCY0NUoi/N24SU
tMwA7byqnQRO7IDe02aoGfSGMK9MLI/U6vGIqUSWyc4lEW7nSixmrBfQXEIAodfotMdW6uqJK66s
10k3yAvdbM5OmFa3JPLoV2aalWuv5Zvuci4Da9jqOGJYhpGsZBhsHXtloeMM3fTdVFbx3hUNYRnM
q+ld2nCweQ4607F0eWIH6VTba8dOxEMVd/059jPvDXFktJE+FoA6NF40v/sAlhZ9cwxnXGmIOnGm
2A8lHdEl91TGZDvrV73gnJunOnyIGmtHCsoLAMUfQBjsHSuRdjWHM6DWZPo29ZPPcLiinHeb17rI
2Yea+iGLx2zTCEO+RyEDqyzVsE55Zrrvja6sAmOeGMo5objJFYjeTA3ZbSmcqzJqyxM5HN2maA0d
P1zUJ22AbXeQGyWK+Sqiv97IQr11iGnJCqKUor5IZhO5p9nne1ekM9Z2nWGDvxyuAF6XYqb2ghb0
+gpMhLmJyzB5hQBwrxlOtTaHWn+JDTfZVyxi3hvRnLtefIQgwr0mwYOquc9lTrRObbfJbsx0nNtT
OJ+k3jGuNOvnKkKGPuNlHMos5OyUctOXNe4n9Nb7dJyKg9nLg03Hs0od8ZAgjzyxkgNpkjhiy46T
PIAUNLPU013T4++u2vHOmmOF5yguGdPYQRen81tL/QlKBCgy2Tp9kCgWs6uwMAGwTmW/sZ2qRaKr
iu3YVQigNe9HGBnf4NyGzzqAxWvTJwOt8OzbWrRcV/aPwijEIZk7jGtxIi9kSXBWVxvvbjEE1AVv
itFKvO54S2yC1LD3ZJiuFMjYTVJjFuo9J95RsbhnoU0RiY9DukWSOl6zFAxvsD8fG370Kmd1FOu4
mZUV2K7kEhVetJ7i0Vg3IhVXpkwfmFQ5RJ9Bz5NDYncr5ArVuYu7Kkjhtbu9w6eLqpXFIx2yqXLW
ypnZySW7pdisRXkNazVaVmTY9aoPO4n2NXumVazp18Ber2dQqXncqqBRWGxl8dLkPiZ9Nd4PqruR
or2GaXpJtYZJy5mJw2jDEbtll1EDgkchejFe4S3CmWebpFyugALYpzLFPOwUdRnEsFyNybWR1mfF
fGPgVfqZtfCPGr//J/MPaa+Y9/zPjd/lK1uFr9mHP//Q7y0fCagMAphy6JYO7uo/FD/N9SGtM5Rg
Rqm73iet7/eez/8XlgqiCVke2ZQJOtqV33s+918e4zpBi+IyQAEl9k96vl8FQDYvz+iOoRokLrhv
zle5Lsq4lMS+bN67kbBngiKs8hSN0fRQCG7xCG/E30iOvk4reEHXdOlZ4TKZSHC+DEbwlrFfn51p
P45pc6trfR84kEd2f/gR/st86deZ7OfHoplaGmIktn+Gzre20pFWxuN+amuEFcZY32ZVw5kFk3PD
vC5fCdUMa6tOtbNiNfLw1y+PeO1rJ62zBV/IciCb+JK/svfoCDz46W67hxCa44tlTLnFGarvET56
pxHm3XFMx0bhiXfBwsjQDBUyvUTjBNBN+64C5x9h6fSmSzVwOAIKBo7iwecghS/j/4u5nubKzDXa
8BHRDnTUUE2s+7xp+qjbKTubqZdhV/bmPcNGDJGuUx8LesxvYVKzf+uLz8pJ4FWBs0DniZJy3uuo
/+4d05BXzZCJewO7ww1HfngcHCVfvaJIeFpX/fQRKz5RX+b9Y97B5yaRtjzh7of4FSaeYAhqlKc4
1KsXdobyWQCh0envE/+kyIjCFueEZ793aeF6JfXqwFcFuypaptvATyzL3PHk5WPqrjI27pwYPGsn
kAlQ2a7tei5PFXsRlPQRDmjpJs1thbeS8tqFvZ+2rsf+J57R8Yz0aHoxrM0waY4ZnrNbVbThce7c
cefUgp6knXk7Zts/pnrRP9bp7Nzx6xgbxGlAhgwCzzpnrH9M7NDhTwquoaGcHuI2rJ6hoPPL1LLU
987gcw8NhCaZbemfHIjx+xpGycfQyelBb/gjEO/Uk1NxaIdjZB3qqBX3rK7VUwqh8rREjp2KAmsF
tq3aSldIiSiAnW5mW5PnVB+SdE1YHcamqo3sLJ3YZ1cXOUFqVM0PK+Q/RhkYuSBKDTy7mO/I3EU7
AmGZ29lDbLFzki4/QK+RV5MrB7ivaR6vFX7TcqNT8x8YKXirlqklGCCChTQRZudoAM3neHF9xRpk
YeJG/TtyiQUz12bbgggpDg1RvSRj3T+GfjVfYsfjrzJpTyAJeisx8ol9iBZXIWK1wNFq+xrZXR9Y
Pp/FsVKETD4zgT7LuBR7lG3vIkuARSSGdR3BMtug0MBOib9xXRBCB6gLeuPHkEXy1c19OxiHME3X
7agl5bqKQ9zpelj/gPo3X5ZDPD0YQ5Hs8HFmoOrrbEtyQvumUwjdwxAf1oSdzVuh8d2qiN8x7Zav
erlE83Ls39k8Z9s5m8g8rmd+Ccup6LoE1z8EX/mcR254zFX2PGiqO8ZJU1xH3gdqYx2ftYbvna19
YRxiZb/oBrwaMgy6x8jg2lxio5KdoVfknlr5C+q3/r21XHkliXw+8Po9yY/8UA6WxG1YW/JaFqZ1
7beDfd1NobgvEyWfO2quF621uFpJlNzSSlQvZmGTEIio4W70Jg8SRuphSimH6hUpkyqDhPXsym/8
bP354byYm0BVSjtj9Czb9cjy8nLwJoZQSsvOU9XSjxOwDI6jFeGR/UsROIOe7NvKYEY1MpDa2cy6
f0hkL/xMBaKyYIq9+psgDfWU6hMjdof9xVXrGJFnPHmZLzLnua/Kof2RQIB5TkRZZLjMzblEldvO
GpHOuj50l7RQoX0cIrOzzmY2TavaGqcH4U14F5yO0hRYWLOukY5suQ5ZnrToNDHCjy1HU1dedRXc
cTga/tHSspuWPe4t2JCzZnfwxWSxhcFt386NzdlJzuJVY0d3oR1eFdgx12RyRfvImONDYWQPiqnu
Bqh1t+ms6TvpdRjK+u4ti43ioJURdiwrPqDZiFal6OSpgqK9yW2sYgrB5Rvex3oTJQobYR1uSRQQ
R4Qa/lpMjYvayI7WkYySK0CT06Xmy37C+RoeEbMctUzSseU1pjDph/XBMnTCBbQRU5se2ZjeMuT5
RZ5/RHJuPRRCpbuDvzUFvlWep9JNNgaW74s0jiQdaDpsnZgbtk4LcZFM4bjp8HEcZjQ7Ab5L/aCj
rd4jPp4C2Zrephow6UjT47YsGX/EOinAAO70iwGx376LxB1TXH/rWK46iRIhwsbgu/+BAWtg9Fb7
mLeLmd8QfB4xqoZMXNyyuAKrsDl1yoDIZOjdIRp8QQPnO6C02Jitp1D9MCtEq5Ed8czjAe7B7uAx
FxtjCwvOqc/LGmsl2kxh/u9iSNqZRriHN754dg+0xSQrtwS1wRAvy57xY1YueBpn2uFahbnrIuld
Q7NFQdpbJqBns76lOvO2FsMl9yA5X/X1xCHCMChDH7qS3FeXzF/kxUDbSeKKbhyMUaq1GcfcVWqD
h79elcv6bmqFfZROMz7MgwlIPC0AVygC0fK12WvVkVnf/ApUyD4YUzHf47+rogAD/X5EJXcAdTPd
APOa133Y1ceMYIfAMfKCy52WOIeNs0EfZN26ysJ0E06iQ7Y1MMyV3rbWYO5oPmS0AQXGmvlf+s11
SKLGfzeQDbIMZ/D1b4n0QOQRkfcoNJ7l2IkPCT44E7Fjv460yH/MvUjsGMSKjWNW8cHr0Zn4Q2hd
VoCywBUO2rnAXX6FZms6QojtcbvZfmwxX26Kdyz4V3E4uyd/bA2yMwe82ivgh/a6sOLsUqpZHGSM
EpHgGae5yOfQfIZQhXndtdHsr4wBSn88of6hUUv1d1kURU7qTemMaz3V+8OM5iWQhdbsACTZz0Pe
JQkRMUkK0y0ioM2EangplNXP0UqUZBs8+72OJBuXS8KKsVTMksYy27qx3X+vUgGvBlUZdYGsb/FA
5WsH+1i18Uh4uCDGZOlxJzd1ufyK+ABotTn5taosRCUK9xyChmQ/khiiAhYn9vUEdHFP2yy/G0x3
6fgkI1B+Gx23PCVSmpo8h3Ix71NbESpihDaHs2zfPIBSkpwPo2JimikeOJJT+KPMc2xYkxaeZeYu
90BGmeCGOgHhkU1othsTvVnH0r6ek0Q7a5WUfNzEjLcdbn1vHaHLArM4FTFxQ6P8jiF+lpsY2s6V
mHk6o5kjFOOz+IKXwfJGTOoN1UzqrQ30I9TJ5AXScE6TsaEMRU8BqEatloIRlzTBEusUvtTBdJ3y
lOO53WPcHdaIlziMm5TgvEISA7yObcXDHVGTdi4jv3tMUG9eI7fM1iVZiVfR/Pku/PqbSQ5Hsgrr
ejmU52L6ID+PWSTp0fnBr2txwzFYvpnSqfq1FiHwVZSJRyda1klFw9uZlJx2MRC6xzjR+e1ErXll
oBfNtMPLMl3ofcrn7/phDclm2lUUW89SsYlAuUj5CxXk2W3H/GCAzlktrKR7nHHThzdJZi9zWEFH
QegskkFNq2mZ86ywqeWHDGD/7d80EV+cjEsXg4LDo2lkM2Q67le/D/JfU+ZM4/djzVlCPIVMN3Xh
T9tqGrkqknJY++zJPnpj6veJZzIIF8arl8qngYn5JgGdtdHYL4F4KapLkBPWc4+N+JJpVXahs816
MSzmZJfYiMr+oolj74BlK1vrVjJvk5EvEqpLSnJsYl/rIgbAgqWD9MPCP/HgnrfliGvRiqmimroD
dbX8smwItXMfNc6dBk/qo/BQoa6M0rKgKSiubUQ71BsDfruu48KJw4paiSaFehAQCmJBiAgl7JqC
O+CzRhrLub4tczYeK+Ev5VJGIUXUFFEKJDjhLMzkxhhDeZWZwjulXc2zH2pfAJKqf4xmjV2Pbxv5
C7vJzDkimHTJegiHiC8pSSKOAtWOGzsiRTPopBnm2t40CVZBd2q0bBHXfKDSeMQnI0i/NmV2cJ05
jw5kdiTrcF7+i0WfGK51BTQ0CBmpeT00K8+4gDut3twcGh+nILVUo8cpWNQw5hNHpU9aDhd/vMpH
SijUeTqzUIor2hh9T9fDpe1Z6klPKfENrN+BsrUKB68v50tQa0WAclx+n9IuQzjOYLDrearp2TDv
w7mlkMMaj2w8yV/chrp9HoV89oac3PBmSuDrLd+dnxGUc5xnvnxudu0MVdc8CG7Y28zsk12YxW4Z
kMSTH1rbq16ZXVav1gRaqDVyAygZFqit2XrNDR2Ad5pqGK3dQLPl5CU7y4IakuAL84CdvHppl5q6
jP08iIuWFZk156gMp3zomDJGxaFRKdVi6ZoYSxL3tjCb7lFHmboxSqN6taEw7XSLylYKupZ1U87c
eW0l1JOR0sjXdS5JJUxIoSeAo3rF8uGt8XhTkSLDat2gsmfuEaV3JdsRwf/Y6nP9oyrRi6J+zleK
qhyutzXvy5izCPkN0xBj4FYf/eXoWrzwW3tyl9WqUX8bJtc7iYH2FoOIf4qEbI4JieAnh3nxruHg
2pW6YQeVV/aPHnF7q3aYkp23dN6+R5lfsJLZQ02mM2Nj8OFxl86gz2f5zAr8ph9diam/pc0BhXEt
ShhsxRA7gUAfAHJ8KViWdz1aPsMDL6m4MKp8+Q3MIT+I5VYd6WR5kGQDUM9Evtj12G3Hpkgd3JmD
sen6hI50aRqSUadxikervtXLhl+mwpD+9nkGyjIqCQeN8E1mSM7QRzYD/bTp8FUtzWCVu9PFHDnT
5dgz1fi8DI2R1pfLu9b3Y6dNl1ZEp2mqqb797LRLk8sHcVHOXpOOtSaO65DjlCAWgQcZCirv1IVk
r3y2ZVqk8TVYNR0Fgx6++mWAMifetM0kjfgQxx8N8MZLZOmc8SNmRWx/IzMIL2JqoMsxO4PTHIHB
xBk5qRCLg65yx5u66xmKlFg32MiylxxnPtGijKZ5nrkFKyLL7g1yxxm7YBoKZKdVG3wbtJEyQheB
DZPzZSzsayNz7DseNDowHKdXT23aMImZraz+BhmIAYXdDvWPiGXpRoFIf4AWT7+MUPwA+Xep1y2O
NTqp8PjZIWsejbWn3LIBVprwNxXkjm7rmSPOFLz8Z9/sYv++HDNmZmXFdkzTtXfiAZYyBWY1+MeC
h1St9Gz789JMGBlJi5a8rER4Rq1XnmQFGw0dtnfyWlV/qwSzC6EiZhndUqPgV46ve4sKN4j0lsNd
M9RblfvVyxjhvWl0Vv2DyzlbDTFfYWzXzQ+9NPlBsoxAQkXZulGsgPbEuvmn5Xqum+UYVmGlLnKF
xBkuqkutkTX8cb+tsZuaPGjjZdo41OnyFKAwfhEel4Q1d+xa6rB6xcAWXcPMpF3HOhQ4mUXhxUm0
AsecrcNl6vBZVng+k6koK7NzQSrddgYzsXbQE95/PhtEy+it86L42uXIp99neNVrNlLNSIM15A8+
Wyqfb7ieMuN+aKY+8AuLuUVFBWLRhjBtT8U9m3a1Sjp+SIzf+WHK9fI0m115sg2Kh2L5DWLqpWel
hoY01bmiKBoEpxn43sdpoDyRGXMRvcqNe61gdRdyjn2rlCefY7yIR/pGJ/gcxeBssQ6eIcNjVILp
TEcGGYrTREKaUNk2QmXLRnic911LkVlwY+9a02T6VGGyDCa9r16IWWIwiIX7EdEHJVpLwQLiYFgb
DPU2POy5eD6P2dHl26Bjny6ayoqe6KYmuYI2udRxaqT7b8zxpqFZfpAu1RLmE1rFXvV8mUA+dnHP
fYRmkaeW00tqa5NrTUMcOuIifDEgkSdgQ+36OEB8fHWXo9JEQbxpiCe5nj0DkY+T2EwbNLUxsWpR
7tKqck82TAXL1p0uXcAK92btdu8uJoxdy1tfserixk18ij+ZV/K7KhpKjprt1AGDJcWjRDJjuOVL
39t8awv/4QAkllulz/gOgGdThfZD/Y2qJLXYxE5sW3K98qlbOht9k4YXcwWFoX8EdomyhI3juu/4
wSciAy7Bc4Xnz//4eWNORcojRhNd88OGiHaWPFQO5dyONyN2ti3MumSHyIYbOrHqYwTvBPER7sFr
S7ozLBE7mS+lM1MJIyrdjir76Ky5ApKpaBw+B3Suki+WQUcwLFUAGFNKYaA53Y4Gjk9M/i/A833n
Wc9zE5EpvEzAWxrZDYBPXiwDoHuEu1f9jeJRLJP7PyhzqVYhExiL7tgWaI+/SoG7yoQ6k9bt3iIM
IA4cgAfXLijRDQ7J8DjB+MJCTfFNbvV440YVPnplm/uZ4iAKsYBqJfl8ykTPBI68/tZ16Kf7xBgf
OBLm7V/X1uJX7+9SWmNjIL3IdEimdZAw/6p0QxaTuQD+1V5LUEn2qnTuJkkvhmWGDL6OxoRpBYWo
YM9+n7WK0opRxjGj5nlNJaPVzx/7r9/UZxTur9+gabufdAaP3c6fdiMRQDwDaZvaF+QZcaGh/l0r
r6tP86D1uwZe7prufd5MePQodEAAfUtRne0IVKGTs/rsnA5cVGbucBqEdvVGyJl76zmRBCpaUxhq
TYUGvrW19V+/8//SqSwi++XXd8EtMCz59etsDCy5Ed6qfaQZ9THEbbVM7qke67RubiGms4lgB77u
ORNf1LQ4OIeSvrBr7d92L/9/Vfl3QdKWu1zl//Oq8vD2Gld/lKaKn3/itz0lum8WlSb/FBauSdZm
/9amCuH+yzBNYZMYDTQX0epva0rL/xf6bVZ6iI9xezgLX+i3NaVFKLXPraUbpg2Eh2XfP1lTetZX
lf3yNyxScVZqiHH/FNOTiRCHnhs6V3aMFoUDY6wvAMwxltDwy9ruAnMpMrM8wlFy8jtqXtv/Lgz3
PUZEd2dhV7YDckHuHUeMT5mrJRfM+kZodpj8wpUsHaacPm5WssbMeWrPWg7tZBVHw1A/6Fyq2gr9
eG4WF5mfqF3f52kK1CAGGohWy9sS3FgeCE4yA9LX66CYRLQui9xao7YnpiBhR7lJ/e42k37bLCV4
eMpNKU+qM9rdBAfmiC1veAMP8GIVrfdmgXB7Rnvp7nTJLdMUmR6QTu8cqDteTViLfF4vnojENZr4
AsHduNfh1AOv8rSrkvjqETlMv43ZpzVh0Phs02DMyU4U/dZW8DXR7g7ptRbHxlM/jSerM+Va0PMz
EYz186TQP7RdXa77Vn/KGfc+jPY4XY+0/Dtp+DR2gJt7nVgWsy9urVSr91bXGFcNsPdDB4csABmf
nAhLHA40uckl6RavHEJoKyTpnrZ0sosaDBX6Da3/rjI3PODVNbdZKfL3Ik+azZx64h0XngdqTjXV
3jeSd0YGDaPIZPxmC/qmVZSkLGakFwXofrwXw+iIinUhNYxe9VQkxRNGi+QS6fIMLX/on0OwfRsA
qxAnswR/s3SLcoWXrV/auh6Gvpn4xZ07jxaZyXosD8sV+VAjYd6Sc4e8Fw4jkn6jq5NV7Lot755w
A4bmPVj93nQmKpBx6MDpiehsZSK7gaw2IwFhuBDPVo3q0yADMtFHm1cxaSoAeO0ARKAdZLeV3LFl
zU/k300nkBTmpQFyhJF9OAB7JHKhVAp0r2flPJd0kyyiTCPZkUQHxsCDJXaY1ocTqwPqYrtUpzb0
ZtS8zhBBR8i1IJfShnnTwtCdOuleCIkKE/CJq1+x0tRXTuNTTjUM5Tm3HWzRjLa7R3OcuoGBHyxH
yrR6AlTmwoIkSIepPN1oRuINScSF4V8g9x1TwI5MTDC1VM3WH8YT7q7h5CI9Pqp5Uqi5yFlBfWfE
H1U3M2b1cp9GOHNOjU0K3MwMnal6yoyWCnhlNtpASicDgsCUpty6qe4/sVhH49W4FzIskxsQ+uQ2
R7b+vXdEviXkwvnBjHI+YhPvKUP62NkNjYZITbTDNybY5o2WhS4LHg+jalv5UVBmw3TBssNqA89D
NkQg9yDXkLLjzdQZ841rW9VmXnCljjPiRB5N46CMrDkzx7d3HjOMRxte0i2qNmI+0jBDMuRHTI+l
iVqPTGaGNT4fyQFfgXc594mQd4d6NSPeRvvdpzvQW9MmGbz5AfLvuKIaFdvY1j0iVDBhNq0VXsYA
82/wgK4xqDb3RIE6ZyS++6Y0ZwThOn37COK+47aGQW2MhyQsUExReN+khUF+ySAUfE7pTXdQsOVl
oXrj3jDq9CVBJk7AItKxbmiGA5z2ODyUAF7vxrSGx4KUlBGWflm4SOjLarhFyNqcppToeA5P/UpB
GGa+UoJiLQgJ72kP15E56AzqBXEktnMlrbo8sGAyDuCSydQWqgjGkriy5UcGnxsSwpPIew0YVEi7
YbZ3sx9P74UuKdc1d9ozF2PpgWuXaHOBCgrFTAxI0852oMkQAocc5Loxt2CLuvGhzHVEWQwvArKf
nEt9LDUyDDmIfGzr6zDzvWcYh/F+kgO4pzEnhtpqJ414Xtt55iFIh+T72rtIa5LVhtgMJsfqPuBe
VFcWkuuzqh0RSBizAIn012guYBSKnL0cecE7r1daExCAET+zhm9PTZGfybBnO+w7ZWA2jbwwyHW+
IWyv2g4MPm90QUirAg1cr1rCyDcWVNVdYaEFM0zGvADi+nUHN+89WlR2iFV+QP5HuMuZCXIhI/K2
cWztFGtWzSzaHp7k6CeBJeR8drwBbaRZOc+QCrg3TIeka4RkB3az42UZdxoHVjSwMUqslyzvS1Bf
dXIlwrIEg1uJ1wEQ0pp16kMIGTswhsnY270j2Thp4OqTRIxrqc/egRiN86yLA9UDbscGDtoGkQA/
MAIKf+0m/e0gs+hJ+9/sndly3EqWZf+lnxvXMA9m3f0ABGIiIziTol5glChhBhxwDA58fS/czCrT
VVbl/YF6SLNMS4pEBAD34+fsvbZyCCAfcRMsbpPh25ZLg5gdVbie0nUDw+WdCeeGuLOBXI+sm1ok
B/1WcmZ7XNfxfkxJ6ekqvboBjAfdm2fvGWBEfU5QyPJK0BMJDLpwa5qdAl97LIlXRyBAwFJoWQkK
PWgFx1y5aG/9oYrJvyUwzU9ui1KUB8jM44msZD+kuwgyV9T2iReKUUqNvjgdgGlzuCfFxE/q29Tp
Wb7nZP6g/SMODHjcm3WS3nc4VtU3uDHalablg2Qc/7T69gumBHktmeHezjNDxh4R1MGH4h93jje9
yDobz45bf2ChxixQ4DLoyrw9TOOC2X2tPBdNdyrxAzOCtvPUfkSt0N7jcUDmyc41hUXxYKTCfNdI
ir8N2JWz0DKS6c1gLHSs1sm5rUVenAEq71ur6CKYUHela78qbbZD3a+rGL5Ggk13qp4ZCovDCB/k
TvjEsOPvsPZ6l/zwSwhUsB+ygy8DspKZDx1lW623mW3PN8Ip0y9TwJDNk1h6xFp1zJyc9afTVc9Z
3ZCLURbeU5lwCYNRDhHXB0aosC4TqyoSUONrgs44xFOQ3TEXva1m+ofKVbfoHeyXqiubc1dYdmxr
/XTI+yygd1kmX3F/q4ONBOEruAU3ZAgRxO1kTidg/eO+IjN9NlhXSD0x9inOiNImQrsaydceobb3
C+c/zy/WcxAsoVemFVP6G6/FiRVC16VTXjGhzXy9jZh/Vy+F5jZPFFUlAnSfrd4xEi+kx+YXdy1a
iQPoJHElpXxfu1u6s9KJtrcw0jTK0Q4A6+u9npnprUdrIu7NYjymSbH1PObCve8coU6ZXRl7FNP9
bimwCc/2/FUarLWt1zviMIPovRPMSaPSQUbQroTWOP6sPkY/8Wljd+SEgrd3HURDKXBkd+nsndOu
6nuDMPirSztLp8z9qNOAqZyZ/qzHutsXBMK0ETFX/WmRuk/qR6kdabuUbuR1JeJ7wy6biyC1LLJK
243nqQZKqdnpZzL08HRgerGluWRUI7tRj2VZ3FH3RoSHV/vZdGlEJ4IdFBfmeWUdiNiExS7DsEkz
WdN/chp3oBmBGITbhGLXJSrDyOuesePYx7IqHxxvBXcsIXPfJAlRGF1jFiedW/2VEUB6ZP6TxF4z
wnJMF1meeznKKM00uesYD9th5yXely7T+wANvweHddUfPFrIRLAtaXE15sH4rpD4361KsSBMSBOs
pDTxaKw0p598lYxFsksmUrm+52M9wYmoG3A6z56Cx09ShQNQ54aZeNA+z8vEt9YOn9gQljBoqJRD
usLGijwNPMMUNXPh7JwAHjIi5LTZaRi2B5pei/ohXJF9zgFXSI3gfOHfIO9J5wTNHwpuLBgI/Y3J
ZxAORupMAkR36QQ/3RLJCaQ5B6W49Hv+onYpg6DbjSkJLfQxRBumQjWffaIblzZX/sk1DXJQZg5z
V290nzFtIWTrHffTJtEiCVdvFTeJE8yxA17msa87C+143Z81dDMPOp33HdqABYViNo9Hu0J7wmpA
W6xDh9/alDDmLOswTfPySJQPpHwUADhdpH3u9Z4SwNGtGEGz2jnuUoNzJn34RicI9EXlk/0mgYOo
UOaCRCJpaER8McqNiIkoHme4A8SDDMs7zK07rIh8rXoVqCc1B+luInqI5HVEc5cF1hVSQAkFmsAO
oA5Y/8cwSYV/57MLIx9X3XgqpEGNLEVTn1VdFM+pXw3vhN27nJnkdF2aNX2qnVXu/e3LhvNWHLRg
4PTloAa4askEepop0hS7o9BPSyG7J9x1+rDLW350XAMHgnXfPA4pMUJpZ3SvfdYbXwxB76Zp09cE
UMytbaI6D9dGZ/ZoCtIFyBqlFz/pNx6Ai6cpU3KbGwJUv4wqsx+arPvw1p6urcC6Rnhzpq8RgGy2
/XxN7Y1IBM4bx1/1Vuio2/2CEEHfDAyk5HDyDxyFhpeyH+fPCf8ZPiA7vZF1KmCgpM2+6AteQsWI
LezdwVlCjh7UOqDvzF2SOfO3laqPil9jItO3arnvaKZluyao8sc+DajEurXvwqlgeCcxuMXoSoPT
TLsehdRa3DrZlJ9qzABXMmQ5wCqXh0nXvlV+u75kZEvAhzZcPpy1sGjoTrm80Spn3GdMMN3Wwlvv
tKVdd9UokgN80uqx2eoka+W56lesIQbaqHMCAQOViKlFeR60x6ZIYOhxLIMr12yFrOH0t+hkqjBv
sIaxgmEBRG/GAFHmoLG/tMPs13dGWUgrrhaXw1hnsAtgFJXku5DrLUnIoSWyfm4OlvneCLTi6GYY
H/IGlNrbwGhRPdO4oyWHPY8D73A/6pIk6ngcaaQJwEO9mm/4Snosem3aMd6zpNGOZfi/GTjIzMbK
cF1TdUg0r3uGmqtef2n/3P+jsfgXROpvHVtU39ALHHqNVGV0d34nJYtOzUVlGfOVhruDJ8/MQKQA
d1GI2nDzJulXs7YOU2GecWPtgXbsnczAUkgi0rjikxpiPuqBAOUdwP2/UXD/Tgj489pcUzds16M/
a2468l+oGrUBAFhPzPkqRH/1BLVicmRu/e+/gf/qjwB6tdGjb2KL378ApxgUh95pvmLIDbf/uGRw
Nl77j27z/7Qk/6YlSeMPYf5/35GMPsi2Bz6V/8Ux/49/9Z9dSfsPun02xngcQTyr/ML5hxz+7/9C
ymL/AVqBFoyt/8lXpmH5H31JfPEGscLcVoNnx/ilL2mZf2CooL/o676PEQHl/v/7P3+hCsvf/vdf
XiH+xq9DD50OJ8xaEPCepcOvtbcn7JfHdGCHFt04qmszWySUz4QzhNTXHimV3jw9uJqznAs1NWWs
6yU7S2tPL6Utt/0oaLq3X769/+qF/pcm6YbxCDYKhI0HBbjvX6/GbhZRBoibrmbXGNe0XBnfY6Ym
Y0pNdDqoMu3x3ZsEE/q+9oeO9nxPOgEUP8+mReE1n8EwcC4IsoysFWRqL9BKfIMGpZP8MIAIqr+Z
w/z5Gv8y8ti+v+0Fhx6z9YixcP52xSg2uLfLcAWTmaY7F9jny4Rewtoz7mupixdlFLvcY8Cxei5p
HUupW4eaaAhj109UWeyN0ohyTThMRXOs0EOdoa+hWC7h57VFdl+OhB1iwJU7cCTBq8y6G8Cgjopz
qbkXzhFT/Tdr17/eBo8WuseNoIzCLPHb2uUt1GyaqOSV3PDgtU2Zl4Q2HS/B3jOq+1n1wZNIjOrL
v7/9v69mnrGhzT0LnQI+I9PaLuuXZ9HRsRUgZWvwn67GFezheCVTGpBkkv3NzvH7xrH9pYATogdE
CHCu/9tzJhqwWR1xj1cShO0PuLd9dUhwnphhKbJY77A1RJa++NjnLGeu/+6h2R6KXx8aPiUSW8dk
VkG7nnHTXz8o1JWcwpkQUQ4nDknzo/NRVts1oBiUMZk0bbjo3PrDXHW0D7uy9X4gMAajil3vVrlW
r0fWXBA4WdCMfLF6YVocR5blh9AmsdO1taY5TKuwPzoWc8y/m5T+643yvW3ZgA0D79mzN/fSLzdK
d0encZxEu2Dnrj/yHux7aGjl0NjUPCDqzzh+ym+QF4n/XTsIdeRM0A0yJu/n4K0rJ7UsRRLTFtOP
HK7Z5+SIzDv/+4fJdv7lJjML4iFi80XCwNu5jVB/uUq393MdSKF1KWxgVgGSKYQVdCqVFezxOo8I
YDv9YaoXevok4HlRbzQHafYCN7ogLqDq6kdRObUKPZTLmL9rbD5yGELhdOKF6FYqDLBrSHKKIqcN
bRVzmBSyuc5Ck2T7EAOTpkZAJ3glvT0yp6w+EvFZPZpFek8vzFJhNXr4CpLueUDmbu3cCdGgkS8m
a4M9rjT9Z7+4rTLHf08wy54zRsK3VFRTEM16RrAKD11OqdMj8JoXf93RrdR2a6G+C0k87gjzDcZc
PXj7RHJWsBPTfO4yYwZH7GkGFXtWJt8CKM24PZpO+zrWRDsLIUmtIeP3BCej+swnDnWhsOryKQ8S
5YUTcSZQSPoxWvgeDii6grtuJjzWpse/NwxlTFgHPGr1aYZoi9E7S+JaWj0qzuAuS9AAMVRqhyNb
jQmdBSsLcTNe9UXVenZj9oF4cghJO4xBoZl76dbrh++2HKN1xRh9Kn1UolD6P+Aezz9lykwgWs1B
59CRmlO6V0PR8nLMc7ygrff3fUt3thqs+tjwo5DM7L7liybUOSxkUWhEdc1e6LWOAlEwVElkYWWt
yRAr49SGlPEwM8/b5bJHHFjwJA0oBudA4uj21K1LplWVPIxzN9R1SEAo+aufWZKZ5vouZ01teVZB
z1LefkcuXwwW/Idh5KR1HcqBmPtzkHfrYQL3nJxq8LkiLMyqfdI3iUfBlHyMRu4BPWWiXhW3i1nB
rkkQdiH5Lucups+f6lFf4Wy5yzrdJey6XLw52y10hYdbVw4WT9Sc0GSYo5G9cO9qWZHcTbw6LkMn
2uk8cBaZHvuGmVUQQokhBSxWBGZGWgJiloiaBNBg1GIEqqMsGDnMzxUwgVgmVAV7p0lx0furw4rZ
mCV4nTrrwTtMcknlPQFtAPzaNPd/auPk5fpOb5kX5rY/+leH5nlybixv8BywDIrez4LCkdWN/NQ0
g0CSyGnt9kEvm3y/VG69HHWJzB1lK5lUkaecpTrgMM+1iNtqvmmiXg16626Ju7+sde2OxE7GVePQ
NG9FXQcYyfuAtmkJSuVxHZEZ7bHVm8ZNxuHfY5IGTmc4JP0kmic2Y+tM2I5Z7kfBFcTtUCFx9A21
Ykcq6L1fap9I91jjVel38LnGc88oudqliZWOO49xqwhzT1KfNCsJGT/IPQrcnc8F1DtY9Fl3MvTc
PqIWpU2Fmx7TTt7myW4dk5KgprkXAbDqubDBBKAgQYlerNqNnlT23hBJ6nC5gSdiY4GofGJCC4en
DOyM7At+LjQCErV4fFLIa2rOsbIMKte+YuSDgBnmvEcmCvomXzFYTLaGjaSazfHqigAoQBN0w8UZ
G7aklKSPzXAFT8jaM0I0mneGvE127qApq72cnTW/IbxgeLYL0/lwVIKIkYk2Pz02Cu8UhvCciwfz
iPPNIrWBk34S55CzmQ8jKQuRaE9PjC7mb2TKWIR1zmkS+6XDiRlbAr/HqVrY6Wg7jetKMrj9IAfH
eDYGQi/D2QXPHg0Qp1UMp7fIj70yTdKdPSSUd7nmBa+N3m0PZ1F08uBVMpP3arEHP9I7PHhhNjdc
WEsMuHHDDha8Mrrn6a5ZJfudbwSqPQ0ySMz7oifo/dH0mwDCj11g7xpgXlB8Zou6d+jdK/xGNX+6
bREkb9P8YT3opbd9+O3SkbRv1yVqgylMw6cYIXZAzQTRsUZBOfHqMMso84cGdSA5viNVQcr/x5pq
Dk121xn2QvyWJTLsptncq/FSaxkdw1wfOxy6m9M6XoCjbosGL1PEJ2IBIbdzq5Nxp76S5Bmcwfnl
fgibu+S5AGv6MTeb90D1xfJoDUqXN1guzOKmFUDmnnDXzQfZ6Ma1C9LunagYF1EBknnz3Pq0L2/I
AiJGDR9YR94uFEGG63ytke51y/eyKp17NUqSBjt9mcq32a03cVBCGijs4W0NyTscnJwDfNT+5gKx
Qbh18Ibkrt7Xs0DA4Nksc0s/Z495O8gbYlK35qPZm0BRK8dmO8rM4LUvtCmNK7PhNVm1xApONmrR
jkH80ixn3+CRiudtxY4Lh8zPPSmgU8wmM3c3Rj/i8kkCHF7stBYSRK9nqMipOnjWFsr084riwfgc
ZLMgYkZqMhHkbvKrVG1kK8p40HUnZrsE82pkiMH4n6bhohaveiomCQPDk0e7RmB8XGeXm0NEslwP
oirb9oInyL7VBp3xbNY1wIpSIPUZknXmKc9UIvJTDxqWEZZOSeM/kzPJhTOdPHaBpXuiQ27kX4x2
tfwpXKnAlhd8b1rALyOTPs6ICEjPWiLmb1mKUx2rnnTLU4627EFJDSpQP3YyjyFY8JDm5lBY93C2
Vudau2LLjhYMhS42FBVgDlQ3Mp6Juq7j2W8wHvSrxzjTx0MUG8rCxzgxTe0PK/kO24xCpbSHk0WX
USKk273NBJM8F1nPs8ZOF7zyrNfyvgkaDKqjKQLQyHXmEq0xvqcLo3STxA6jenQIl553s5MO9sVO
Kn96xL4TEJIL54Q8UShu3Z6DAwqQ3BrK9tbrRWbdm4p09RNBFESg5orJ06XsNXTctdwML1Rj43Cp
qmQbxwKb3tMRowE4K50OaGfz3tMv83LyfzLv8mdV+j+dlL/ppCC+2loL/30r5fmH+pC/irv++S/+
2UYJrD9A4bI+GQHcY28DBf5nG0V3/+CMCo6BYygaeJNzwH9QKFz4FPRdvA0MoVOIcqL8p7zLdP7w
2Y0J7gEeQRcFqsVvbZN/20bhZPHXMx15aKjLaDGYtkGJwt/662kDbovG8KDVQTGb/duksTTJavn+
Zyoir2YXZ5oBPqduy0dv9i9SiumLOxXdk2ihL2OtP48LDoXO99aL3ZKXuOBTSA7T1gEAR659jJ5H
cojb6iiV/ITC3nFMSqzGg4/9YNt5adahBmfHOxH7weYe2EzAX2TFhsARpFxb1uZyEOLii15n/qZP
M9Mi5M4Extuky5WFvV/XVAc2JOa+716QX6NuDDlhVgbTf+VyEjWTYIhxMdhyn1W0/c+DneYVezhB
EBhzlbksQZzjNTHOuHDNV5sqsANB1RotCm47UT59fG9xTiNeQx3Yz5J7xXOyaJSHoeGVU7fLWgeJ
apP4n6lbsIisJoC+Lua0rjOYwlyQ608Q/goB3K6y5QFasXnj69Yqo9ENspukQJESzRSVcj/pRTEB
Di5AL/htcazTVryrJh9qUmCt4VhAGYhnLIbvCzGQIbOY7JjL/CkFWMDNGgvSGpr2WJjza9Hm1gHS
AbPEOkiPFN7Ziv0jzd5ylbO9LAwFPF9dOHRTTo7jG5486q9K3lu1yqgBJybOU+p+H1Qys7vP78DG
wdThBS2VRX5r+UqPi5SowCjOvm9/S3MOPUzxRsbvIygEeIEHOH2vGvKvEA4Q+7KXeXvfbA4gjh+n
NX91K/MngM/hZpUtmSFlel2zzotY7d7bWp4RszXHcsgFggZrp9baDOUi3BshSMqC836fpYTTlGb5
KnQt343Qh2JiOX+4eeNeandN7uegdZliKurBcSSHCn0vqQUlym3cZWqd7kwCAnbThHE8NbDc2/OU
3aI56y/+gGkHHZJ+IqSN0AWFVpxQySxaJRE4+WhONMWIEgbUoJDpL0uMg0l7TLdQ6KZIf8AXae8c
bXiCIaWIN6Hy1wXrN7tjfmxK1wVOraO3ahe4xI0z7gffsU+sC9m+R927x6sJPSnTgsPkzj9ap6yJ
ESJhO2HtCMuUbJIIEsC31trQZA5bS5r26TZzl7u2tepQNsMSOavm4hya2PE0hpW+qZ4NpwGlX5Wv
WpWc1rUhZEKKDtuM9uZwcmKgqYpz1jlA6oWd/4QL338dVw9r8BAW5YwNWk4d41hOmuTJTuV447oD
b/xIBPHOslftZzu4jQUrCmx22NIVTnd9McFYWmqlHc1SHx8hec7eU2WX4h45K4rALiE4QNBf3QNe
I/mb6TE4PVLAnjlOD9Gg41g75EVrnpsx7dHgY4JDQmU1JQQdqAZjhXpbT6bpniQ5I5omHos0mCqs
Wkotn3iSdD1OPXs5j0PeHE3cHHNw4EibKxJ0XV1xsjQcHN5yHn4aXcdwkCEw/FU1jtlPhowB79oc
dJy49U7MV5OC5x1EwcxAm+ISg8yEST9rgppMIV9EBFWZB91s+WQl9oClILsdLPsHcTtm1Oqw6xxr
IotZ4JjWRWfFCULAA9yuPDT99YuiPfSK+VRdq0L74JV6M4ltDxtKsLjuIEpqnX0tyHHf9RWVb6Pl
n4n0+12O4/+1Jv6XPCtsEBcTM43BSWa1dqtRG/eAVF+6yizJ1wos4JooLc5GQIPAs6bbCZbro20F
2hPtcu/DrJ18l5ZBF5Hl3JNqn2a8xjNnlThh/srxdtEvJEW0MdYG6IPDMFw5q7RkCOTNvtX05dBv
b21JKOED9i3OYh0tYECaGYea6b7KbAq5RR5nA30GSTboKDp/RVafuA09jOW9GVvnaE918L035YOn
tpMiGcwktfvDFxeFGgcJXYtNazqh4PB3WKEschYNMfxMWtuOyY7TbpbRyRglj8auIUsgFq2io53S
ksFeynrgL1dEgHhhNH26LDm9r2YZvV3eKESQksbMhPY0hveRHrKAYHOcfH6EshBRrdEfaDv3rMHD
JRhZtVZaiSFtd55EIthOQ0lcrjv3DiSh+XH0V3q1PmjaFmIH7M82OHYK5MvSBadenxIIj4pS3g3q
70xhp1jXNr2poSEYk2UHU7HljBX4pnwO8iLAalkuu86uAprw3SnQAupbtKmq814Idkb6EeDz1KXI
IwCsK8qRrWJvFNKqsVZQLrpPeIwXsGcj+YSUzuu80Q8x7dyZVCa3puLGNvpS7Od8QFjIKPOIvRj/
IKcs4BSExfhpWcGI5DOPZVGFaMFZ7zr3K9SWhXOwZ8RZOXzFXV/eOCJJQmNpUM9Z8xKKpTBueQbk
QeZ2tpnYfo5uFeyVWL+mxBITvA7fMSxwe1/oBCUwPVFUsvGn32phzJFeDThgSzOJMpii19mGQJ9V
pghdPX1vDecn5MMfNk7cfeVQMEzKfquxckR1KTtYC/yqtbf7UICA/AkOBdGCLModZ1wwxbCf7klM
KB4Cs0WN7JvrLYE0fA1eSbcxoR808XaxSk1v/tKyYQwWqjyEhlMKBBWvGOu6m1ffzIYQ7dpc2tNo
10ReTd4SNYHW7GWx1remYc4xYUw25uPlmyToOpwIigjngGuAm8DwCnjjK0Ck9b7Exc0XirDBRQI9
qoYvTHD501AW77z25QBctPGfO8/h3zIEeOrH5AQDi+Md8KCHkbbjvYPk5d0r3CfHdRGuVul1SzU5
WvjyLLg3mIQcmfBFwxi2X6DlzhEhaj1wDT+218Q1o056pJ3j4l92K1kuYY5c2YjS1vx0GlzVu4X7
HJrCaO8mYx2O+qq8I/0u/+tcoqsfdfWdjIDhbtUtrYgnnOLHgpPfHQL7CUEuJkhWVjHg485AqZhT
gKhqSxcQev3YEbb8OHMw0yNWTY0Sw6Tb7diy+il7Bo/bi5pyTxk2MYbwevcghOHwyjSgoI/AFlca
DCbb/JJaT6RIj5GHwhGBQ/FFuoH+rUm7czVD0NgVbUaPMbU+0bA54GBz87uRFlodrbYboJ3NR3US
zF4I3i2zYtzRz1Pf9cqvdqId5dNKP/mUsHhepkyrDkHj3q9ucwMMZfB2E9uBOhraWvA4u5P3maQe
/UlTejCGnPzNEcTgGYSR7Pp6rmInJxlRkJ+F9bqjs9giKn3scbjmYAp1eVUljrpQT5jYeYMY0x2i
hqHeAbBe7ho/pw1mEHKUQOfaG1gxY8Ix5GHoXe1QOEVSHzqvyt9Yzco3trjxS8VZ8qkshuSoF15+
0p2Zijfp3HOH4KAArSQT8o3duQKmlBfLDYKLzb2BszPQaACHmT6XHG6r4Gx2oACyWhklZulG0LlO
CXLTUWYOqxredH8ldVDM09GXbXDDJGK4s9Osf2ktpy95/9qCBKKOKMd6M+pRXa2vQT/UbcHxQc7P
zCdMqNGOPQbk0AvLBdMrlinOC96HG6JDaN/6pHu/zGjx3S9kHwJxRcDFzkqoQsCL2CNdXnoXArWN
su5KVGD2TgvPRbLsjU/V2jDoxFuiXeBR5e9J7TT7PvFrUmNWjKZIr/Vd4Rcp5CW71PxQ1nP9picq
eZj40aNCkX/u6+CJKUZDEdaN35q6weOSeRgLhjW96RtK0qqZuoHJ6VQ/G/RyQ4ab5gH9S3lLCHq3
X+ohg+7QVZHQ1grzdy+c/Ww08wNQ9r7fOStA8WLKy3gqjPG2bhiZ2WbRHKGspfcmVIXl0feKvr1D
raScXZAqvXPLiCmZSbFQY6FfpB/i7jBp2VBu5gBjw5KemP3UDqmLnpECr/W9Xh4LWGFBOBfLtN5U
ytYiVxZGXK2i6bGZZ6yjyq8UpZNrHYfMdd5MXMTjbgX44B37knfxGx4ncA1akaS3+UT6DCxwvS9i
008xCptwFPA0eMwNs6Fvb6dBE8dRBsaj6gbOAvBEDiuOFowxi3aG8StOPc8kTjYrvwXelUeJOXo/
awy03/VmAzf3DPhQ+NfiWaL/zd8NY+vy28EM7RaLty/XFWIu6LUfrS/SozvWlODYlLWoy3vvdS1m
Pc5dVueYSDNc3aZcP4B3yBs8wAgFzeraekI/tPza82p2w4PAMfQFQ3/9SH/YOa8C5pFZ22KHescS
oZHVTNZKOYStjp1Vp6V8IEfUiPq+QOFud7TXucYXSRUZQ9AOohX6U5yy11Gcd0uszH4AhuWdYA5P
u5aDO/K2PNj3pW5+OLayj3XZC2SorEwYcv3QQwx3yFNr2vUtnAArrwFllQRjf6sCjI0VoDdLZcEn
/IG7iSvB8KADnjLN5YiwvqOUGtPbkiOtoi1vb1BzglVEoJwYkzbnGx5KUsyKPItnFHpxULGNE9FW
fgWThBwj8GpsnolFXBU7STO7DQ3cChor1vklsgta5OA9alR3nnY34P56FHN2HGnlYbPH2+CkDYMn
RvoVSrAs+yGEa1+ShKDNnehSsOoa765k4R+R6S5VVkVo82pczUCvPDUvD9mgB9dJQW+CGe8eS0zO
MbR0FkycAWf8F/c+Iu5QSqlaICTpB8OUAjHeMqDwMzr/WmodIYK1XsZGldj4OwLrPSXCNLRmIp6i
Os/qd03I984idyqb/IPtbDyRVkyfumJjZZK7npYaHoHBwTPHcIwBTDVpBVocRjlyc3cH1eTDCaws
nrhb2MHVF+FziEj9HbP+z6aovshi2p63UW9jRkIl1iLLitHgmKSWBcm5yCVzeGziYZ3qbkTNbOiR
1qiiQujMnpfaqrtt3WITQ0rvYNDbj8zezm8r8Fn39B90fTfaivS8SejTVQ7U2/CezF23tX/AGYqN
AFQhI4begPBT/zE3HNGKoYBZZg9klGmd+VAMHh0B0X8fMjWcabESK4PX90xfa5dlizgBX+/YgLXy
bHr19LCWWbpP8+4b5zVKsaXJYWcBgTihJiZ2OWUQ9wbkGj7ENF8sWv2vlFLPuUbUqNcP3k3mWuQS
qJXCEVZWMq8b7nnUeizl49fA6C4zs5wwK8xXYt4QHEy2TZO+9yMoXf5bRihoaG15e4HuQ2HBtftM
TpMD+6g0b5olu8215n0Q9MAXmT0hI/5JFAz130J11KTM2bLWfLc2hp81NfandKp+p6e9tRNa/arw
6v4UoLLgIZCCNIR0PSi+YUBBDXfrR0B6OhLetIC/Jvzk66SPYMbUNPU0KJb5sTM2cWzlJ1DFaUDM
OAftJaf4B9tsV8o5lKMVPDYsWAz1LaeFRTkl3riFIA4ab0Idu3rZn8Exh/Oap4qjTgIFjI9zYQwh
7tBRU1gbpdaGJgAvIyR1uWriiRg7GY/4766b9OrEf+H/Khv/J3mvj3bRsnj4eXYOhF6eF4fN1bDm
70kpxu5Q0rKP8XdAE/OYSzmVOhMzV/KqG6/I7ZuoMgaktebWC9wcQkswMr02XIDjzkCVlxvOwXSo
hBl/sSS4qp/mY9GOR2/qvqb+elY88FGVI/YtU+1CuiO1TuV0ZMJ7ZxTlwx76nBczkqzOwqH91wW0
8BtK/YjK1IwSTIB9Oj0EBbMJYKo7iG8O4RPNA4xHXAL14oFIKE0U0UOGB2ehgbjW2t1s2m+5Ycub
IdHEbu5d8hErqzlkukjjvK2Noyo4nPXOKE8NDns6Fzj89dL5BFAfPIwaQySGoXmUtcvXMiX7wCQ+
mBTfPg+Zq39LnMl4mn3sJK6COIVJp51/ONKbnlj7mCW4DvZRhD1nxMAXH5d8ZCQEX1e9r9FnITky
7oHNHPE4XVABMLQAf4KELJ8DshVSAx13oWfluWN/hDbS7kuosB+oXdt3x7eteldq6/odiRTca2Mp
tY8WsTlQCWhMBRteH+I7V0efALNbr+SI5AV+kcGqREmBCyG26mX5Rp3Fq5UKFDUQvu/a2Uou65CN
37Xc/Zn2xoLkFkvAuaMN/YDFM4mcHO9nJEDgvfjKGe9NM7PXa495FGm8V7cHuqCbAmHArbCuzKYM
ook9ZuM5ticzh9JC1IXY5wQpcF5ItKuR984UOWwGxzyZnpfUeaFCcJ66JG33abcMR96DBYWSBCgR
+K8zTsNQZI35lOpAzmVm3fmGTD5qLGtRAT01MjyTuIyKQ7p2M5sUNbcVcRF4+KfshhpiUHvcYi2c
wdwdz3bD+hO6A5rvQ5rMamsSVVt2qd9R09SuAZ1yxR1rwZ8gkgpVyGuPN++m63wGYFmL5itE9BIc
FlEkZDEWxrvbqsC6wkTXnyd+AfN3EsvexnIAAiU8EsMtGtSAgRjuXf4/e2fS3DaQbem/0tF7vMCQ
iQQWvSFBUqTmwZKsDUKyLcxzYvz1/cE1tC277ai3fouqcFXYBIkhcfPec77j9HV/obh7cBfVoz6M
TZlcLDUC3oAXFpjXto+omOYRibatC81rfq2EWGU+k/ypXkQbI6fI+lSf1TgtNo0x4WDpPOHh9DVy
CGGeM93LvtY0nzALuIh2sEjWtgGz8HsASByl2K6jMJoCemrz3ZwNE5YVHjTsmxPqQdWx8Ya+nIPv
MYs6GJz6faS83jEiIOiMsn7pXPNUE9sTyLofD9gJmltQkvZTSsoodgXBgg0y1LrpiLOG6t4M3l0n
W96nrGXVTb4Yw5Mhkv7kwC7p4V/63mU7G/opg4RyBYp4PgAGtGD3Dp1ziylB3QGoZPsCQ8w/N4zY
fkOckZ105w33tu3QDJ3snqe0KllWN4X0SpuaEQNGIruUh3IUvLH6ka7gBnUGbhY6/Jr3CS68/Dy1
7Bm3lTtKrnSR7rDrRGkwZd3NEnVAht25tncObagHc1HRKcUnvy1zsMU5c/bPodVRqC2u9gI6He1V
7EOn2ERp0jz17mpfNHjrRphaedljGWCzk5DT3aWH2hiRytMaPW+RPB2H0dQ7ppjZRW2VJYgYZZkX
FUycT8Ra64lVNikCknaAXbYiZDnRxm2dNfWVnEfvrIgtIp2HBfNTR9YCxDXuEqMd9aWXF84z3VuD
l9hYP5jUdxcQLkZsvVT/tDMVXRojviNaBAon5GKa9lW6jequuOy1/8UYLGvH4hQi3JeEcs+LdekP
PBpOasdkDDjHKra8mxIP2nGc5XByDUU+rRvCo9TsOnoqRizBuj11KHsujVZlF6hZ30pvsnYDw9t9
6s2vEVqVLaA9dgbYzJDYhwW9snZ+BD0S7hWG1l1tI3YzuNEP8VB326GdkZChr6c7m5WoKn20abEz
WYFLtthGy4pa1lzaz0kO6pWtwnI2t5O78CLr+htP4X6j0MORWsrVHjHJOMFqxMsmRUmV0c8asgs8
BYyFGd/QY7WoNKp4b8Ek20BwvpLZwv9vhrgX8fyPZDFv7CF79Dv72YG0GEgIvYmAUkqn5NUv8V34
EQOPcYyjoCOtPcBhUe1tKxNnoygOIkrvFq9mqyAAPPlQszEGLddOnDibPG2eENulN25EQJFBJHrT
6MOwiOHFgD2OBdZ4hhFk7s2FCnlqjORQD7yoMci9FrAbb8e+uSX1KZ83sJR5tVvrRjDOjWvP8aET
mAR8YSSwL8i3/yoM1V8CJm8Zvk+CyTbuuY3wxTNUZSz0xXQBHnE6tvk/hdn/M7b+y9jaAkPAoPf/
P7beI8tNvr7+OLj+57/55+DaM/+LjzAl4HckaPK71Pif+n9PrXNrF48BUlpCOBUD8n8Nri24JGwF
fYcvYEKlYdz9r8G1+C9Jd41BN3I+EmZ8+Z8Mrj9oZJmOOxIVMt4ZtGfchx+4NxF9Ku5sykPb7iO9
zTMflZ8AC7ICNXwoQbItIaAxg4DUOXjBD+fqN3r/DzpiFFyI/FeKESN4yZx+/XY/KHSbJlr8gTbW
YWT+t1Nz4WKbtPMAUmhx9t84lO9J0hsEkIKPsQ2tk7JWUucfxMqhy216AXRboFh5wAP+80NxKn0H
KBsX/WPC62JNGVNLAVxjBWOSztYELaz5rZ5Uf/zzoVZRwQ9C8u8n0OE3EaDJTSFXm8iPJ5CBcZ/R
lNeAoUPcEbONeKx336fBDSAfptg4HcJame1vazRG2z8fnHvwNwd3iHvkLkYJ6v58cD3BqndqrQ9G
JVzaF1O8Ky22B38+yq/3iMREZRPzJlybveGHo3SR5zAhDftDS9QIic92SeNHMpgZdgTR0Dz48+E+
WB84o3K125j2SmbBmbP+6B9uSdkMNrtRDbx7Zr8ZZ+03ELfvHrSvDTnB52RO1X9R0/96GkluBoSC
FsVatSMfHCRhnKWj51T9IQXGQToZhNHaBK7659+1nqaf7xSOgioFOKfpkzS5nuYffpfoQ6vMmqw/
ONBHNo5hXESI1GewPvBQCvmX3/S7s/jj0T5cNEw+URPJvIcmMVqblW0QDdTLNZgC2llYLNsse/vz
D7RX08THX4iSh7gZShRuyA9L2Rxn0CJGHjsrdsW1qATNdXMd3RCZd9ZXURb0zZ0aZm/bIBv5yi7D
Y4frnDEBXzkF/rDrJxtlxqjqL9PkIMBxhb+xQ93cL+BtYHcCOs+gkP35e1u/uf6OKRQ8N2rlVaj0
85Xxusi1K8a9h2TskQMIikC1mSY57AwDa3/SWc229uAvOpw92m6TeKHWnW56y6uvFAYu6sHIv7YQ
r/zlWZC//Wqsz+sTLvnPh6+W+jkCd5lrTBPxDsqJDHAbrcN9V5MxEXWYneE6m6Pr58RULbCrSja4
KMWHLCgmxk+DWSIFBFje4DGF5wD1G7Atux87ms+j3m6vMNcbxyWj+m4GrYNRyRqxaus/9miWH/Xg
hVsf+fO2pfbZg02h9+e03q4n91Bn5JHR1Oy3Gqf3ZsrleSyyT/3oAaoQNK1mZ4Et7PRUdoa+po26
nDWJWiDN5c5mAgt+Ycaz+WS0zXBAwGRsQzm/Z7Nzpz0al4AQsjPtxvqaTy73f77qvz4gHplJqNak
4B2s1Iebdeoi2ctxvegdLuyMTV3imVBNpod+CSEd9hAb/xtHRBBLRC+MPtabn28zv50Gz18yfWjD
8Ahdfpdb0Re/FBetg7wf4erzn4/367qNL5fVxkKyt6rvPyxrHXqRkmujD+mc15TfYjxGtDR2HiqK
4M+H+vU29SRiFtvE6mMi7/9wm0Y9oQkjXrqD7w3yvDIa60j8gvrLCfztUUDEUaYgdecc/nwCyYg3
CmIned25IAA2jfKNM+T13s2ff4z16zrGr/EsLGKYZBSvo5+PkyHVt9x6dZhMFiwJq2PQNRVYC0Ga
IUml8zw53Pig12keeU8ooQ8Vm7O/LUsOh/l5OcWr6riWRKmzjks+XL+mqcSSDKo7iClXuxEbyh4v
gt6LUSfeFmWSOFrlBAPErL59z7BjrE+7AXXUZbEszomdWviXK2D/9jsp5Xj4J/1f/d6RMAwjjJ3u
UEZ9eTRbGo8mbK+l1M1V2NX9loE+oTaI8bd5Y8zXPePprZuQlO57DA1VmX/LrWm4yiBQLMv40uMw
Ykil6/u5ZKpQ64RUYxhLp3LOrwxT/624+P0P8AkxQgKEJdj5YPwLrdYvZm/kpMbzXdSqet+PIvoU
s4pt60alQdgxcyiUq3ljtcUJa8erl6iHrnX9I7iAcDsRV7HDAeDfVouqHjyxfFtkWJ4cD5wMivk5
GImK5F2hc7DqtM3+cneul/2X2+KHX/Dh7hyJmhDkDpD7ZaRACha/PCESLYPUMAOdtCzyvQtCLDWP
SPFAwNc0of/8FZzf3gU+clLJw0iM3IfH3ZtZS/DsdYfUiNdeeO7JN8qqGyU6wh59E9TzMD0p24q/
4B7V/RBtkbrFQeaQuDNE3d5mbBW0LgrdEdcMKhW7R2PGAQ+TTFMGapH1bS4ti6VS3SsHJJ+Z4hkz
/KfaS9sza5DmhSGtfA2QfVWDee/OHCgSFg4OrGF/S5z7tXTzXHaDQlAhkLr+XXn8Q+kmbU9lYcqC
0KT5Uxke1ABA3lgYv0GGdP5SJ/5m2Xapgdl5CsUHf4xsYEDrli2LzqGOynfm2CFvbSJpBK6nvxxp
3Zt8uJM40mqcFjiozY+FPS1lGH5k8R7mNnrILCd6SslSAa4+s5uQM5lhG9M1vBOJDvFfbqHfvH0J
M0QB5Di8mCi8f15iGfYiZE7N7tCrGaaidzOp5s4U4Xuu9BtbXjf48y37vfb85bdK1OmWzYbb/bim
E1vTTUnCLcs2vLwjnOHKRt4dzCUcNGdYvuF3eaiSfAqiuaa4EV4ClTpiEka18uev8tubSQJHVbaD
yf7jaznp9QC/hOd39CodmLVC8YFhETEOlCgZp+9/PtxvXpoucnguM5jQXwEVrp9mUdFPXGQafAdG
8OF2AeX2lz3ib8+vRSeDO4nTi6j/5wsKBCdCPlB3B/bI7ZbAH+QNZepv3dAzjiPeU+agjHNQB+aM
2IEx0g3IcTka58vi/m2N/HVTjqmcXSGbcgH46ePzOqKRJHsWUYIzaHOH0xmDSbtcQt2OtlFhGVva
twy+lCZ6JevNvzxW1u+eYKohTjZ1O+CJDyu0Jk/GdkoTOaUl4rdarejIsY30dcdsEEmbW7nutur5
API6fEgKg9vkMjDTmqld0ag428ItGxFdOVG4sbXurX/E0P/5zvjN1/R813VZY3D9M6H8+ZLFhpfM
kiysgzuF7b4XGLJE1/jIX2Xyl1Pym0NhaRJMf+jLe1A1fj4U0zQk2TjUDhqdz7twZnW7lDF4LsM1
u6//8c+iBkXH7q4ttV9WNdiwC6No0RykTaijLy2XsBsVnqetpov470bjzT9Wjx/RHb9ZxDgSbRFK
RDz4H/eN9hJGzHU5UuKgCQ91Wd8XUQOh3+wwjk94OkQFzfPPB/3tqWR/LRiV4ej5iB2PIrPERS+b
A+bCYVvIadxAGyKI2CR+5M+H8uVvXvRUGuS6KhANDivWz9fNy/DBRIvFLSLIbNi786yZWMZiJKC6
CEsiFNrODlxq8nzbOMNINhgjummHWNIpbglq5uFKHHqMR5JF80e7HjAbki3s9VAjczfZ4LyPXys8
85fEg2AXieKcpICOOI94U/KTgCGveZeBP8jRYjBuEhckjTWXHcMjOWoM/FISNmISR8GsWow5J2nv
U6uY3J3j17H9TBBHUnxzU5olBGKxg4nPp7jFNtEmWRvjzqmsec0P8eUBB28hdoZZWyekcZNx6BAz
dFeyKHuPmTShibduh/N2z/82RuyRbZeRuy58ss9L7KPRpadKqYJeOlW674EW3g+G74antjSqM4B/
sFTmqLVbpsjI2hnFroofIAxHFSEu23p9RRzOzGA72gHwLdsLtB6KOb3rwxk9dN1I5CI2xnkKyE8N
zfMCFaNJ36Go7aBGXkhxlWDPelV4DyERhnraAo6s2nu084Y6YN9M55uRoMj7MhEosGaj8dWdWRGx
tOvnIeqPFLHTvvHAf+4BXYIdEHW0LFsAwf6hbHlF7XIy4AF0GfDaNw3Dx09pjKpvyovK2XYC/TLp
1ECCC6+/pc+77yFLPIW1nT/nhmfe6dIF0VCk0xlJRfmOiIbrPp/3ZdPtJ6KC7kIU2YOI8VFjjD4w
8hqDjDT7fdQPJ7j+qNDq7jWFOrkBqwn8PZ2cPb7or8IxRiLL547v0KqD26F480XiHgRSAWLvENGB
S4RRJurpTWkMjZAF0Mar4XVpXElyJPCBYYK1m+SP8IJ2ruE2N9Iv2p1lggjOHGQvvZlY53Au40vo
BrgbFNCJLgkfp8WRB2lY0HtReGJGDo/w67PtlGY9RUVHQiNviaDr1HKb5ROBsSDGmPuvFMHsOqO7
NI2iPWUTeeKLmaFU0uis0jgE0aqy4nx0GNVyZW+Itb3DcTztrBFiMdivZctcuA9CG0gfkkLzLozy
+qX0OvOijBW6K43wdDJ1+05oark1NGwSj4b1QVWVZEqFOXNNwTg6ZgKPeFbejibFyQbSk8ja2mdy
fi7wNj+XSXiGdeg+6edn/OXlDlLcaqEKnwt3tQxEWeEdh16V+8GAyb9I4wFG7ppBQloUsefezkzh
chKSh+Ek9RlFsm+4S1pjuGmilvF3T8TO6ACcJsx4k09Y4mej/NY1Y32GHSHBElaAjyi84V10DMrn
ZGQCGWQDWZ8z+A/SLR225rbZYlyvEl8/ZJWHO8zm5nkqbNOBZd6wj+BlyiKRRni/as79VTNyl6Vz
iIYys44msENgAroiY3LxzvkDAVs8ELtQ2nLuLrx5jMbu8xy3qkPyaYdiJJQAXslnGHh7YrbWqTLm
6/qgDLv6MkGcrM+cDL1bUHgtrr65sgh9MgxXp0ywPZRLOa43Y0XPmh1N2iY5a1vO1EZnZR4sKPoe
Yrr6N3ae2g9hUWbJEchnuwP9SPgezo09sn30GgR4TGTHduYbwbXUk/R3ayKPYdwSk4iOrfMiF+Fh
BEwHTq9zMU2de0/YQ/ju09zv0RW5GLnqcDCDZfamT8yZive2XoOI5qKzXqAItAFbNHntl3b9GazB
iKK4mw+aiuXBm0X6GSkCOBIjx4Kv7ea0VOynk6nEACYIc6ELxxgkXQOf4b5wJ8SO3zyjDGy+NLXI
9tlkNM+qsZOztA0JC3Pw9e8TZOFPsoJyABxkRFgbSqKN+6Xj4fieR5OZBLZEriu3KQXXETc/scO0
kHfsSv0W1jjy07OiBuuz0Uk0PK6ZbfAjZEIerY8dKsG5JHD/FYwGj3UZ5+s9aIynyE/je7OIcwTU
bQ8BhdNpPEId4CeqFY91TqorX5VEzcfBnvrxMgqJX0k84ikqk3C1ShPMI2LBpzqE/n1PShs0orAN
lUhzAtEJnnYkhIXWnQ0KldDHqOVR3ZVVsewXdKP7sUJ9e8CIG13jhBzUtoYPfs1DRMBJyNWlCb+m
e/qkDgHefGvJy7sVS2s9dAnnO0mz+bDgvD94MSfVaMWMMMRubmuE129y3WFuS3dhoJ41pMlwZpMz
ib6YZQ+6lNUSAVJbJC8tQ0d81ly3zxAk14hgReKZFaHKXaAn408vC0KF1hTE3tfdV3/s5LVYGmME
cuhH11Misc7DHCjmrwA4BOpbgDMO0R7OCLn3wuK1jBTNT6OtQd5vgwhozbfzcDYiUKpM66EmmOE6
kVX4qXbj6MqVffXiIucOdB8jhLAB+1g48ygiZe+sOTEeWZStSbQldtbztuDHC5+wIc8gDQpZT4Km
g3+NuzK67v0GwUPsSSrw0vSYWDhNfmyzFZ+hfZo4QZIRO0PYHH/he4J0FI25DtKFce1m4TmnjUVM
3TzTtPbUQORZJOQ2DGfo2AiTuMv7GBRnDZXjPini4VFUmiCyseJL5tLM7jzd1q9OGpN06C8NMeSk
TV/PbkH8TyfK9jlvlunGgyn9aK5JZMl6uW20+xcyJYirWSO5kD7OezIAkNBSZMTXouOsoWybbzDl
ze/mAneasF9yaGjah3fwOcgNN2MA187IJ1YLZmjLnD59TxpEFyuM09LSEt8ZBRoeVdPm24Y9GYsb
+i2o6EoXPDQR3BWwFlLECuCYBulFImbLhQEJcfexGAZs1HHPnbSgOmbpdQV3GmtWfJ1naWUhgV+q
G8NJaeIOc74qYzvSlI7wYMmb8jv9XnkGe6bBLFJiGcbmHVmV9fg9B24YO+sbrm3gUTx6zS2rxfJe
2Wndbl27nDN0bLL/Znugdrhminu/rjktuNDa7oCnw2o3LiXvw0KcwZ2vTVYz5Q7fptprbon8o/Hf
2PWVJrXq85Qi3LK0F12TKUwAkk9YatJ5cIHQ6sA/QHV4LI1IPzVQ+83b1sAZPbChLOSxAvHyTkWt
LtkTh/u6D+GfoiVQ9E210zMQdryXpfP0VVjU0WHI8+FMuMDCG16bF04rMrDQKkpuXNHVe2Bp3ae2
HkCSLPG7xkG9rztEceCEa+dN+pHcixrASi0Ax0B8R29OksQBmDccV5wlQaZbnkMITPOdVbTTDUXI
uClFGj4Ckhfb3KjutS8uB8WSCIKBVEqNJ2OE/3RF9unJ7OPhlBZ1y2Ez99ocAagAB2LdcBbG62Zi
wNg26usSf9u9G9rV0Z8S7Bc6KRbycxk2NpY0jzLRp2Ge8yDh2bw0o7G9KCNVnvBhIr2xHUpAn/Ef
LdRXX8LmyVQJCLoanK9DLk4NIneWNFCCi4MZvXStejtpcT5NqXii3iY4GaH6mz+uc6ZK72M6y0dC
3xTTMsJtz4a0mp+8aYzuTELQ9mqqz9wKZwCpeSjSkqYi6WB5pf9XfM4Khe5LVZwkG20oCz07nK2a
Z0wBaZZ1x8ww8QOHBpxDTBH7DlDMeRH2UyByu7jlD4qmfGg89A1uZQeq8F3fcZBehuqmhyeyoTFN
9qsKxSuMIPcRSlR+liTqcUpNLObDmrllUsptimSuNlUyxpcJ6SE4Ku1j6CzWW2yG437wDPOgoTAH
XtI7AURtUPd1rDcjdsNdNM/uOcWFeEqFPJRyqvY8TizAVcruFFa+f/Bz33/H8Gw/TbWwrvzCX1At
FOKhjqeUXHZf7CVrFz+tyx8tqdTtPHCV5AB8cq+oC5FftiASp6n+tjBqwnAR6eSqSbkNkjInOJqU
5JplrZ5RtxZpt51q9IYMEHBaoUzrFdY9yMHpazpP2SkayzOdNTnGKGFcVHM63S6m/aQhWO15FPeQ
RlIKNSTR+Kn7q0LI8BMGYsoMMewzlsB0A2w+ufPMdgmywvHOu3k1lZsxacXAgDOnlddFLSs47ASG
M7TIsTTM1XBJ+AGvncIzMh44tzzV0ZRCrnJWBWkKXmzTtiXb0txIeYyYoQ2XfqjT58IW7kFaNOBp
rVW8sZaalkafGNONHzrNxUwzm12dwta06ds0O5E7Y95JBcE6RYscDno7eF12mXOVz7sSCFonqpzh
KPLWcuz0BX1f8PZdemZNhv/sMzNln/PaVuXK+JLLtqmJLwZAGHsbiDfWM1Sl9ljZ6s1a3G8hOsYX
Ktb8Je/g5qVdZ3yCoW3sMWpHO6364nZ2qVhysmcZevt6QdEKEY5yaDoD5DQkJ4MQdREMyuzwPmYA
OFg03OraIEUcnMKsqmvaNxV5JNjHSATPcxYh7KrpS0GE3a3deMWtm9BH3iQzC2gaj/pr3tkYFLs0
/tqE5rKGwfOBDSqAk8Q7dD9D+BifWyoerlvCJgciTc5bwnCdY157vFF88lZ5W9I7W3ILU0hEQ/JY
hYn9QH3MzjQrYnGKsqn7in9Xf+36jiZCN/fFeyZKugrdosMXE8fXW/YdhVMJ4FFdM4UvxLGwCRdh
YhAOvoTdV0NigcBXMPhqt2SyvM9xaXCR4mms9irSQ7UX/khHA6Q2t0ds9xQ4VQk+LnZ7HBh+VIUv
0pL8G7+esFWo1M9WUrTJbVQ6eHOCoeNbgkRCLhWUqLQUm5iJg6aJKLvzZJGafaNZDhbmEAjf0Z7i
lU9eDG+qjmKk/RjEwp8NbNdrCYC0n+KFzRRBuCBCysBtC4pWWN5cJQMbg7vNpx6bRjvESK77BKYd
HLPi3e57jto3OG6CET3nyz9OpkQYi0Cb8WQCJsJEmaasZao27Ceqg+PLaIuzscu29II49RBoynuJ
fqwk+z2l3YOyAMF0mU3ZWW3RBbq2ccxbe1JT5fnc6upejigquITMW7dj2PD7MiXph7T4MlKA4li5
DoAmVIyoVg/vg0tvdNPbwCovXcOKH7J5sA9lD1yuADJ6mym/Cbc1rqMHOEndfDbRhg+vRc+PPrMH
k+9IVc63TsqQi+fOiOSZ/2GPBoKY8OzS+4/ngL4MZ3EwNH9/Ke3ua8LuJdnwZf2LuRu6bwn+auyw
fQvPrPcxCEEZI2Zwm5s8PzgLpUkIMP2/0wgg1iQvUVPRkTpWkzjgtjRRWmYrKYtLguybZ4oNNy9h
3l+AQkx8qaXXr7jKBZTtdTw4hBWsJWSuSpu0MbSBnyxYCbsmr8wTM+n2bCx657aIvOkCLVPyuCzx
+Am7x/CP0eP/aFD/pkFFrkjH+t+t4eBVv/6vb6VO9Hz1Wnz7P//7mOdJSSPnJxHqP/7Rv0SoCg4S
Ax9G+ZjqsIfyef8UofoWYCUGqetMHQ3ad33q/4NQ8+Tj22LwCCgXjdK/RaiO+1+raoVeuu8y2zFd
+z8RoSL/opP7w3wM5RsaVx8hoy/WscXKafpRnZa4CRliVhefpsYCvDXW+LBlSgnBUByAIwxlQcss
9e9R1bNTWWcEBLQNnmRihs+uOWsRwYdbr8pd4sCVCHf5UKF016Y53fY8UOJgpWCNbzNSkJ8a3iNy
S/UaYXfE3AyXx+6gv42Fh+EzpLe36QtzAYrEmOTCT8FqbojBXQArLRq7Zlr5OyJtnHY3rKpHaKMV
zaYurIeNwE705qez+kI4xBBoRPu7CJd+uYGchmNz9mjmBFY0CvvCt3Eld37hXo6CpbcY+ruOzsJe
dQxDSRYfTId0CSu5r9N0vp1iU1+1kV3cFVCLyp2aKoOC0JsAQZbSxEDtpvVdLuuB0htmHpuc+SxC
mnWy6xZCY+wdpsTGGBdXSQW2U8Kc7GLejoB5MgvvPTWO0Mp+yn3mQInT5veWTR/bj8VLxIbkWlaz
H9Dpcm56on6PQzWLILbsm9hduoAejtoZc0LMT23kN44y8iunHO+kSbCKzHN26/Wk4i/U5/VBIEvd
tqzM51ZRUJC7U3M3tI7itMdJdMlLU1yNcenw3fqlvzDHXWNX1VVYt8V7Orj+fkDete8kOpSIZtgd
IukvMgyrwAopUyGcNpQt/BdFypMvDOy4xOQBV5SnYax4idBBuk/bzrlzJn86d2o13tC9oj2RxW8p
8s9XnIBjAGf3nHy0OZBUTzj78K22bm3cDtVU3OdtVuCKA5FtY3jfas4IDMHsts1TfWXgut2C8uw+
ZdMSbkRnT1czPcSgZjywsyTf1GArAPsijB4WT/Huy72GaiItK+KeIFW2OxOj9zkWHPM0m/3XnL9/
HfUiv1UD9hbwrqF/p+iS3nostPh5wpQMSHrlV5A89TatB+OQsSE5LEZf3pk2d7Rye30BoFWcz/C6
atgHUHbs7rJCoPyZMDqmbobW8UmksRXQFcsbEqcGETREsB9Ij4G62wAnQhR+MmP3cgBtSBHkAiFp
Ki+FiAqNyCnzAaAR9yBtXxpnfWhocnT1o0EsQdwtd8z8TCgK52Lg1d815fM89ulN7LTXhqbIn1s/
wPx8ZxGXsiu9+ktXK3Us0upxXrUbeKReCtXmmO9saExFYp/DDOLtuV6p+asRhahLV3vk0ptPEA2m
7TD74Rl0BONy9Hx/F+JNDlJTfGYx7K7tupj2BtGMyN4jCfmvE4+CBgOdc9WRnoeYxcBc7KbGSaF9
xFtpQzYIm12vivaQ0zCkrD0tOrnQ8AWwtKEsLJOrMgQNBeACi48okEGmABPHOtlnYzptBXkcd0BN
89vak9ERJQetXKKBjmjopttiypdDqTPmKZjODks2gV9sBwp8Zzy2swizYITkezsK/diDs8dsMkuA
LVYMqRVkgBjNe7IzV4xNY+EWvZnD0SkuKDGuitZ7q5pK7lx38R9Sokn2SKkxW3tJeDM7XnIt4+61
FDWRYU1Bhy2xXt0aT+kmbk390rX8ZJqSddDWuX0e5SU5ULbkljYxYQ+F+G4tz29mlt1NPLHeYZxg
q6PK+WXpfYbMIevz0HMPJvM0v/gz3kc2mGZzT4/mvjTBikZeWVxXFNAMYXzCUW4iGVpHBy87ahQ4
5PUml4NJCZ1WxzobaAolpUZ4Wpf+nU7Ve10RIhjZlHhj7OW0MDwYs8x4yfap3bKowq2ApDCR3tTL
lTiUuMbeWmgKe7Yu9nNMFc7izqxr6h/jfO4scTYPpT4VpRn3vFuM5ktmsI8HUZUyWZzi0SakpvVo
x6XV5J1lPfaoi0m07u3EC/veaUMekWzk1ju2epDPHfbKU7wUcESR7co3zd2PnRQRIWGARqgEzcpa
3TXMqkiqscz2VOGcODVzaOy1n5ZY9Rt9nBlpXsd5n9/TVnTUph0YrgHy5sb1lzH+zPS52w22KM6s
JIpfPcTu/oYJAMqmaNbiInJafH9K1LTqlxGB9FATtzQ6wzBsmEPhXGNpf4f8YGKREDaUh6HrbubJ
bkx6aTMJTotV1vCE6HlOqzCoh9fhNK9NayafeSdHJcjx/rJzluI6HKT/bk5xz8wlD507g5L6yQAx
elWY6ogogKzUwnGB3vgShHrsND19CvhqEeOzo6yGY8Fqu+2oH+ZgxqwLJSXkLCIwi73HfpjlBWyZ
/KuRmml4KnqbKbQLLuI2bIT7yHsERBXhm/uenF2DBDJVh2i4rTg6tmBBv2QJqessRlH4yBR1WGVA
+MmLOTZuktTtkK06RfuZCU125eR1FHEXa4Hp3y+WI4yq7KvQTQZsgb0ZVCAbN20ZHklNLQLCC3hY
60o310vjsC2A3OrNG5uBXbGbbd+8rPN4/Cwxk34LobK8eII2QuLYfrsJfcLNmKqA52itdLhhqMvm
wOla44swZ0T7tAOQZdHwg09Cd/xMGWP9ApOk9LbzEvbH2tLOGKRJ2gDQUkX61HiJgLhWOfouFeD4
6Iw4zZWr6/zIM8cGorfNGqIcgAPc7LG/c1Rrfgb1GIpdmZjZFFiDAZE9F8ldiGv9wE5NbUvgLSi7
PZEeWJ5TbyOZeJCvZqsLLLLNyYKyHbiw4oJ56LsAGpYLSb9eVg2j2DUmhCw68HrH5BgeHBqNW6vv
dNBJ6V/kxtDTswzRKE0qrY+dEljdirxsP2ctiIRNEvXEZqAsqp6z2a5LoGL+3NDtbpZvjMmdy9Ak
AhXjyhs4HP+TisvitYq6au/E+ZAHLPEgX2ASV8aWuTYropxm85ggVrn0F6FeBtnmZ3Vco9mxI7kw
inJm502NhBXr0HIefR3HMHAKBx8eiB74jJVdnbEJ4o/Z0mfeGQ0cqDFZ2AyrYdd6HfyBFlUp65dI
hPpW+ho+dzrZ4JwWCshdZI4995LZwR8olfXVb+wGwyuoEeMEuzJ8ZrBYfpoX7XZ7p4yn877rZ8KN
sNwGS4s/v2DEeExBUZjwfJ+bUl1FM57FuBho9Bi70UNlXs7avxXaN696JaIg8guycKVf29c0Ogy4
3ZE6NOA9ahg5g3hDMg8eUVR19EhkhkLYWYxMFizDsfBtdolJFy+KrjptL7sRRcrRTvPhsAjMqEvt
5PveNPsLixhat2+Lb0AkegQcvatQROAkABJfIsvEf/opIhr7zRVVuB8qk0kpVxOeJwyn/jK2p+wY
UWYxowylCVMdC7Bg6CvSrxhlyPyE1VxuaiPOWVqc8fL/sncmzXEjaZr+K2N9RxocOw59mIhgMLhT
FMUUdYFRooR9cwccy6+fx0m1pRjKoazubVZVaSoxCcDXb3mXFlTH31UyV/ewvrNTO/ct8oNkvJTd
jCKdgCdyUco63qY2MWI9pecRnQS1b2Q/ojQSQweHn1B+VoDb5QbzYqwosxzJr5Ouc4ITrHnXi9IS
3flEfn/JF1aXjpfn35I1H/Z1Pgx0/Xq9T2O3Oeur1N055fp3t8zTuIUIKJ9QZA9v3b63vgs7l6+M
sP/Nkv+UJcOBey9J/r/VkypBWL0mzmfP//1f4uXf+Jkhoxz8Fxky+WwUwsb5JUMGdvSX58HQJTuG
NREHwP1+Jsih+IuuIT9OdgyjShgGnGrHIfvv//L5KwSL+Vug3sAsIXD+B/LCL7jwf/Jj8zqsDKj5
CKHz1tExpZAi7lJTnPG+Y5TXFT+qek1cG76yY/XDbhgKZ3koqHgPe7W4FfelWnz/GwyXrrlEeLft
nX1nmapS2UcWBOomTqgVoSFUZvMnaeN/vUCw6YIVY8MEsQALHT1sPsCmVuOC2mVeUMe8wVOnC0Fb
2LDjP2VY/cqTqoA1Gu28Jc4d05XFrO3UVcBr/c2cF34styihWfhUN7pQiCcuaPOhDPHLRP4LEE68
rR4QStMhN0Iq/BcyK+TYt9UDpLKwE1Gr/71TE5Ej8j1hRsVdeq5bXtGfinnkLPKm/tFT/1ruQT6j
LrB1slHyPQ3GCfOn91/pBUb764TR84SgEGJKA28K8OvRK4WFg9KzkumzIIUsr5B+Tcvz1RuRWz/N
sPmdyg0nL/AKRN27aNyUxdxB+8LtsC2fWlTnaEeHI42B88rWih4CaL8VFbBqZipOBtQ914dMBok1
nwRr2QfX61oi/HlCj1b5/QYRgxEs0/sf9RbLC0ONQfZxjo5gM1P2OWYQUdzDQKKsmu82+FCkD5vc
au/qKmnX2/cfdDShwAqYS/aM8Bw2ju8cg5SFFarZi5b12RuN+j08++yUJlt1mNf5CbBc9YjI/bwb
YZGRfkorOHh0/5rd+6/hv11XvAaoSnCjqIAKPhq29dt1JejFY+qVhc8pDsblluADET7DetqpvFqH
nUbW/xDWA0qV+HdRmGnb+oA7aXylaY1QLA1T62YVqXdAk4u2m0yobKNt4W9laV3lS0Og5C6n+C+4
97iZVjetNVYD8gxIfWzXYS6v8HhSCagPcHKx41I0Rizjx8Llee2GQDtKKDCHnI7sDcxmsAFtokbU
N7Lxk+075QeridwMcQox7V00eimlyzy9n6o4K7ZUFvgA5JtItoaUZl9Y9EVGvjY3Hz3fii7zbPH+
FkigJFy1JUJA7w+uGbt/Nsjr2EL+dkIaJJy5x9RCCs0x8x4mz33u+ddW7xYPiPkvC5CQxgZdZJol
7z/xiFj18kg2NrG1oBLKqXwEAxa2U8m674rvRVd456vlUndJxsW6iLsVRSpkUDGP8VP53Ll29YDc
E7kqXgkfLB27+/ff5YXU+/bzjdIFNGPUzjnVjzkscqp9YFFN8z2dvRAga0KvpqW/rneogfqbHjHi
niJkCx8CrxO6AsA0/EPG0boj04hBtrdAJJCjC8LP+UBEu80XzoLGUtkV8mzq0LvufB2MZDqEVqkH
lsh0txWEXzovnV2P6LVgbxbVq4/5N8OyL8rBusItkGgnnUIL8yBgHEQt9HFQBeywns4wEkEzBp3q
tifDt9xagyHrqwbk51QsJ5oi7oOPEfAJKjHq4+Ag25vVlYtcRYhNLCsRaXbDx0ITPc4xtQ+LtqVn
NQ8JEi9VlW5VG3ZXE+Q3Rd+5g+7N+LXUACIC71M7SOnHyjb/PDboSnu5Q2dT6YKWxfuz8/v5EwIW
97m9IeUyPy/l6l8YN64zcZzOU/k9CkgIcNyIi68iAim6tkwZJMTweVWGWtxYXxe4h2QHgcZU/g+v
8ZYJ+LJgI3Odxfg9xp44XrCUflWt1rD6ThKwjBAAmZAA6FN1mVfBgKIIFiVIr417jAMITnHnesyg
h3Wsk1Xc/+Fl/mXDAimBEMTRAW/n+PRf6xGk2FwW39PQDj72gaDuWqHYRUkgv3BFPV6jGj6cd15T
n1WzK66GJqSDFVbDfGtMErncmkkjBze6P4jCiBCiPi8//uEtzR4+3leEYkYwIAa+dkxf0jVKRHHv
jd+XqejTT4aAi7G346G1q2xsJQNdgvFQK53LSPrtj4xWLvYEVKWnUzds1YNPQnNph1P5ySH5yJGM
LpO9LCg62mtaYFrX19af1ttbwoi5WOGTGh6wD0mb0qO5h35ZbktV92Af5uTZGNoJ96SrEqovG8cm
op3dsPBu8Ln2OcqxsayoqNLNDPVdmfvNn+g6b+H9L28CkxbxCp8Dkt6OCQF+eRP6DgtGY0XwrNE/
D659pKXxu5N404XueYqTE6LJ78/Y22VlnshB7CGWYehmeCY7b5+ICFlVdrnvPM8iRb76O85eQArP
km4k9knb3nw29sXj+Cf62W/RDM6HETG7C8AsNISNtw+2RGqFLU2cb9XYyxZBo6WjOgWab02W6Q8f
ecTJMV8Zw9tDAgbPRzII++hhHHOinEA1PCsEZ+vwgNxk86lyBgLl7RCi99XdzPGa2PVlm8smsE98
nZXrQ6HCrnMpexCVJxtKXHX8oaAd5XpIdTdOdVkCvIyWAyRSr5aH92fm9wFiqwfmP8jvkxkdXZc0
gJSEvqW+zTbYMxDsoXHfSRyLDPcP4/PbIjAkY1p/kFkER+5xAC9izMgohDTfKE9IPlhacVn80FS4
/c/EVAFyUWgKtMOfCMVH2gvMix/zgU7AQQ8DQxyH6YkF+LCTvvUVzLhwsOGiDTKqbRh1VL23wqXj
UKEJ6JXh0wI3ZEalQEocCre1NTv6HoTZRFkqi+Z1+JoiMhtTmQkcSCKQGNWf1HJYnqzJf043L+QF
Q1h0rFZi0kgcLyM/nWiBjbL9StUewYYN6lzDeqsQeWR+1sWm3nMaq04F15ab5Cxq1XgeyU8DdYbk
IC69dPnGXNbFjwC1Un5DnnglfVIt4IH8eE04vKTjdPHnMQ0+w+IHa0R9PyyZdE0Hk9lp5BCQdjYA
nJmRrE5MSkLggTLjzsF4MPoADmGYH6EYkDJvQK0gq75zioKax8Ze86Av9o7Xo4226bMpn2+7wCsg
yUyjyMXGRat0vWUXxj7AfxwpHiSaZ7yj6Iq4GUH0jeIz2mJdgehdQMPkYR3cUN9r2Qf6ThX8P9Mm
awo2Mq6eQcucOUBmeHSNYFe54OjaWRwqCYLZfEyLQwwCqkvWBI1Pl7dw+Elu3oQfyYNQ1WCsoBMO
H4YprEnelh6dymGrJCzh5aRIYx5t5VPMj6/0gXmaBYczuHbjEoM7Cq++PiSe7vOrymui5ZT+zdxc
YGixjOfjPM6spTkCLLUYjoVYLiKNrHCJEvlgcsQ+Shw2NvDQQaGlhgA4GpU/PwDz74xPbdB7CYqd
DeKPAfXthuWn5tQcmBVBl1Wf4AUW8I887LCgBKOHCOX//I6+6y1MZnL66biOOaiMzBs3W33GYHTz
hUfPXcZBvLgt35S+jqpHR5CR86Nu5AemaUAXs6nkCOZeZLF5omuFVCmWLgkYlg7QOZ/HeWuWS0sR
s/jh4i/KoimSoKjvcBmiMr9Hxtgslw7QH3tKN3HMqkkdvFWWrTsjCfmDMFAk4R6vwTJyzy08ZZdv
Pc5qjGE7Uwittj5nsEg+RpUdMCZrOEbVdIYBhka8Ll1Bv0a7ArMy/m5BBM98RBF3wXzVu5hZpiet
Jc28h47mFDiRK/L4SMU7iVm/0u09/gRjoXf1eay0x28BaeuxFcYCTZqCmR9CrhCJnAuvhPGGeRAN
TvMuXpxhBrwFVMEWXKIe16KduwaBd9CAM3i9os4jU6eABlHm18pDpf9zPnr8AQGUJeS1Ci82Y9zr
mhEcKScynHSPzZqrKHl4h2JAFDTcpzYty2FrSkn6vosa/rcnemUDh8XA2UCpZCXK8KacfY7D3WoO
D2ND+FT0rjRb2ovNL5U2WlmkrYo6SbMZOuHq+xCbKUYBqU0DcNLYBRb1FQBZwS/sJS0KtKOpPZhV
jaiqHHYQFlbhH9A097GIK+x72IN5rHci8kJzMmVVhqtrYFt7H0OKDtvscklpGbC26XOnGkLDrb8s
M8s/UtBeERFHz39puK+nFrl539clRVp7qHqbNKpw85tWZDmobmpTZoYb9I6wN4IMrrR1Rp8fvCNu
h/3QAgitgCVOFyWiGrxjYinmpod83fpPjRJgSpFjKiCufIzrPvGa61a18RxtA2w78RTgIOa4ORmA
kSw9IjwjykabkTrVrDeJg4vPIXGLEVdw6D0cs8G3dQIQS9UbI0e+OS7mciXLRVEny5AHb7NRhNfD
HCuzeDAlMStxmBZSs3JBaQu1bdodrCFYTX2ZXqA/ufJ3vaNHiTGm73JU0lJnlHY1aEkStNm2aC5e
qymgk7AvEM9nlpDocrgL2oVKfrCNe9ucgiODz8oFGZgMem8PHYrEaOGrnr8bZGLOpdLW9fwhHnAY
oCfsjSnHU+eBvJ4ukHrndNCMIntBOBB+YLP10sWtg9mnRX0RYTTpHaJKrbx4Nlsjj/ZENfP+HJdc
RwBMAIXQdEe0VJ1EXmUu2WEYe5bjHPg5bRoYSwvnwxJllncDvEDSg+SI8r1Dh7slnxTRcaY5WQOE
hACLjNLyDUAP1befdTdOfTM4E8lrG5+i8B5BN06zAtbN2VjAZ8MfARGlHUSdJjnx0I7qP1KK4eMR
FK847fUyhbxxWCAnpPd0qkM2djGuhNP0DVCQKjc/l3WdA47kkPFal4W7ItTIm5Oym+NeWRGXlgBw
xxjTaIslQO+lSm32p5Xm7Fzs3ZCGwbhEhChI5xy7OxWXciBhXsUSfLGaqZIfbdAC9xRRoAuBEO5z
mD0Nit+Ybeux+9bhL2tdyLRG5DjhTd0tNrV5/yXnzF3BOTZt9Uy6vkqqVkgVP02Yuk43a4z6pdFU
GtqLDufzDsQzzEWjyYSKoBr30+RH+lr26BxjilTbtbh0K67VkyQaUODvmSPJIT9H/QoktdES60is
zbSJrFc5Ua7zQvAnMQAUaxkeY0eM3segGhYPkQ6sF42zWIU2QrvpYr4fOt2SpANWXdxk1TZcKzJz
uBzVast94tA3u5jZHCOawRTLENHo9sBlabn4BGjrfYoMasvFFwzhuVqWMaKhDWR9CzM+po8fpIOK
dxgAGze8MHRQCfCr9ACQbtjB/5nWiyRubPtUTCJz9kk3iwaTibBaUaFOXN+67cq29j5BOwE8fIqW
wtL1J3Frz/P9PMz4GFlqaKw7z/LU+jA0rGpqgEEgP62hThHzqYYglN0p0s3piheSDrtgF4O6xJ47
H3C8XVGmxXkrLlvXoTQnV4VVmqiLqHnOnK7Vs+mdLf33uPBdGClj2LUhLWvlDyDzk6b3o91Y2n4V
nCYkrcE12ECrLE910BHWZt+zCAs8XGfaCBA+4CkfBx2opy4Ooum1dPiY4vZn9G3DkwnE3YQ/HEjz
Cd4f11JXu+DZP6HF0nXerksmmUBAsW3KhQAnQp9ojCYsG0bSWmX9N5YsiKCkO2tzrcQcJGzuPjLh
o+QCZztkXmBOuBpcIkdJbi0AuvYISIEjNx/WTdHF2qcWISkUDVyMrvysLrhlqKlCijtdwpDfCfe5
NdEf0GCTOYQUnXjbBeurKj4d+zoPPvuNangV0VlhGZ+m1kBtvYPBxzHpK0VkH5UWo3TqOT5RMKVB
E0WjKN9xlhURsNrpArxFgmqZWyvfBgcIn809xJ5TERI1UD45U2pAhHwocQl20Xis1NIciHXlcEdP
ETy0CVHeeGCAugaVhmob9dPMm0pKzjx7hAbSrh+15/f8XZvEM78MIZqEvaT8VvL+CjQjJ0pJCZEf
cQoR80YNfqt0GWOkhviRONGcNs4wyuDrRDUX3LEDZv8ybQvNtTh0qBG7500XmpAliwczRkPbBIP4
MVpqKePdVAkNZID7kLrBBgTFzNjGVJ4Zfs7wxYRIL+2NQNXmlvp5g3miZRzLFgl0MGDxZN5euInF
QHYpLNz2dMmxoflRjRYDyzFTmDcYlYVd0+F/RgIyHzWksUNDk35Ik/Eb23qAqrQrRbNEFRaCIM7y
bQ7RiJylnhP/cyUFvZbXaeTCFOKB9G8c7qM+mflit2hgIeGIounuXjdpqbGoWqeCgvSjBv9dlIes
C9J6OvMIR/X9GjomiqU+b5otUo46z846uzFBhT0UOSH45CwmJ46CnsVSU9ADUJ1PtgyHnVc6RCmp
k5hoXredpGCP4r3S0S3S7k6bXwZJaPM+2KOYfeC6KB30G40ZuL6vlGe2CHAs0+Bpip4fSLRnAjVR
kRrnPRghqHXJiJ7Nae+EFXF2+nq7ZlqnXJqo4BOobl23IwoMXESPDnoIzHpMqgKa5tZmBIofyQoa
czG25uaniUrkejtVUch1KXBm4g7LMtwiaCAGI3zLnXA787av26McfOalAsnOpErFwVdfurOr0y86
mtJcHnyMPcH+16D6WKY5BmrsM096Zu1WjRM3V/UkUj3s0gqkD8rjA6AggtqpRY1gO1q65lnNKvkE
u9O5qYsIE1rHuiXlS8M4l09ajrmxaSzHDqMgckvPvfQmAZUZ5yuHdVbbjkkCi84nY7MFnp1sI4/S
/y2JJ/M8LP66XLgTpi0XQQg+TZ/ODnblTzoTM4MC5cZEPiq1NbGGaiPJ19LrKQkMfmbE0QrbTO9n
VDLIvvDBcvlTSs4CXc+yrPkb3BdcNm1L2/bWzSBLRbRgZKqsQxR07niPhYk7WltrEow/OhMm6aZX
ZqIwOWPqCl8+liaQT7uW9ZGoJGXWBiAMhOtzZK3xNpe4VxKjxH67PjDq5sRFQoOc96wPYXgqkz+w
nAJYDPwimazmqOw4k4NDFyIli4gr3oBENCKi7/BtKSPiqNet1+jKhFaVVRtftaVvK9XvBpCgZmE0
kylV4b39YlJOHXlqbmxvnhvctlOaLfjVxtbAQE4CGkV5IFtOu6sgKOF+rVRr09MEQ73xQwBxXZ1F
44y+VgS7HWWtMbQ84gNo2bhz7ANYV/ya2EOmID4t+sZEog6IDc6Z6TVrnEt81LOzHpUfDikC/jHY
KopkTnWCiLrJAl8TiypZzUu3KyY3OJX1lLIhKkYrGa+nI6B+O5Ikm9UPGrlhSnMxmlcfG9C7NQDA
MRmGE8DYXnkVGng3P7gurKgFxAdrbWAawWjPpYKiuQmsXK10wjNsNp/cdjYZ+vJ6csQY3DKGtSjN
qny/jPcvNaOI8mPsAmAI/d96GTB1Igw0qunrnAwmzzReagh5Wh5aSPFGjZLv/cMjjyuHlKki0lPP
lPOciMDpbWl16Ro0Podg+OoHk0ErvC6NClYtV9f7X/f7o9BYJsaF2uBQPD+u9ztZ2q2a6sTX3EvM
+dQGHm3Si5nDmrPr/We9VAPflt8Q6UZmiqalG/yOwoDbTO+tKt2vs1uPJDJjZjh4W3/wMrYhfC7B
XbgGLYfG2Hg+Kg2jrvoIab8B54trqhCmkx+T8pqz5/Vk/tnrb2RqUgTMnBV3Qhj0E396//V/GyrU
UU03G0Vx0nHHNn//S21/lkk90Njzn4Yca0yspmxp0kIuV1Ko9x/125pzqUEjth2AfHC86Lh0TBgF
C4sA6inOEHhYDskSFdODWEOzRYIknf645I5bKGjUogRIN4dnAhg4VhKXvXKjlF7BUwcXnN8+zGy2
2xGsGReEAxVu2SUx8T7BxMKfvwNGtOUNpx106fe//XiYQQn5vmkpAAvyxW8dqAk/CA3n1v1CTYLU
Eb8tqlQA+kw6//6TjkcZ1Qqbr8XLjqdRHDNV9V8mtCQwjFxRiC9j04blFWhOc0HlBZnaQWeOiRrf
f+BbxSkaNOg9UXYG1ASNiKDpaAUNRbRymCzyCwBUU09Gx8gccxyKC/OayL6aBWCNdMnibVj6GTfj
+y/womn16w4k1AICa6O+Gkb/Iq1GlphVogubL31mL2mDmCwSvydUPbK4OH0NW7TMTGiMzrI5v38W
xS0f5RX3pA6wgsjOptfBqQvflHgo/S/s4hZJRLKFFddzrgSFInGkdpE7WBESV6IcOK3DyTeXpV7G
Vre7LLHZ+BtajKb+CqOV4pGY5IzZsS4p0Z1EBPPOcJYDpcL+oi0tE1tB4DNhlyUdBJK2Ku/NdQ5k
mdgmVIgkcBd3suO1wtcCvSK059QsS8cETUU0vER8jjDBclLU+DNvbIUuDOWxtJBUJh09a1NkaUrK
su8P/28LLvQQtQsgiQE2+X1pj2QWGbYdy2Ob9QCjD2k3mBQINrWJAH6WrN9/5Nt+LkuOo5Z+Oj0a
NPWi0CDsfl3j9JwQEVLR9BingakxwhkNyisjpF1a17ayeQMcK8Fid/tZJCYotKravM37r3H85S6i
wjYnpxFnYM8dA5KQqWsm5jJ7LFvKn+eQNYf6k1NOjrx01HD9/sOOTxD4b37oUikKcFtFmsl5+80A
R1KUnJT6ogGrrA9+EZplURSdiazef5RztKX57VGIXiLgJjpvrmsfNSaN/0OFeabzCQYtVkQJ5csB
OznKqGS6eTFxO8CCW2v+EVKwYV3OyN49EAr7EloFZV1KMKQ8Bq/WTW5FHCpWoOz3dp6SoWSIpi/f
srbITFlrtkwZIBqClk2oo8CUicua7si9RsKIj7NKn7soTS3TKQJMbs5rEoJy7s9AOedLtW9w+/au
3h+Eo/FmDJCLd232qRcCtjgeA99PB0h44/xprCGJl3wvrQrsaSckzR/ef5R7tJ7NnHJ4BeCQAq5F
tCrfzu3UdtRUhZfcI4z28qzRp3Ra6t6E+iNHPUfQa++9ApvGKIDHMlXSn3+SGnWenATBZnB9LzT1
THLBjpPOqVVCRcEqi9Fa0WDvMmRQ8q6GvbW4YOXdEwTgSI/zlUMNqsFr449ukWkiWUg8sXfWyF75
O93WZsJXv+Ap1ksnPnwtTWhBBRSjIT8zM1kIopZpg7OcmXdUPkxh+WcLjR3J2kV1xyTPCSL6/MJF
gAtq/3Dfvt2agGRoIrJ0fS4GDx3EY/AEekD4rOJw+UwjDOUDJ2nKk6Bq0bgKpB18en/+ordrhacZ
Hq1t7Fp8Ll4Iq2/nr2e4dGR3ybdKu+HnQmJQtHfoxR6CMuo8GgrZsE+9Ob5YMA1O4NElzaF2yupB
p7mtX6jVdGhTdxNbSwRXBUjVp4RkWd1Ws9LZNou0c8A3/UPN53zTHQIsfIeVLVsaR8GNhjt4kdm5
uuL6y1ZKAxlCZJYq3L9Xmtb6PJHwvzcdKsjejhJl+WCt1kAmUsFW2qpY3npcgeXeqyz3KlwkDNVu
gSsa84YZ2ITzqnJoSRTdQO2wLSf6hYOovoCUgDI/45G0GdfeBibXyfDeIRh46jIkFzaJDDLqJalS
p3gUNvdT6I4PuetC849sCwSZRZHwsRxjBZWxkx8RllHEYMl4KOax2NOTWLptQ3NqRowuzq3N6NX6
vGrak2GKNdWhrCj+HqMAqm6UjOgvTbK9X/H42xHrWuD1LcvbogH9wRsW+6uzDOqLCFfvE7pAiILP
QX1Rhio/8XKwSn9YEUz4PxHJ6/ILAYaba54Yzj06rJPVI7STcfOMnmoNJna272FHOWpT1+WV9lxj
14Z5yAdahFiTvf/s3xbjy8IHq0PLhkP8GDYx+ipuS0/Wzz0G8t0GilI5o0cIFfoP18TLbzr6SrC4
AA/wKuJCPgbLzLjROxpczrOYWpax+2LCgkC5yHdzVoV3jVMnd7nC2nFjV34M8UbjXn2qcx8BQHCV
qGTmQ3AjAxmfN1YffuK+hSVJXXF4qGuCF2doauhWg/A+2LpofiApEF02lGc/aGdx/o4L8tSNaIWN
XkOZ3rh1zNKywjqgelPSixNTTGFNxssz7poQYPtR7kXq20/2PLjblfl7jYX+l2dxv3RoCjw911g6
5YpD+9vwK2uCwC8Ap/j/VyO4/j79n8dWlv/yL/3kWkCbAHhFYYDygBEjCDnSf6oRhPFfIXgjnH4o
a3HX/0K28Py/DCyNIzcgBwd4yU77SbbwbOQNYpOUUADAtIBf+B+QLd5eKFQtQOyTunFPgw7iSDk6
4gVyyNTn0pYIxeKuLZvUv3Hl1F3TfPpTScFc9//sq9dnkSNjf2UAnuLYvwlkv7X2kWjOQiTprqlk
iOtiJL5aGIHLvv9PNdfNt3m22cm4YJmiydG3SfjMIfokPI9aU7qZ7I6zophXQd/Z6IkNYBZO3DkS
91OAps0v6+D29bPeESw2Dwe8FIBdYvZMGnl0d1o29tBKNmerHIbnmjgd43aho8sFVZe7GS+Bh8Sx
/4Tz+5ch9hktE2iYtXZcjCI1KeQUhfUZp5XRHsuGZw3nkRZGjhZZai//8QMD5MSgEPFEk6keh3iF
jT+xA3TukFlc1tzKCKFmQ3xSR671BZxJ8Pj+sIq3MTyLCEwYWEay85jBdV5ill/qABCVgaYms8Yy
Yu4RqAkSyDor97TeRKC36+0y5uI6qpDDDJdS3PVUiB+aDtmDbYa/D96koQrvhsVxAIVrf9SkoJm6
FIgjfF6c6A+rgFT9eNGbuojD3gdoELPZzbX2y/s2dUyqWg/jgSwo9e6t2vGTC5VWSDwD+AS90Kdi
OheIV1fpRgF/v2cPLndWXMkDEWYQnL/o4NW4x8OlUzLYoNLEWlJov13UaySuZ/zEs3MN4L+mNq/F
NSKsjENf+uivjo5CLskiWt1Mi7NG+86fxbUlQ5BQY2jT+LaW+U4MwXybgNOsUFdAIvNrpN0OcR6M
F/VJVPZOcSFdf74NOCWCXR7pMjZm3xYmBlmMOqJ0JEsuAVHTbEK1WChUOWsmxHdWqaG+izwv5ito
jtr7MDfLdAmCoUJr2S9A4+GYgKm5OQjkUrNPIZXOt9Y0EN+WPdbbc9J3jyPqlY+rtN0zQM0g82et
u8eodvWtrRQyF3Fv2p6zXcQnBOr+UyTt+Q41UnS0ap10j242zHdWb4l7fzDagmvuP/mx7zRnzRLP
GOcOKFLAcKThqxJ/vhs9iDbgebwJQKrigTG6vA8OknRyN0aT/1RRs7+OVs24SU/cjzGTtoKxeEB3
139C0ni+y1MVn/Tu5Lv7pc2HaBvPFppFSifz3etazYoUyajMzafxKjc6WigVEXaSJXePzqKR+Ifj
hdCXJZcSB200A+uzsrd63MWgLEXjyYBC0d8ZJbgH4mH0pIZyDOcT8JisE90E3lOrou6RujGbv0ep
KkZ04qGr6iLdoNDFysC9z9p6dFQupI06zMa4y96O49JNOx04DCm7G3lGdB3qbdpS6N8DwGGS4kyg
ApsZkbYJTNldPnlw0XCOA21nxt+bB4xZx8g7yZCLw5HGymjGNFBxX35mSJJmWy92wbmxZghU6+4D
HgF6N4HB3EMcYwFnZnsAdUCXGE3sJLkQCoDUVqtphDczR/EdGaSQYHYolY9E/ZFdXA89THbQ9oRw
80eEEFApJsUFZ7avCnvZJK7Fv9BUubDP6JeFesZI1Gqyc6XQvjtd7LGYdvTcl+Sug71coR/jQw9u
MuBnl84aL4+4sU3PGjVvvZ1Q98tvp8Vypr8Vw5+dqqbRp8rJGmx67BIdzwh2YQuqDUVP7TPO6r5z
k+wELB95YhMjJ+qCcct6HGvdHj/sqHCvfTQWthoj84S+3AUSlPN9UI8I6XVJzrRby7WHquxWhZn4
rGyn33XZEmwGZINuLFKsuynrFYKQqBF8GbwyBj3tqgnftDifL3RooX4ZtSlyJbaDAJ6NgWyE0/Mz
XD1xHdR5eE7RMLim5xujbrZ6KMc2U82Ez5ZqN2uR5qdG9f85zjOUvZU1QtJhccfn0Lxxxok9reIN
5MnkwaXK0uyE5X0ashTtUtnDZguL6wKSoHfoJ5cjW4Qui07aFPE2S+mr50zwhw3n8nxnaE3zCSlu
lh8CK+GWRi31dFFD9+hTEXxAuWAsNmEa1cgnaT3frXg0PpD6ievOE93jgmJ8RXVyeqIrlD4UfsCB
2TrlPe49xd+FXNlY8eK7Z4lNCTWn6nwWdTFGM6CAmx3XaHsf+LQ4cvQKFZ+R7oWLzP65Dx4n/ntV
nfhSS8tCKAmAWHRGjZAu31Z0at4jOiHL88Bx3a9rqv3gBB3+8yruksvJ6tJbiSbfWRrF9yQZ/UM1
yKelns3pn4sHVccjMCvGCfo25zza4Pl53HbOl9FKxmlLOwU5hXgKPwL0LkOAtNMZgBhL79ypF1v2
JYIzSSujPfrRzc08Ipq8Xz3noc6ibkcDBnl2XWeIsi8Ogh0WEH0NWDhprrEB9r5WwuXnO24s+cnP
KDB8jaMJCYq+75J2v0b4tmygi4+YqKnSugSsPzJ0NVo06+Cnn5E1bw/o6UVIJcPZLfik01B0stwi
4a0egUoRi5h8+9LF8W5bCs209vBTT3L6/xwWXpXKaxmp5WxxiwhxoYVrAeRETakzUM92hS6cnwAs
ojkPvG7Tj6wU2tQ0OWfLLKURXeNdSp5+TW2ds7THb1Btipjfo6EgnIJUjC/VxNRsqwo15E09AmvY
hAiOU0AC54wNZsMSnN00vgyqDq/r1Ck576UGt5BpzkHtm9Q/pjlzGXcV1u+RYa4VXCYIQoQIJ3Yu
jw/8qUf8HR2PQyt5MO0D72ldCg78lyMwpKEqTwDBmaUP6Ca7HaYmasB/TN7lNI72KQqSq0b301LP
DbpLuCW7khVBbdx/emEaqdznnK7R0Zc706DOdtVAPe48X8hrTl9fSzRoO5z2WUEkkVgW11eIgOZF
X0l5oLY/3w6a2LfGex4RrapZzp3JCXD9Hpfam68ELDR3S6rZPk5O32U3jq9567zu+NZJG9RqA8k4
vPP6rlLcFsHgYR5aZWmP2Ba24joMgcR5wflYqqLfQgFZPiZW6z8GmeBgXaRVXILzn/NNWY2olrqj
gLQZru3CuVkFl97qRopzMRQfq9bC633MrB+DRFE1GydklXhnohwcF+IHZ55YFlElucn7eBD3LjhB
NETlTA1IhkD/eZPcjGjfMuOVT7F9O6JMxIUpOao+JmZGAe4zTRRH612lmEZL9GQNSD7Y0t75qrPy
Eyy4EttgGj3fY5wILT8GLlSvjxqEPgY7aMimWXRXlVEccFV18epSyUn7JTeGE1YqPhUR0XJ6Ok+D
vwGMO99VNmJFuY3mEVCVOqfkgxLqFGA1UFsxMUjoZPY51Y/s2q0HjQ50hnp+tvS7mXrveYVM9hXT
398hTpWdlXS9P89WjKjogHYKGHuuniWqD6kTCOTlQmsPfsXnO3AsaAw33g7jC2+BfNvX7gek9fOd
K9NxT21e7OQqsLufqUq3cGc36VCJO4gWgBYJQ9Cm0bjdIwIDVjCoyx9W7vn7SLfJATOIGtORnuYR
O3Dacir8QHTih1UtN/GMQSLrmsBg7O0bNN/tG79Gv+P/sXdmy3VbWbb9lfsDcKBv7lsBOD0PycNO
ol4QpBp0G323ga+/A7SVV6Ir5XTVqzMyHBWVokGdBthrrjnHBEMd2N1c7CWVHhvOxtG9tId5m/EQ
DTMCFBtpmjcmu6iz1IfywrvNc7mU4siTj+7yIsc2ukLBXNqVY0+ch9zsoMck84061/FjrdjDc1vp
xnU1QtoKjFjlACmbnfAEBM/x1ii0O05+5UZHdv5mQWs/GsYI8MIv8J5S8Fk6kxm5eyVbvlqNzRti
DnyFtwioUxJCLRAVB21lrCmAiEZgfjiouIMAEQY2mwzcDfusOgG+VkBw43Y+d7ngQ1ok3G1Su+UT
uYx0dfoAPZLudgajhYmBY3f46zFqnTp+GsVd5igULoQFDQni/di/jHrm8cSr97X1dujH265jj+GT
+Ovr/Gn6AbjEpgotg7HfZHD7efrxIsgJWdXXewHMHD3VcbSHZjXO+yZ9jyfbXEeXt9vhr6/78+aB
KZH/OGumx2YyJYT2bupiJBcGmKp6LzNhv/QK+7uik0JuJyfh/lUV5Xxn2wn34mZcT7m/vvrP+/nf
r+7hOcARYPNLvN9Vzx0g40mzq/0E00snttDqD+561wW1xt2+j2v+qbL5fDbWkzemAm7ub7/CP4rd
Xyh2xMSMH96sP+FDIaO8vhTv0Cjrj3yHh5q/kUklfsyC1dXQj/jEfm+wd38zHdL0qweHyrM3/ep7
gz1yHRVkNMBiN7ExzPE9+EOuM9TfdH1d666fRaQLT/s7ct377+16qECvw9Ci428x3ktomVbrZmeY
yt5jB5Bhf5iX/QAF4+GH1+S/Ea/eq4LrZdD3V70SkfFPBpNF69p5XEZl3y3Mtvi+59AYVPemAC74
V8Hv95IV13pr2DR1ArG2+daL9YNAwnuRdd5oRPtZq7wb1W5XRrhmHM2FDVfNRPJXThKCVO/ufuvG
mWw/wWlYrKS81yj6D5fEomY1mtNGe5qtIubDpuqvKk6O8N+VorIClwz8E/lWQ9/SUzNisAchPO/s
agK3zPqNFpdx5Kk8SCptauBOeyJE3N5mrwW4LdP2qiHXsqP00du9DS0k2nXSNXKll2vFReR4+YTS
9o8IL+XRG1uSIVGRXkczTHcg7dA9DM6x5O/U4oCMMG+IxBUXCPkL/nc8oQlngScaI87qMKebyREl
Jxmh7hfIUWf0FNsNEk6aF70Dxr0YS3XDbJI96mpKERPPoq3VJGVAW9eIabac9moFprNZMNa6o1px
QpqnjZZIIIS90Z0cra+uSZCAmMUQ9qKKWNkLe2rCpVWmfUOIGTlBepEduAplPJ1bFFf2sgZoqiUZ
fLWZaOtpXXOrYnF8TnPFo8xHJtBM8Tn/XvSDFLPW/iRlnW0dlkwljGo+54Ga0PLiq0ZRvsKvqZ9B
8LgfQHvrd16sepC61c77krldDerKaynKKPQZ5g/0eLltWV5ynwULAn+cQxsoalPcqGJ0a6SeuLpy
hmk4zfAVnsCviCCPUqp3dMFnLyPX5ZtAfW5SQ7tLZKoGkczmu6Tx7A0SZPtcOBWpGKn2nHZsBQIQ
wZIvbVEku6RMPs9tVocxNWunGJmGk/uCd3/T8eIkZSTODUyjD6ahKxejTJcrdSGf6XdSy4EsjKoS
5gRX4HFWyr0JnuwQIXPvx6nEMT0DpKD9aPhCPr1/zbW12WuJIZPCM029Iy9Bh1fH/tzQEjdh0Lku
Qer40hFfVENOPgZUvPy9xGITP3qdkvIhrcVOgcUN6LyQQSepHKkwxgReBN/WqftTBtqTBvE+nsmC
udmL5apE8RQHeXcwwqSy543Ew3cXTUK/sjm1WHKaNNJFwPe9kW+PxDF9NnJTR5qj/qPg/Gm1Sn/O
9XJ57SVHfd5Z65XalfwGWq0e5kvf3zVWT2Kud++axks3VJ58VIbWuEZXpPVvXrprxVngsHn2dF+W
HnB6zRu3DC0X5IoPyAoVq+XcnUYanuIRb29pp7lOT8nAHhVkPAcD0lW1nvlLl9HNExc5uFB9oNZk
FpTVXLkE7+SB3TKRrYB5RlV95qcYn3E3AVH0OX92U8wLUTUhhW5d9mC2mcvx2AeT7I7TgzNjL/a0
zolDix6rnDIGKAa+1ai0RvVuWe4YoCCaSKQFd4tYrVsH5rBODVMA5e62w83cgH4jArCN82mJ78bc
4k9SczRSz9O0A524RVtOtzHFYK4B97PpkpMXKWNFWVo0Wc96TZox89Uygko3tXR+PGXDpFjbRnKP
/OKsYomf9EmvHHOOx0N7j0OlLJqd5nX5M0z+/N4bKR9p6WVbL+bQ7UH48MmJZgUEsKFHs4+f3Dha
EpKdT1EY3J23zkCrN4zjpEcNyrq09nqhqA5i45zOYbF42gNRJdTHrln/305kR/cElqbP1MpELowq
PN1mjh5TCcRt1uMlpBx4jIcaPv8xZWm+6YthQUFsIngomNYYaE0TKqAzOtpWs2k8Fm1abqza64Oy
U+kKUOak4B0ASiRb/q+mV8r7pVMjGjBKZahDBLfiIg2z/mqyfWamiFZCvm6ikM8QMMPBjgUmQHKY
B1cV3o2wUvsFlgW/nyFGbUsesLgQw2PvncOZoQAOnxs2cKWH+O+24slQUbTp5LHpEFmK6j4uEg7+
iNeDxs2DqAHfWxH+cwp8Y8H/1SnQM3nm//u17X+1KfCan0+Bbz/yHZCner+BnrMMDDCAud4OJX+c
AjWNEyLHQ9XiFOa+weC/E/IMh1MgP0Vukg0nmHh+h++nQAh5+sqepc4d+IPm/p1DIGaLnw8wKm5j
fi9Wi3ic+fXej1VF43SdzO3pSktrcqWoHhNZprWwhfKJU1WPrk7rb+P0y7DLdZaP6gdEclvDFVUX
3YNemP3S+qvFXN8IeC/1lPHVKZvavU/JVfJoCYasJAAQ1JM0y61pTOg93GbnfaZMEzZ/rEB6MR7a
gcUmY+7SD2Vfn0sxI5aO9Cd2vufWJVJdJo8cqkb1kKX2fIbqHMFjbmqMEfZHFOVxN1WjEweqBIZt
ZfVVtua4KM/hW2FZuf6Q2HBm6UHltuUThmZwAvrjbZDLkZ9Fu3BoswULiCUfrRe11rkfYK0Zz6m6
Dnp60nNHwki2rkAZ9sWulKPYkckTbmh5VXqwi7hxrmnxG6EFzCoPREWp+HfWc7/r23wckEgxAiaF
SbEGhqNtttCGishQ8i9ee50okhijEWEsKp/7aSY3aCdsAfBk9WHSdTwp4nqmsIK49YLTtiAXbjXj
x56euKdoqYgKtXFTywMitcSO11r8Rc1IHfSPhJaaq4nqdVYKNBGaWj5u7LhuaCzTWjjXlVaHsJ2m
DZ3UDJBpPlkH1qHOE0h+eQUDjRZ1DNINBU1dqyKF81EPFSzq6qWx843OLbDYGb2AIl9ZEln4DTXb
ZZnC+bYYHTJeZluF6mBisrLp92uqKAkhJg7uVp+maTOhZQRFrI8gJfSeHUwb17UVrMGBb+yq1JfF
0riJWnwbt+vhaqPCVX2hPsTTt15bwNhlRL/XSjCzZDvFR/AUth+p+O6CGrzAXoxJrIZ669zQasfe
TQf81JLGb4IaZzQfGk1q4waeW7OlUVVuSG15N9Jqak41LRHRxoyP7Cel41dGkZO8NZAcrWTgMJQp
1aGPMv3QF04R4gKOPvFtaDGtkSt8hb8CNZpVw5jv4r7RHyJ07sPUFs5WF1iDfA/u+b1rjp9VUu7h
OGN5jkgDF6yW5vQAL8BgER0Dawhi29WuChu3WZ5Y7vM6VOxQ5OwI1MCiaaE10pXb8Xw0wi5qHizC
4NcNzsRX0ReUrjbx/DRgbNxHCw/mQFFUoK61shBYrxXoyJUsrxsrY4/aVxkdqcAcosDq8jXKFlWP
dtzQUaV4rDm9NP7Qc/CUeFIjcZebtR6QUK93I8JZX7l8DinJ4vFt5uqFwCkVk8R6vW1FZwqeNJSM
6FSzoCI+39c3bRF5285WxddSy+cD804VyKTJ/BHF3i+j/nMGNyA05mkKLIDM+4wCLGzn+gvpow+W
aC0KBWKwht6oO20eNrDoYjH5NQVig307dUoUc9ncQv1r/9FGfge9/sVTkSzmSh7894/FaxYRyf8J
XyjJ+enZ+McP/vFw9Ozf8LbwAIRdBPRT13g6fX84qibPTWQvaPiry2dVT/6QSEyeqKqKSYRHp46X
1EGy++5osn7zDFytVJZDxULW+HsSifPz0xFWCDZ6h+8R2qaFfPDepYglhyeYdPSrhUVjvOxSbr19
FIKXh3bencnlAUov2KD4o2tljQ8JbnlWdGFrgZ5q+45v1lXE776ZG+rQYjYrAdlkyiPicp+0xnAk
sOvQP+fZp2oolfum7GCylLFy6qmOgxNR2PfMmBKZH/6LP1SZstPqpvKLdQViw6ul8G6B0tE0JOW8
MTII9nlRwO8tqfGI98T5zjb7xCMmboCgTXSZluYG+nfIqUD1zaLW9k2HxxjXNWV51MBgssbOTn6Z
QeXLYGkTlJYaFtzYZkFrlPM5auOY+7UaylH9vDJZ/UZ0yibKMm07q8uyg5tLz1is75TSKj94gP42
wHNSIiLmRsj2ps1n+rrjvH9p9d7YCqdwg9qCx24UbJa0Qut8XimTcLrr7eduSO8ctnBhoWnLnuZa
jyrOmZVGXY/7uM9u2tmjaqnLF0R+OEgDFnLfVGtC8ZzKQsAQlg9XX5IiFt0xT51zorGPZgF756nF
tOkjZ+cVw76mFtiPhA6T0KvawOQRH+qRulPSTCM1Pz9Z/TgHY7/+Jeqc6PxAG7mYhziAg0VPrzu8
FlARDCmLY00T+on2GAA8OtW6i7NVUlFvraUpIQvYip/i/vEby957kXfs50oN3FznubtECpUdaeVj
Q7AIy9aQFwYpt9Tt0YsxFvNBr5LsAbL7cug0dwwdZ2q2jPvWVu8UuFUS/zLcCZa9LkuhwQayjmWU
2TH7VMvaPDWKe5jLiJoqy2DY7Fq6CkS8Q74G1wjVKBRC2eRZ8wAc+Ak811WmU3AXj7a5VcpU3WCZ
SnZOXfA8zj5lTW/uCNa3+BemcsPzRDk2hMRMgqDkWz0r5DNBGlv6KDzraStGxsmq7bCmb/U4QifB
czq6wC3NDn6G1lsHDELap5lqsSBvu5NU8tdlNiWZUbfeQOaf91YZF8GylC6nKT4LKfHu0Ilrc5+A
K9mY9HgHrHYbgu4tp8K+CHNHRiF7yDHoqpl51OUdrPDqbu2sAIZhZI+tbsdnfETF1nBfY69TjzLm
ZEDCQHkA0VN0wWAnZuiINL0rxtxlDrRVP8uTeVenXvuglpKHpOPld5jJzbDrljMGUbF1s3zCdZDY
2yUfitDSVWdTwutjB6iot+xolo265MVGo0c1ACWjh0lvZCBHM/ug0RgbpLE77nU9PvQ820+Ukg2h
oif140BV/XagDiXUTdiKduxNoTXRPqJaVRp0VqY+zig9fq/Q0FaMDf3NSe0E3rDQ6bPk5X2uGPNt
VA/qUeu7ic47NhhpMCk5xHnEuVD2hR0MgkiAgfdhy686XHFOxX5vK1d0aokdY+a1Yuav6WjTplS6
4jA2aHcDNpXQWXg966Wz9vCkkZYN9RsVhW5IAZ91rMcFj5bd36tuehjK0T66C9VVZmvdgSFqiFca
1SbxaFRYJmGHJvYfX2+8z0Mv7lJK/yJtuBWMCCAdUg0WgvK1MJd5y/n91PbOVTrx5zsHRQR2G6fq
sqTzD4WBvWwdzuseLWGw8jUzfWmqeKI8ZbnvKh0e8WocEbmjsGseoECp7rzR00oP27LhIxXb7XnW
ne1Q6C8esXDfTTMDwFtn3UekaSkR8DYwcX3SUNlOms3XkaMr3Jk5urbazNipQtOOEeTwbSb0cYNG
wkavz9ce5cLdJ4Z6Uwn9k213VxmUh0NnyScEHBSNlAlKzIZ9oMe+fPC8EUR/O4XYEL/aCUeiEeZJ
AOfjASTMySHcfV27+jHFZO7TmSnOwiEeq7a3AoI40YbEDaKm+da2A+KQZ3J2XIZqZ4LsDCNrzjbN
1IsrwCHtzoSO51tG5O0FBZ6dkVA+g9FkNud9JUrttNjZsMVl3mx7V1Bc5HLFclkeGnactyBErlgx
SB8rBRIhxZ04NGKxbQfL8tXCopAMDK/dN+mJ/qAD3dSUiY20jcc9nUuYTdUwIW7/LHL5cYqGYe/M
zpdq0Ec/QTzZDowkOxI+yjYuIytwitG7geZ7q0Iw99Fv1l98OtcQ3IIeBxxNh3ew8KoN7tytbFKs
grZJC3OifCBLRReHIr8Yaa1zLxyGgwtxh3sNQwb4KHvP/Tc9Joj08E64y02uYgXD2qjiCt3YpRTS
wCqYDI7ztRFIs9Z2sZN9mPDwHyh8fCBTcepwH3LUjr8ZSu0QzxDRVgGH44OO17ZA3NyNZhbq0a1Z
ncIEKTFH0eiA678KJ/Rko3zFsVL2j2YK5C/nM6s0XrmXdOCaa51uA3/uiR1x4fBVxLWGHtnw6Svc
G+wt3lT7TkKwni8Z5herM/a0gqWjFjg15VyPxjCVhp3789x2brwhR83dG4LeQnElA7AeWXf0wDl2
+ww4p1zKI2HJzvGCrFoXwww5AguBoP+nXdr294TZP6vHvzxeY4D+5fH66/jy5d3B+u1HvqtOSEvs
D1kWslsievLD7pGF3/8/SevrstFwSICbeIud9fz9XWZa95Ds7lSW7Wzt1s3z38gGsNt8pzOx5lwv
g3mefRlAhXfr+6Q35Vi2NempVVYAM0JxmKEpLfcfQdENX3YcKHV1tDUPVaLSmpFnY9zxjXXFDutx
gwC0KhlWsuTXlSMY9Bs5AnTV60Za4bBqILgrUENWXYQNAxTLN7HEG12Ek3rVUOSbnDKsyspgdNVz
uaotS8tYz7ZpFWHyN0GGiX/apqtK47RZwXd9lW6cVcWxqbGFsJVAoAviuDJJzc6GvDXn2bG3iYTa
sieuABMJ3rP6CkeP87mY8/xL4yjNTRqjhfjTVMgbSvcwVuJJ4e9e1MWcEyZIc+dQza25bBdtkPWu
m3X+V6hUtX4c3Hi+bRKLnvaYU3UWomJI6m34BSs8euxb/KoB/nLR3bq6eHjP7pYsH2+adQ4mDNyH
U1K4ccAsMu6yqXX2BS6VJsjMaon3KdSt29YdcvJmZitR3ygjegRx1DsLD6hIpY5pH2kgXndFpMeG
s3MtRu6t06bqwhzAOapUCXy4Erz+UpRa0M8wA81OqwZgd3GT2EGGFF5ynkhdNDCJyVWwfWYNQZVa
i5zI85RqylFe5zw+vGiDG7AFdlbFbYFlq2bpNwB5tuOAlUAW3UDWU7Y0mVHqhkTRGwgfzTA6/RXB
kBHTHosRp9qr3YTSoLdUaIWN2Y3rB8dZ9ovMrGWryDUDnhf2JMYjxLyhBp8PUq9fseuIbdNS8NzS
p077GEeJri/PMoWf2H7ppwbOjm/lCx3Tl7dv8T83vL+44Wmepf3qfvdfbQ458qX7MRz1+898N1t4
v7Hwt1EFPJPM+5tc8IeS4Jm/2RpMbu5xjkUQykO4+G62QH/gRwjLoxfw+SEA9a/7n0FsSuNPu6t5
AXn8b+nslkvK6kebFPF3/kvy1dE08lnEifjffzAKgBnUkckGWgKF63LYV6ABlj2dT1EijyJurD3r
P/BS1TTNX6yqc66s3FyHJk2b7qpqUP0Bx+CLcIR6zuEcw7WKjAcboS5GYbZL+lxN55qOru5uzsb0
gYOp2OVYxg4FBIBPVR25tM442RFHyqafu+aVPWO2p2QG0x2BderpuqFePqt1jsE6im3AFDLX72FC
0IBeivIUOQZ3YgMPnOzLc2XpAFZFhJs2w3iljd10KNMCT2uh2MwlSuwciwYnATO1vGGQFbtauGsT
czxitbalfgG45V0DRlXP2pyqZyo9FPzaldFsdQelWqv0+KPmpd61RsO7hnnvHOnaw6LOZOXtCMm8
MT0O3CSkv1GAkTDlz9gGNADfAa2L/a03a9SjZQ7JLNOSnd+uDmNLqPWXCc0fZzV9WU2KpbUcqvyx
MTO6FKWglY1+y2zvdT13TXMqQtWZuaNp+vChovTxph+S6dLj+/wMf23+WLa0OMc5NHFjztpr28jk
BSxDGhCcT7cNrbgnVdrNK43eMgSW62zrka4vR8v5a8SSJsC8FPuxnHS/yc3hi+IZNHVZSAdefdLL
+GCu/LQhZT7O1Qr/uBWdi7wuDoqrHJhXcu52FRYAOM67hojSt9ijo7rL+vTU2xxabdWjXqxIils4
MgtqOae7I+CRSNkYJIFPNVDVp3hOvWensQvOvXZ9jGpW4fU4NQ9eZKbnhYTwmW0yfFb25umHqDcZ
UzAo3puVWe8K+ko8f4L8uLekcKjmEYZxWWYnPceUhG+hCwqq83De3hG31RDGObGSoTTGKxtM1K3X
8lkhfWpHQbaY4jMH7vo6sm2xn+VgnGwALbuittPnwXXSj1iHNfBztXUp4IHuJQP/NTd946RPVrVv
hyq+wTjcPWSL4QWy6MShUKj2K6MpQmu33GvMx/pzCajl3MRmfkjBAOyzTJiFX+SdoCkmsW5EPZ30
ZDL5ODbtXlH7DY0g/QuIHJIfs8y1jV5HzguJHKybsjjEc431HajqoQJ4u/09vEbx95Nh5p/nyajj
QIlN/dlxy4dqNADOdvW8W9RSvVQEs0DOJpFytJRuzQwQP7xORnyQDOR289JFbXbrxDn9zRQzeZ9T
eg93zM3kz5ZUPLopRteRMMqG6ENxymLexMkwWEcNjM+wM4t7x+j6V8PFHOT3ufYApvCAIm4fq6nZ
gZwCXGdT9OunIssv8EvEnRWJvU0X4dGOlvJg5kUVdjWP8oGb5XNfeenBsYpoS6Mm2kuHByQqZXbH
St38ukg0TiOnEmdJ1mNNbeUfYZDKR4dU8qXWiyrgDXVU8L3oHdRh1LdKi5lS2M2JPkAacUntWH1W
7KKOeAK8LCzn4kIN6vhRiaCm5LahXTI1NvYlpOYuEBP9FNjs288GwRUf2SOcVOnsKm2Sm1Fog8Iy
x3A/9g4eWb9WF0FPtjNXgPHm+GbpqnynyH5hRzNbTtCO0vY4DU6VH0fzZigXKlWWaiDoxej9GCNG
ZagEJLUFuzZuczQa+WIolhOQ2uaMtIZGpikfM52CUz+O2a6kwsOvYINZ9qgooDE+/YCZRD0ItVM3
7KkanyxYxYSXwE2tEu9iFa596FAACn8BznZJeyVH6CsDAHXdi505cpexOr5VO7ug1KIw1OvRXSXE
qFiIVLjC3oAB9J48nhrXi5kkHzBMpVfFMn4COWPveSIuwZx143UXm2Rw6KC56jK75NSmeFcFebXb
PouacwaE9EmJUnHNrrHecNgit+JVcbigQTEoNsYHSAf63qaUddNGbsURONO/Lk48nCfC7C+m0awP
F6I/HxMOdI8gZEfhY54B95958W6Ang2oNp4CRYuSW03D5TCxXPfHuJH36sBLX9JFHc5zX286qbsn
12SzSzK+Sm7o95j4oLHg8xSITryzAyBTQnC7kvPsAYBy/SiGaJfCv0duiZbbnHFhU48kv1Be1CUL
BqU0fSuWW7upxmttjPWjBxbj09ToFAbjfPNHasjOKV/xEyHJeo+TE3wvw7z3nNt2GhblpH5Ejon2
3Jko3+j1cNZt63YZMuVzTY3Cse5dZQtkvLuhR00cLFOJthjGuouYJ/cRoFe01dRGvU/GVOVyTqQE
86zYW4MF5HU7N69lt8yf1WXg9k+UfwHPLU2UXWPSQvIMho/se7JKVac2i/gEqhnkSiC+K+5fxWme
p+pl3Uby7M+y+GGwOIiQkGzEHJSG11+auBH7KuErTQG5k1PpgiRM8jJym29eW+eHUSQ6jrxJuUp1
GlipPb0dxzLf99bwbLUWbr2qo/jRxf/2mvf2M0D8FzUaviFvPLuVvCu1hV3jMoGpMBqSnaUzbwhT
POhNXB/rxHEeRjT9pxwB+fMa8fwAWfHZJXCo8FFPZ/bmxxoooTocUXOasd+xoW8W+8xRq4wp4tUB
9W5SyPHmZsXjXEndcsJhkoN72/TNTBWDHX0biLG47IAn3jjcOzoeSTypQVSpu2Hm1LMrkro6p0D9
q+eaGyhnrxW1LqN824BVL44k2tuwo+Qg5JBH/Xo8l8ehTZ1na7aaT9RxxdltBNHh5CSW1j4MyZJE
O7FQ2FsGspsWckNxb2Vf3ER2yqMFUdXCFDlGJTbRNK9ATKZGWCrqvCMfU25Hu/uA2WsiLBGLUMVL
gPPM/CAVfdrbKUruTAz4mj8pt55wOE6K5Ji25tVAyhmbIqEYP495yigOxlvOIo/lkohNwlxOBMFT
7hMlja9w8mlBXGrzNbvx5rrl3aSUm+1vkk4vpP3mY4vaC+tTGXZaKRFTh/W4ZSz64HuW0Z7S9EDH
D6zMOSSl0YMpZxynKRG+LvZlOP7mpViSjrCFEh8WExz1QJn1sS309Nir8ZWtCRGQu6yvsBn24Yzm
/mkwbHi+0pp3aTOmW7j7HqsilWV9KpDvIhNJsUog1/cRSynKNtz9gFUDN6le7Cw1Ur+ZA+j5oKYc
hySQB+jti+2WtvuhUweKlT4PpkOc+ZGe45V3AUYsLcQ/S+H/aCmMi8hEW/r3S+HzS1p+/XmEe/uJ
P2Y422Z5awOvMOhggfG0Dmp/zHCgLyjQYkx7U6neyBffl8HObyYLYqgY31e+/xrhTEY49mgsiFWN
ZTGcmb8jYTEK/jjAQQvAxk7unp3v6vh+P8DNNDFxwFCWPZXDsA+s+exmNz+8Gv+BV549N02cYGk8
j18Z5ujPM2I0DUIBsrjs2eOiRbHhov3QtXlJ//Wa/w+usv5Ff5hEKVPERplwFXCAnfKpkl/JV//v
LvFO7HNSGleqkUsMy8VRL3OKIfz115d47/VnIqcuDsM/S3pSFO87JonH6eXI8LqfTBfus+LFQYr0
VeA4tRKz2P36an9689+u9sZJwa8AA/Hn18yRAH7R6YltVjH7i45/pAWRYhHXfxgtP8v/G3+t/pO3
h0ut0RCMeQAxzfdETg51tdSBFu+nxI0fJKYrP4bHe1ZxEP1+o/q3l/pzpGq9lIPysWJgiGj8/LfS
cgs+vcGlSsrwrnLR53u7XRHXEqx+E8tiV1FK+Hc/G/z9dM3Q6OYzLfpi310UlU/TlYqmxTnnVWSx
bfk251Mc0fzj1+/az+6NNTzFpTimoTyjgJvvcao525alrhUCW3NiRL6IlGyvwM0/5LoqfSHa5rae
NdZTYknOg2AW//X110/Fz9E4rm9Q1Eb4ZXWjvPvU0MdSJ2oed3uXVoWNTZGBbzfT468v8ud8Gpq6
bgDwQapf2xZ+fhPJvvV0k+vtvu8bbedMCRzNGNP6tdBVtE78guCiPFwIaCLbX1/6v/v8GJxnwZFw
z2LL8POlIRmzzNYNOA10hmxqwyLUmSk03DuKKhrfiBOLpCL937++LEeqP3/70eZM/rKszFco77tX
tgOGlsUjo7mllO1nnI/qROZ10kGNctexolzcGWoRHVUmgKPBo38rO4O3IJOsjOU47dK6bZ/0ZDG0
IMW1H7I6vuhWMVphMsrpymtZFGJsQH/v5bjVGD/vU1XHJu8Q8n6Yc2zgDmraqbNHJ3Cr+lNBJD5z
3W4jKm3cD1kbWBSik7xAaAhzxUnOoq5nZocBR2jaElhsh+yQqMI5qe5iPyuFU2Kgx95/VhvFPomY
I/qiKt0mAfgAu2G1sOSyF+Ey5AMnvWJ5BJ4vQnDoepA5DY73wjmC9TA2rAfHsHMWUqx6dwVKv38E
lWJeWKRqO2VwBP6HNjuwcsyZXTVzi8mP+IystbOr4kcgt8ziVpfjneGsUdjc7a+chaLSanH1GY5r
p50p1uFRyBQHy2NILlE2Tp9pQZgv4wI1EVix5GMwZlwvXb5OpR19xI3XsrjwxPJoTzbWHKpTvrat
xBJrdWb/TWlMCfQtA23m6ambbKXdmxfGNf5F6wtMzfe5mi2994u+IHYzw0gr6N25EnZkwO81QYtH
VulQAtRpeeBZvcPBOFOuWah/7TvFJE3bD1+yRT6ai/7VwybzzLQQB8RuU9ZGMjuopKTYRyR8kcoJ
LaOvWEIkYFj2WcMdIxM1b4IVLf3TAJ3PLyS/Ryad/Fh4VvdE7YYT4KF2ToU7JOe6mKKNYbXajnRH
ciHSkh3i0hhD5qp2O+muuqtYK+Q+D5yYjMwcQb6FYxKA0o2P1mzq+0UjA57pix00Tdbv2OjSYmZl
431eLcN9X0f84dbDX5PTl3ahaqcCIxflR9oyTd9U8J2N6OU3rsfLiRFIi8KirfUQUx2FSZSzZodM
t1mwiHUqZC+uRWy7Iu2OM3R8mSEv3mcl+RYIpal1owucDQmM/p1mttFrBArM41OiRNf65FVRkDPM
Db7J4OmDWDFvCKowDsdosnKJzeNct81VozjanYYScbC92r6N6BLedXVi3DpaEV+xFHyKima59E7C
Ykdao7ofErALh6YlDAOfQcgAR1tE1IdmDa+eqp5E9qDsqjlxv5lZ7n5T4hUPrHTTqWXd+Zp4qraJ
se9qzAKuusER5EFx8dbXI1JzG+qq/CLwCWDZHiUzUlyre63T5n0BzPdKIGA+qPRNbUBxo1waiqXt
XKdsdxbS8EdXj8ZPGBCSi0pJwx78wepYGSTFGk46UkBpau5nLe/6Y0OpyfVAbuqlNYzyXA6xdyO1
xXgQXo9M1nWuspGNZp0murlvjTFftv+PvTPpjVtJu/Rf+dB7FjiTAfTXi2RSyUzNlizJ3hCSLXOe
g+Ov74e619V2SiVd966BXlQBvh4okhHBiPc95zlR3bpXOAJLIhSt8bqdEb9MaSwvpq6x8cI483nX
COs0q41ypzXW4NGitG9qjrpbucwLXBSgMZ6l6lygoXxNIKgeyut2UTG3LWqYOZsSoykQJtREQ4hJ
3URsUmxiyis31OLS79Zid4E2sAhlStHtGBoWTVRhndTIV1D6QvOnMJh0+LJi0+9VsznNR3tNMKqa
+HYBbohknfRDumWooLYp2CFPd8rlwE8bIViplsOczc0p0XWzl1thQkcS0A5GmiIVe5fDwglSZBtp
eiT2K7WRuOOp8ms1UnbUDxMEJzbsXM81yAXjgCB94q3avYJEndto3PkkpK7qO+HKx9Dx2qCWoXyP
SYYNjk6/8or8veaJhp5kGRuy65zkoF0M3seTrAJfk0QsPqYCJ5B6Ojw7armc6BFWPB1jEXaDJHc3
rpLWj11WaU/SKdd+r0jCH53o87sZB9wlELvs8PLH9dK2borYbPcQQQu83JYzXo5LOl12xFH6g5tV
s88YXni6JC1ABS3azcslkwV61MbuTCyWsy7owORSfcoy2d07k+y2A47AFgWVofjJao0o6yj1oHXp
n8xyCr+kZlzdwQ5Amy36cmdZS+gnC+pP6DWgNxpVeOrUA5mp+kcKvHIP+thFZdKn1tYNM3X9vGcs
nu1wIZDmQw2NLcVvac2c29k0nGuwIQSQ2moKKjJp9I1bQ3RqyV1fLZNDcUg7DT+CU9my3+KHXAKJ
d6Td0BZZApFk9o02deqD7IblOkEIWGzqwk2Q37kl+5nV7L/UPZfFlRAepgVDiNb2g4d4X7mtE3sE
w4t50neNRTurHKPd97kRfxcafzrLU/umaG3rNMQSvItQzG6pPBHV3bDf3HEQbfdGrWR3wFMFtfDG
vhGNrfgWGSueK2W5izJBstD6sesw4OEGdaar0XZonmhI8ivRGRuqF9OV0c7mo1Y0uV/WDHAbTPBh
YUR7jmpKvzDV8jnlG77XO7W7RR1FthB0jCs7VuhXpL24KVMctNA9xS5p63Ln0hV/kJxFwRsneniW
j7DcvK4oxU6nIXQlZbZcL4o6PA9Y8j4X5At5eB1TbQtX7e/3lMkp/DGr/LBACscTFW3SBYQX5TYK
MxYZI5sPiNF6X7Gm5Au5ki7yzGE6QWZo3ePtMO+HVjHvU6ueL/hSoXBoYmU7J4myVYgLCBxUDOdU
qNtPVVyAuWjLwlcy4tNfnrq0EHjBDHMvKdGdqGUJ8Bxa0anVVtqmoeTolf0yeqiX1ZPJwmvk4CP2
S9Kt9sUsCXNuCs2bWtVkEhMrc+jJersMXS3aawWdBe9lLAOtW66p/wK/ozhxurjJdOF0pNAVGIk9
zZRDg/enzC7VJi329jzZD4JOAilfKmVmF8nXVl1MXv/SLOeEoy7nWtPhtBgFrgsVUhpLoIZrV0me
UC1PFywKSHDrsLwkVWzZJpXVg9yhl3OnTuC90L+Nqb/0c3dCf0+c5WLG5JA56SXQHeWkN/TsYPYF
WVjjMl1pzohsuq2nS0xYfLqduJQ7Mj8VLLILybFbXWvhdBEnI3y+TcOeRtky0uHo6nNUesgsSuLo
bnG+lCc9Cw57ICpcp0Bv5WUTUd9se3vwIP8v5/Oo1YcmtMcTQ4c2Q6exVG4B5SN0douBHbNJXzcf
WDbUqGNqSgtV3AIUKN26Q2Nsmnood1Ir8zuVUBm/qBe21SLRnqCKz+dm0XQkvozq00z+br+ZkopE
G7MLD3HHxEw0Sz8QFbNctwDcDvZozr4r53bvzvoAfhdiGyGzwoagJgfAvJuyM5Zr1Z6Y84pBNpMX
8otbU2kiuYEDMpz1Ukmp3mbmVWpoKEgIdAyDTkvNXUJ9cp+6ob0bm2S33hH4qIkoQWHFF9qS6Gh5
k+JGnzLQHUT0+Qto/h1ne/gzhjXrX2fisVK+Dc2NMRjE7kHZOY3C4aonjhVtXoNPPFWe3UY6J5pZ
Phh9rpGYOYdn3Ea2Bb7DygnUqT1x3Xb0qxwZfBgm9DzZl6DUsTATkbjp+OwQ40O9WIUn4/lKr5MK
DJZdkBikfOsW63LSOySF01is+7Zm78aOjpo0uR2rePFaV4kCVqsdD2JAqgooOgo53onMfUCl23oy
NXCeJV0TbhElRZvMIOxNdaWyL60aATtm7BbJHhYh9PKIxDHYnU91eF6XSFkJxy59m3orgkGSl3bL
ksZfo36wgoxwoQUQDShHwsyqmxotBvijSG3gNuvxKWio+gqVT/2AvJ8EN30uvnRK3X+rB8e+gbBn
TtvcpavQD/Ny0BOR7cw87gOyy6xpW0WNeWW6RDjRxGxv6oh4xKHondmbphZn1WLb2MORRYdtHIPZ
WdIT+O9U44gmPUSpNhNyLJsn0S7FqSYUI6D+bomW4MrIGOsTFwR8dtqVT2zvtS8Tx/FzTfRS9Vrd
qq6HJm2VjV7141W4AFuXhHHsUlCDqFsBZ+tFQdsoE0oMfqDlLW6JTHsyY7NBgRsv86WpyfS6tCS6
bFAQX2CoYx+cyD+8QDQrv8BPdaAuJeV9ODuY3puyN+7U9QtpawCc1diNg4mspNM4cc3zuOjkfSkN
K0DcOR5yKxpOR2XOvklcgvEm1ni5FRzBqwEp/veic1TIPpr5CNyw0pkiiEy1TDfP8OhQXSGsG4b8
UJqcdTs08jO2lc9G6RR+FlpatkmGIb6olPk5Gxz3Qa+cVcq/uCjc8oVYvzz1UpwHG/Z4BDjieIbD
0CvTuLXnlpUszdMgRdKAr89Reb18bQ80wYptFRvLZtTAqXX1su2S4lbJk4eJ5v8GiQJUarSLeBVQ
aWdafd8aqUFvN6d6oVKi7wFlCLmrhF3cVvSfz+SS6/u2DdlK+VFBuKXhmVnt9koAklApAo5LtvI8
yxxEwthae6233TupNKSM17274xRDWqiShJ9zQ5FnfBTzK7aK6eOkGdXntMmah7qvaRvXijVrxHs3
CYGPFXw4+AZsaUxFltemoYE0IGho+pq1NlrkHmr8YdD7Zxp5MDyo7J5Nwi1PDXa238patWmCQFGw
lexiqQZ4Tp2h5DsJeN8beVXE0NcjDf+mlhcUAqOLlM3QJjXzlChX12rO2whNRNem+ifm//c1rBUH
O8aKTU+OB/l1coHn1/VXmUqRwUQYfTe1HZC12dF8rSzC6w5+3BNlsK9m2o1fzXm6WdBSIlCw42GL
5FHDLrSwstfKqmXv8xscUaMktK5pP1lq3hVeaHcndtyrJ8uACtJixAeKW5k7IsKdMz2zZxaXtnf2
cSE4m6Z69ERLjL4tKyEabCU6caPJueWow/ckEsXXkGztbR2JexNw16laa/qOfwUlwNTIGzMxvzu5
214OFLWeogXWJtBFFwQB2ppzIZZxN7SrZxLt8a6JUkRLyopZNELn3hli8zYZqvYk7RMmbCtoJpfs
qebYRlGgWDtpxPoVZ5A7FuTscqoX+9A0dreRo7T9Oi/Dx0pAdsvbEShXY6QXNmxlMvHwD250gjaD
CdiLF0HP+IQsIGKHq1BvLuReunNxHSaKfeU0arS1U1u/oLtn/NCiEgRGOtY+KXvRAf5kf1laU3yW
W5l1Y67B7JE3Y/rpv6SlsgnjrNsVLLf+UBv1dpGTeh2GvR3kY917lczIfhyM/Eay4m4gxtQ+mgR1
1+b9bdQvZII6qn0wyGzaybH9GovSCdIo5ovFRvDAQqoEhSGGM7ZyzmE0i4j+f5Ox/63KH71ENAbz
r34ymrT+0rmyB4mMcjN7WpPe1VOt7sNTEtHSLdUSkI9Rp9/2OlBFTxEQli8AB0YkrZdNM22MtqoB
Q5SUkT03bsVFObf5LfximCrWDG8PG922poR1a+vd8zRJwC4LW5W2MdqDuozfHItTg0VLz2NTxSGp
GebNomXpvkiE5nOcCBRdTw/Mf+vBKey7ImJvDEcuCtgV5uTcut86Pem3FSBaT035vmIeRchvPzoc
QaZ0ObNa9Zo9FLpUhzKR0rvaN6iz46lZWYZvNwaFlKxsL6NQCwahhD9iDIxXlqro190kfjSTqdxF
TL3PIMPbGJhf1dBsbDEada4GCrO0yLUVU4+DBMuXDTZk45ZUAN4vhL6uglL6NWGurc0pQFKr5vqX
To7RCbuicdwGTpPmGOeGz7bg3B/ZnG6FQyH//cu91QQBOkV+Fek67iszJB4NVVPcmcsBl75t9GbH
CWDyG4I4P2i3aGvl+LhybgDqgUZjuTSLjyvLy/J3UdteYHl0L0V64oq/I1SGv9Hl2jl1JXVnu4v6
GIfriXKkHvf+7b5VvSeMzYYkZbwRxpY5hlzGSMWW6ETmtdVXlPQi6qTvX+Wth8orXGvYeOv1Y/6C
OWGUNgt6MC/tkCENqUcKdEyamdYfvL+3bshUVyYZqS+0GNcf5Zfhkk24rWacPcEITnSrj9VX262+
vn87H13jqLuTWFK3ma1toOnyfLFxEbnFXxrp/9i1enNwMP40Xg7DAzbf7/chROqOrS7bgFhOBgL0
4YNelVTLhzF5iMkL9RvQR5cRRpVtjY1zj1Huo9bO66lH5pNFHZX5Jzi/HDUgTKvuDaUSTRBpbY5h
Xq75nFlzlitps4fTWW7/9LlyPWzQ8AwsHZTxUZenYW/lzrXRBAUZmqemPV/DbHY+WE9ej0UD27Sl
AXZ1dcPVji4iIg2WR5Y3QSIBk3U1XkIAIGcO3oQPhuIbV+ImQI8Ax7Og0B0NE0Gw5zLPAH5XVwDd
2+7UmJ3buk3v3n9sb7wmzQGXr/GuWLnMtYP1y5C3iXEyAFlVwYJ3tc0fFUIl0wwISBN+kPF2DFKh
2Wj8dqmjlAYOqnZYrK6DfhBU70oTHvDokE41iaH3m6FcPs8WjWmLImiLHYESn9o24RebfasvF136
KS2gnd5xli5agyoYvkbymN20PkhjUvbRGC/ngDyo6jU4MaGXKT6bK+nnOuaWgzPk08VY9ZSxiG3N
Pc7aKdzXZPngRk2E+UdrM61Mivt48IHnWcddvzwnlFYgmQ6WLpb3oijxTQzupxlB3GOx9M6hz3Oa
KHn4pSVP9sTB6kjjyt7bCFPxPdee1tSZp/ef4UOhOcQ+WlbFJyLKz5eQ02VRZY1PjCBFh8RwoJik
hr6JxgrY7oB+SUmVHpddZQY0uMatlC5qb+w2oMsV5ywz0TKkGQ74ifV6K5AWIkectiZ3KHhaOplH
YunUJyccyw8+Wq+7obAecTlpNNVxrBxPUYhZjZztpgwoiD82k3wExXlpGsqJUVQ+qefVH385SBO2
mK0a3yjav0ezFUt62RgI0QLZxOuDvRj1bD/Kcv/+FHrdROcyaAQY3UAfMEv8PoXMKYsNcF9lQLvk
uq6TluqY+63JPrPdOufohZdB/xq15dn7lzXevi5LEU+U+XvMlRV10RT1aBEDVs3LQzwBzHVbU7mm
pavmPqdD9qcNKmRfZgO29ZJymNKXLR12fdhb9LNIhFD2htorJ5o0Sy+kBLpJ53qHuoG9mkifLG2A
sDtR9MqcJdrCebZ3yeAs20gLb/TM7Dx3QViaydTMNnKpIz/l59nKvH6mu6ldpejPd/WEAR/ZEv+9
WCwv7mTqO4qj3zWG9dGreL1qmppNMJcjaLrzQtZH9stqRqKyVZTZUAaqfJwRP6yw712myeGDkfX6
I/7bdVbD4K/XGeqhyCsxloFr5apXxnbvFXHsv/+CXy/N60Uc1n9onZrtHn1B1Uavq8Zsy4CdlevN
FhZjVb+vspjuUTd/oKx682IrfRRrEBKuYyWI3RJCAE+npNJkF9AQl91g1ifUOukayOSDx/fWQmDz
bQPrii6NLtXvjy+fZ/I0qRcE4LCu9Q4skxbO91XePssEhVJsf/AkX0FI17xoh+2jAC9Glt/xZoT8
gJznm5eEwuUxegZdw1PfjnudD862AlkdmHUjvakWxqcESHcwR7Tvoiopz93IzU5EZc6fHZrfNCJD
HBsfPI+3hi3v2dBUJHirWOX35zFOYQdYQBTB2NTPhojuYn24yQ1OTO+PqDevA2CBli4SrVdKmG5A
2ltTeSLjI68Pcy4fy1kZt1Xf3r5/odeSG543L5f95/p/L9SYX+ahMQp6lVQZA0l3NO4o5o7ldQvb
IHW1y7xqbotcfBCX99YA/uWSxwFUqy+GapRaBMo47aK+ehZmThvHPrTV8MEu0Hhr/CJEZCeIIJGd
4NH0l6Nr1svkFCwz+vwVcsSPkfRYDy+F61VaipUFdL1XsCL7SbN21RRtrUG2lLfE0N2b6RTfh43b
Bb1Obw79Bh31WLY30SKqrVsi+i3Czj2ZnNG9cy1WzQ10DkoDSjdtwWHkwVLpP9RRp3FbAY2o1a9p
1V8gvKt9GVfPCURMvDYGJM9i1m9q2gsbAsWtD0bT6ydOqgPaIgSpuPlIyPx91MLtalBVzWxzUqU7
GzRh7NnETUGU4rndTKExBn86qkhBdNYpDPAbgPHRNGkqE3BkXVSBcKW5p4dS+E3UyjPbqOUudCN5
FtNOuTUTEX0wuF5PHGKwqQ3ZOlHBr7WUbYRbN+7tMqB0PT8M9qh9bejh3mIKT5//+CYRbXG4oH7J
/44lcWgdqCHByQ3gCdHpHDQa83R3O1yEZbu3uyxxvQ7RDDBQnUbc+xd/4z4pk7CLAdbEQz4e2E4W
9ZSSyzLowgo631jeRoBePDf9yQX7j2fU11cy1zOH5iAYdog8PfoEUNftIqZKHvB9uJ/nctzq7gTU
DmPc7v17ej1MqR7wnUHnjKry1Tap7vCGRuRBohXqx+1i00wx0stxtOwTisnf37/YW7cFgZ9yBd9u
tiBHQzQCYgT3GMcIUjkjUOq5XCMK6NN2uZF1fzwBofxTqeCkbyFSOT6NNui92Hmsy4Fi3saGct8s
7vd0Mm6j0f6gpPDGigc9AdU5t8Zp8XgrXRhkJJcK4iqjzn2D/oeoCGxy8mHZLOVwoPXwUXHp7SsK
KkuCfQIr+++ri2LWxNusV2y04YCd7LGatVujzfDvEMq2iXv9g/30W6+OOho5VuyAuOLRiLTYXNmg
rrJA6Xu+jUQ3mSCSbfWDy7yxdVRB04NNcx2KCcdCaTDZU5LwTweDoiu3ikN2Xj1xwH1/HL7xAWZy
qewd+TrZfIZ/f3r4YKYStFQWtAZ7Fqq3Xp5iOSrta5BUiGTcxTPm6oNVUn998IXIysKBi9zCYH58
IsFdJwVy1iwQFnSJMSdK1SvrbDmfBMobiFSAt2eR6+wvzSz2nEUQ99Wpzk5OTbQH8Iu5lCrHgmXo
k+gzjLt1zVl/PeU3lW6dInW1PwuMmUEkO+uDn/7NF0OIBCNOc9korr//y54FmVGc063MAzpOpZ/O
Ij0oE72L91/Mm6MMm4QjNFz1rypIhdnwGYmqPCilk2+qaghUDKeuIz8qQvDT/l4f5lUI4P18gmwC
7o8GgEUmR1k3+Kb1CdBbpoTxfrLV6eT9u3lrbSWoD3sBpvjX0R9LqupT1CsZgsAOHKXDZ2qyeumz
v3waUvPPi2Ls4XF98MkgWV49PqS4MiGQMGaKzln4fX12bWJfF214//5dvTV5XGb7mkrM7u54GE9d
hievYvLkCSbSbNZom4fWdxqo1UkbWe63Ma/TPaLU7oNP1VtrHvvK9ayCA+BVDZN2iBob5pARVK9f
ylJ5JAKOfLA7As9vePsfXO2tAU8VkwMfFBzy449W2Jx7dOy6A7VLRsqugMt6Peqpsn3/Yb4EsByP
RB6io/M5Ikz0+LAnekLRLNpoAQ5I9S6J1epEwUC0CVNjyOm3O+PnVHMrshEkOJa5zC6s3DF2MYGT
/jLXgPoi+P5aE/Y+MblorPo+/ahYrb355B0K5sxMA/jA0XRpw04FD1fwtZlMWn+yedSkqDyUot0+
cdz7fqLZ4NQxjcnSSO6ycej2oai+xqi0FruWh3oszD1NIbGxZ6UmspH7eP9BvjHX0KmwBXUI1Fj3
h7+vT7nDz5BMbLfHcvleL5o8UWsE0mGOJm1+fP9abzwO7cU3YK0GFHbdv19L12bg265kax9q31X6
BwSfqY/dzAmauIjUxwIkP9hhvDHpNMpYNjsavliv7EpAouepjSpuL7Ue4oQQQx0lHr3JdtkYMNQ+
Ny0hGCishuDP71XTcGfQYGKDeLxSmgohH4TgEaVHhbCxRwpkbX6Ny2hNp4vuZhcL7/tXfOtNsmWj
qg80FYDq0ZtkroyyM5sKbELUeLMGdaAsDXk9NpQACszPH1zvjW8ON8geyuDDxmZx/Xl++bIVYWvG
ScWjnQbAzbkJHE9tSFLAIez831xKqIIYbfam7vFHtHYAsBUlRzQN7+2VlTfLpnWkfZr0mvbB8vXW
GDWYUKutcHUwHY3RAZlruVDoD7qix09cPVtWA0qT95dEzbULAPGPD0csYAIoCRHjVLCPJ6A20T/X
u6Uk+GVBt+uMn9q+3daU9T+40BsLM1YhlQImjWRcmev7/OV91QusGRziZZBH1j0AlJ27NLfvD8GX
pJ+jVfm3axyNiZVxksI0ZD6njkb6SlIfOquzPumEPAOkGTueojpurLGtt52dRp8rmFgIANFf9C75
GuOKjWjLBPWGOaFqhYoB+G/Og8SQ7WExzfhaF9HklfMQfgkpLu6KDsElp9vZQ9oe7mPLxXylTtMV
fvCVg4Ek59MiCgSUpQZRsyq6dqcOTQg4BTn4JUmm7A4rwuHKLGkv48mJd1pLdmVuIbsejLg4H5R2
CNxM3CZV1nk84eykoPXTUvxw6gDBMQywcan9sI8tDADZeFaZBlDPBEzj+4/3rbEpVqcueyLOL8cN
2Dyvuw6WG0MFDO0iF20jVfPeqq1TDln3MiH/8v0LvrWkrPYMHIMOp7Pj71edYrgn1L0IkkYoiGN6
Uo5eUuUNCGohDHuEqe9f8Y1bpOWxuo2xzDPVjxYxYRNyKHUjDzIRkSXazvZ5GfNK57Tq7tMWEjE6
pKf3r/mi1zgatWhvdB4q1Uu+hUefabKCgXW6eRHYBJt4MXEoN2asDZATZus0rvL8Dn6Ku01NJFsv
OmU3JkGF+BLpS7REO/IUkMx+8EO9cepBlcA2cS1ok1x7tBBFk7XU4UCxs1tIZZpJHj9BlWacgKUh
uRR49oaRgnzKyn0RtbE3U8RBfm1qH+y0VgDi8Z5/9YUjxyBri8rc0Q+iIo2Ad5IU+JbJo9q8iJsT
I1+uEViW1imvy9mTWW+d4rMAt5Bz6tQUAiugKcXD1WiM6sk8h+pDbDJTdbmoD8yjchePDClsExkY
ZWHt0OU+zygyqWYPvmmnsY9g0Ny2SimD2G4cSMS9s3WjU73KjJvMKKdLKpo4UWYmwn3s9uKQq84X
wrSyD77kb90/JTM86OR48lyP1jT25ynx4Qb3DxT1JsafG0xEot8nmhJ/MMHfuhTqS7QGuNGpqK9L
+C9LNFWqpinWir2ojHhbN+5q6ZlqQGBxHt1/MMDW93Y86tfjosHnjg7B8X6B9A4iRIuEvulgEdkj
aRjj+CAtbhfW1bAtwVScapUaXslJHy90yGLX5E0IzzTyeleDtv3rDPtHDL7z5FtbddUP+T/Xv/at
quc2iWL5QsD8P7+6rRCfFu/+kd1zdfFYPHfHf+i3f7b7Xy+/jT98DRn87Rf+S0bNdf/czp+eOzT8
PyGc65/8p7/5X8//JOnmryH1b5LAq7xDr8qr9vF79SvA4a+/8xM6qoITpfBDQOFL/9tlKfk3zR9m
P9C79Xi7DqsV2f8T4ADaAb87Z1E2qRyAf426AQiBQX3VYBF6ShtY/AnA4UWY8MtAo1ez9mwQPnEs
pMh+PNBUIC9qqCzKKakVTSpgGQl37h/aQZhle0jVwqFrnPEditMdEjfi0s4MkYOIjwqgRI6Epzyb
dXSAT+lmxnmp4Mq2540iiRZJAViSE8X2IUtx3exWQ2aSnFnROEDHwbKbhn0QNgvX+qxakNXYY0U9
nt74TBsQRWIDHV3Y0zHoKU8ZQJYUh7XK1nuZMeYJjg1sK+oXvWyxN2Kkauv5BukuIinfNaPRuYYs
08fiMkkkbH64zvmmcHWl8Ky+NEpcvu2C7cOZCQ7zIgD97v9PCf2Hs4YG4C8L3huzpiyfv8nkWy9/
mzgvf+3viQPdZE240KgiGGgAX8pmP8Enxr8oLbDFMliG2YzY9Px/ThxmG4wDnbPIT0LlT3ilqf4L
bqWNPs3iq00J5M9iMF7W+19mDvJSsEA65VzEqxSRj/dflj7D14QZHRBNoW31OMEou5TCs6R8mO3s
yVVhOtYV+5Cyn4RHMlm3maYZI7KW1Z4q3VsXe+NBgTBxjnP3bHDNjtwjGxZfa2xyVYE4lWKnm3uM
55xtlhPTKNQtiCjcdW4jTmry1z1h98Jjv3bNfkTdEsqEw8R0M19rnGkTaVwTUtDgpWS+eSpQrW2a
dQ9DLqBekajQ1JXu2Vb6ZCu1ik2BP55p7ASwd7b7emgfNPQ63mINxiZd8DcWoXNHcPMnHEZP+OAS
/m79gCfmB9wgDFoIbz14x9daTNlXL7kfu0aLhaTrwdZSsZFrguSocHslUmlAhKW6HRQHC4OLC1xK
H5B37Q2gbiNZGAC/sx96ppCUYPMoK7ftOMTyj+YowSFERp+5BR6D6iKBxsMY4s5dO6skOtcmgLtQ
J2Y91qsgNdka4zrKt3Zj87sZrn+XkuX6N1PSpjeJ6FHik8tOxgaPoM4N6VsSFx1V22tBY8DPMQ3g
6VmsU8vE+lWOhu73DT+QUdsZdrnoc9YRlx46KxMP6TgypCpAua17VjjDTcMuEW1EHn0Lc4WTQStu
hYoLzCjz2uvQkhOAhVsX/Zu7qdQB9VYqutsQoylRp9gdagXXSb3ArhjxQG6MjouOlrN3NYXcCwZJ
0szudjaRydUO40CbjetiwC/aquJ2dNku6xn/V6jW9ZDwQ0VpZu7BI7LepxRwq6iYDo6QOseIdRRJ
/iw7rosEZsC2qToQEkOcwi+wJx4TA4tYMvjxlnXBeP4xiQzkGk29DUaVJ0ogvPuFX6WhBWZDU8rt
KN0O8EHF3yl4Sp1Wu1vdqReoDvQz2659eHnfRbTqHmEBeuSz4/WOGTKOIGCxavhe4F3JD6oW/WCS
M6r5GmzcmNHpOgyVap0LEVqzz3nML203fUK7xfvHerIBppZc9Dwu0rxu54U3PzbME8fBDDsSJnge
w2H0hNM9OBn/oO3wht2ewbS6Rl8eRlkzKXDULOcg+p8Kgmr9UHWaQ653lk+qfO3lGc6+GYLmJ1Jo
ak8n8g3LzTx4hqw5lxW67rdZBdi6NXmk6sDPEMXdqdspSBfoQZ8ZDb7YBs2jnzlMSviYxDaQMYCo
kFFGXKJHdGh27upMVDAeKh5E8GWA2HJfZZ4Qu5pcD7F18TK9sH4vgar1uj+ZJLEhJoIQRlI4KQO8
bjMW2SGKOaBPgNv8QVunYUY99uXdKgW3r4TlmT2QUhBpDAHaCsIjgL3Gjsf7Wxz82FVNrxpWYubP
KDtOiEjLt6PCcH4ZAOsIZ4pjXeZYhgtQeGJgfpsLJJKX1yx7xIyyZRgB1MXonWrhY51YSmDF3Oqi
cK2y15QgFAarl5U8QavjFWjZD6CfRG4Yq6+dnB2vMKTwMEDBNWn78sxJ1OnCmjizjOmTErFJUJyx
PAszPcPhx4zo4YcEkcU8rRZLO5udWOD8YZCVhVGeKR3O5peulZMW0JdZHDTsLslk7tjmd2DkJv4x
bRwIZzFsz5GqscX61m0avWv3o925W6ckTn5KCpXUX3wTSh6xKKIi9sORV6c4mdiFvX4dU6DfLVpJ
XIpkMakROnikBtdeOPAjjD2+aqZIBXKBFYw0JeOvtUkXk+6/TNqBzggAVYzLmoyvrJYh0VrmtT6v
UcoYuTf47tbPzshgaqb6pAOS52UV+PS4UcuzyTani97JfrCN49HMzICXZw3JINtmBf9kr/FezZIo
O+JGECO4FkvgSpV0ciW80rUF+2HV5Ds3bH40Dv8ZCozPpK83UcJ6YuJsO9Ha9purKpZfKgTKVY1z
V1RmRXMqvlLG/sIhxm9jEF98mBM0h6TXYGPYkkmm+no2VuqGNAuSO5d8+ZpZeTFsbHYEtk/Fs1M4
DrXpk55W0xaapSB+WNVvrSjLsZuMdXo+R11/SEaVV2ioYUSJK9Iw+qW4nkExJPIqjkwbFxPEPfjD
bTeRUDhnUvVJWGs7H0ZorXl20yiHOuwfFVlV35HyfDMTteo3kTFlP9zGUBbCIZVl6TwmxoiHv61O
RJFNdDlb7FJenYLLKVKTAJiIT9GWPmR4LkbiJE7o1o3dRabHrrMvhdmhnOK4rDxASBq8GP1CfhbG
kAewVuYk1jRz1iQX1mDrsx8Rn6p8Knu2D7Fjf1AnXKs4R/saaHM0bRDQ2qANjkoKuVD0xaxa0kUQ
vuzaJf6RZHxcjNK97Vs8zBaHAM9MGOm/bAGv/rrCf+HnuUJCJ7v//h+v6lmOQfQrbUvgVHRk1KNC
j+AsPwtZ9wGMgnWxYwthJNn3kgAeMJzZj/ev9uo0v14NAR5lJTyVr7rlmFgUk+TLPshnBsi6ExAZ
VIwI2vBf9/VHR+d/cCj+Z6fr/4eOzmzbNQ67//nsfPESh+c9tlWe/B4W+/df/XkSsKAZ0iExMT2h
k6LR9O8jtGuS+0r3VCVqHlcE5+x/nwQMMPYuhiwkVaqBusrmb/2M8TD+xR+lMYLI1gKDSKX8ZwXh
73FK8eE/ypooth7NGI7oFGqQQCAP1DiUGL9Xhpxsaoo27wDHS7bLeHhpWG8xQ5KgqqPomnw51Dg/
GfWxvQ91Jvi+1EvhevbS9aWHuCGdToxlKgD/Whi+AwVeFk0N+AKFig3a6L4XtKXP5jBGOVJJ7QIl
jrmXZq8hd9bT5kte28Z+AFWUb8aULAnobVh7KZi6Z4Kcyi9l59ZfwDwjLBuIvcYNDCf6DCO2+Vi2
g3ZRiEKhrA881oaVq7v1Ts+duMVyoKx/xQhB2GdpgmewkeKup/Kvb/iaQSGRnTt9oh4q7opEmz5h
yzX2YVYU4cbAOYxZUC+z6lABuHAPNlus752rEn9WFgRLaXGpeFoZ5YlXY8O9mvNpPdv3gtuohdna
7Cqjln2Mod2qCPIfHZ3eQVUpfWAMsfF5GV1gNUbVBt3/Zu9MliQ3rij7K/oB0DA4pi0QgZgyo3Ku
zNrAsiYAjtExA1/fB1Vki6QkSlr0os20EE1GVmZFAA7H8/fuPdfSaw4bZWdcE1Px/Rs3iV+kQxMy
JAWw4WDly647NPgcvsqW0QcpWLX5lCGKfbNi6rFgtlr+GPC2+lJisHxfEn4OQwkfwDa2XNyp4G/T
rcR8wm5eE4FiAacOHMCRD9R0/J30P5q3gpYJTPXCXnFCE9t1dURWXqrUTa9Wrskbb4yJG5uy+VZC
QDiBpM6JCHD5GfhwXE/stRKTzExgwI51zb/5eUMLPYG2m2Sx/2JCxCRtFuLAHbe0616dpSaQdmri
xdhRTUno/F2RZ/caUNkmqBfJb2lGeB2B1+FUCe1i4LqAbOAzpqDGyA1cBAFOSPQTJIB9aY9kCpap
/rGFr0MYYUkMQ0D4x/eUEETmYGPlv2CaewC9bEcLWngRFnEWv6xmJ+9dskoERGalhY1Rmk8VM7S3
LQmdVUvwcJTPkLQi4tD5TWts8k8XHlHGJ2ERUU/Nd6lDiFPg9iOrwWw77iyvQRIL/MW2GLgbg7gt
XLcnpjbpWHxES6a7eIS/HbhT039FaTEle71vjCuYMh5C15+5wcQtkCTl+UnnBLlsquVcST/Pwtwv
inKPkJj1ZvBY3tQNiiGGZLF10uRoWlstzufO1i3luMzjGYweCVscAktWDNFr3dcZ33YCPF3j3o3b
OlkIxXkDozzfoaW3TqU9NG8ULfyyXhGCjMvT37uiyvAuk7bcCKN5axsZv/xYwpnmcn0hr1zq7WGX
2yKNIYE8TNbAJflBw5oZEt6Vq0nSTSqrPNq0Oi8I67hwfd1YVB6Fx4IZXL2+FICjWQHbIzEUTXbY
ENIModOBm43/Etp/pt5Wt22Pym62BLLBMZ7EVMcvmtRHLWg6mdaBVGQMFoTYQiuvgb2uJlDjAgrX
GExZydchkPaUkZtN7AwWY54HXWeBaRYPeZePXB+G0sbTaPZ8a31lB0F1aJ1cONuELRf+zaocbiGT
Mn5D3RgSiAYsU0DObgcMTaoxcXca4z/2U1TTO71o3KODZzki2tC/sdWs7TijaO0W9873tdAWTNHa
LUO693koYvzqQNYCCOHzQ2nWU/oAjKq5TQAN7bMFMoq18Cxvs62TV+Wavy8NzqKBcJB55DlFvezZ
MnQ9Np5AwQxcwVLMDw0LnVzgNFdvuR6rI0Ck5BD3qfnkWqx5Jy+mOKJ72q6PHU1icZwHtkhr5QuD
3mBFYRXnRhWmZjzFJIU256R27ZnWQAnAuoxlBth+zQ6DIK4shNbdolGKwVoAQGr3mChYUzFE4TFY
nJXb2nYFQd2o8amhKsN4UgMiSmmTyrHLW444QUlgRh4ZMN/2sLKbtwl9uhOUjjKutFOMp7I0+Dyy
bJIYUt62cggeqZezkC2/noTK7muSIxXOUpvVjcbiydrWXpvZhrwIxpDHAQmwin6seWEKfkjv+c6h
qbb1P1CUXYds9F+wcUGLpRDkrxgnQ/XwRux8jvSsY39rO8yARWpt69FfOtJQlee/aNbKjfy5pWF5
z0r6HRNLiSFJO5yk1yktUMTStfvG0Iw74fB04bzz4dpPXF64aERZ8+9ojoiXqepncErKbtPox85a
1yl2p4nu2ouRWVX1AiZmyT/ak8U+UZA5kgUGftqDSHv7HWe8v4caX9LuGszQS6qvVTr7pxa6Kotf
0eAPQHKwA0N3NK7TSoBNUFA/DLAxUZITb5FWRvrBXNLlyPZjlRPZJwMlRJDUVc3Zo179S1l1fcpJ
MJ5hrHSZX9yvsvhG+POGOC96LXnhVQqsFrIUtwhM3Brkw8xeyzPZ7lK2mDrQJtOWoaVa52tdlS91
YrRn8r0Ghv2LN83UIVb7RJ/zVPvbi6hzquIpww5z4R3j3RkVbBae3dGKYBEQbGsY/RW5a31hNJOE
o5ekz5mr0AYT9PBJ0UTSzFoROsWRrIUjoLuSZyAYSqPUOCH1y6lLh+biSp+Q6zs9FTXpFpBd1BAh
/VSR5rj+HcfhAOvnQ0xGm/5xcQqCAoGllU58Moy6ZFcljJsK3wH4TwLartGbcscYGbT8ZsTnVKeE
DOlulkfDUAmcNNF4IdmcVpRXJrAQl8x0fZinsy3TPA9pEiwjLcsmXaLFYeR89FmW2Pq6gSaWSZPg
0lti/eDNvXvupM9rjlwBQsK0BvTmZDwLfHO3mu5UH7I1986uGbN6ja0Dmnr1PsGwmgY6EGMSUt3h
0hITfOtiw7aCDtDYeyFq+by45TPJpaq4gb0o7lWOJlUjidQLBUDLyBut8Xu3tPAbPcCP3eSDy2OR
7ZXtZjuvXdpo0aR/1EdAp8vcl3vwq8BDBfi8gIgieeu1qVwICRicr7L3qgiMQMx7HBdwkk3PuP+a
iCjgFoLB9IneT2hn0v1M6sTykNpLtTMKZUbW5qA1e7u973Quq+NXzp5QjvmLHMwnQHCECE9dd+tl
6QrofrEh0g1lVC+aOMT+6N40fib2ieqelD9oMmgdKqN9V6r6tl9jtqi8pD6h07RPqBvOQ9kaZzor
tIUAS5BfMYib2lr1kItW7cdc2Y+zA/dnVsrbaz4DI7nh+Vkh+Z1QcodX5qytufGBl8AWfDpWEQ5h
51S01kJz1wotBkFHAkvag7e9ISwia3Zz4g9HO+eGddmivXXxrHaSbtftKu17QFnmrq8q/SFvpXdT
46h6NgF+3jAfB++reSgGg4na9XNPl526BJrpuZ/BUsmsr18l5Tvl3VCOGevbzJ9ItPWO7mRpV31L
Q+HN6+5yT0SDay+RhPJzmnTXfdfy8nXWVF4EhlsQbdO2XURapqiDxZ30bc4+HIArpYTB54oIqoxA
EpsM45gB7mms7K8N3Y692ZMMYjQ6aQJkHJyIZrLe4fmScEz03vxKRbynuiY7ni5atVtyPd/3SjhP
sWJHYedvMSvXRhZomeke9W62yIgoCFg2FxQ+U2FMN+kAzDRorEH6AxuJ13Ltelt/GKe8gFFEMP1C
La5Im3uAeY37w5ClKI7u2o3JVzb/JEqlqXYg7JpdrI00pRJQFm0ArSo+YIvW2JhQACP5GaYXLe9M
j9debDoEqhjprm16TiCp2tPQI7qi47nIrH56aWgdn1aHOCwf3VEESGMluwhGji/dLHKIFHyektlj
iWNLFtqZPiSFHxspaJUvqNGSm0SVxA/13Uct9YdL2XpQHqsu5OUVP5aDqb/6U+e00Fj9uD/nSi3Z
R5jlg34qc8fvz5oySIg4smuR8uJbg5r20tConBIObiT39f5ENTvi556ZaXhvsSrY1EkPn8Aja9NC
XFWAZmq1Dq6U9C1DsxCaHiSkH0/Ahm19sN68tOStaw5yC/wCX4rLfIrt8qL0ln9P73k1drpd9h6r
x/TbvT1Qg6YQQ8klnzoKEWfcRquZaorlrBvr/LCYk4FdwcebpibKckBfv05I/+Xh2drOxr/vNuFy
ZQTOoNvxEIJuiZp/UFUwrGhgcKv02DgJL8ykphQkSmNCegZNOrO66rFJC0+clpq36G626i4/j8Ic
HwYxQv1Mx8l/0fWF4l38eE0bPVW1llHTYdqkmsgS0jKKuN5Kiu3oWfl60e60MubwlrvtPNwu9Cm+
/qyRs3KaHwbyU7gmSzM/0IumKzlKwITba4UoBwCGcI482J+49inIftcA+Sc9MPPPEisuB7YlABAc
Y4TzD+P41NBUtoyudrBSm1ti1muVnr1hq7yqmU/POiQuzvRG7bEyaYsyQ0v5WAt5Qo8zc5HqMbEM
iiV7hSBNfhf/l4vFPwk2WZL9j9OqZTZ8vwmo/XwzTEOSHeuEAzl43mZM9skIQXxdSv5228w5Szr5
MnYBzd/y619/2R/ipD/ee5IokO1sY1QiTf5BzumTQ29BnzhWxPS2AYQXINmpkzeUOrYPVgoiKtC9
uVPvBI8uD6qnw6BSTuBZPbcPJVmd/+YT/bPVqG/iUoYUiJn+LKfSbKXBAnNTXMoaxZ6jOfNDTyPp
paMxw0WA4MeVM83uK3Npiwkpp4JqqonLM1pepGHXNdvJiePIX3+wP/dk6TCBBfFQK+OGpNu0/fff
aY+GNC6yps/kEUozq7esa2v+uIp16F7Fsq4qEpDG2l1d2QWwtCmnRv3rD/BP7pVASyz4IGiK+RTi
j59gSh3wbWafHG0magnZZl2S7QbfiKF6aV2acCaLm0NmZWlygcG9VvvG6eIrU13jydMH4yrqnMPX
X3+qf3JZkB1bGOFQ0fyjubmyBrLBpAD7qHFCUjNF8h6PKEc3ZshF2GcmBwRyyDhDaGPSvP313/4P
NgcuxqZ63v7HSRWdzh+vSbW4OfQgsmLtpaBjIA21EO3YKa+U3JB0sZlRMNywnnIirE7GdkrFKSjk
ZRSqMT8IBzrmClOrT9JjvzWaGpVU8nvH3PSB/GnqkR8f+H+d6H8TpLo5M5li/OtO9G2GHqWr+/ff
q1F+/alfm9Ce/wsPAGGoiKSsreP89ya07/6CNwPzm4eTwTboAv/fJrTwf0ERb/HsbkCHnxKvX5vQ
wvplCxixfQyqnk3SiP3fNKFpsP5p74K45NLAcrG98gGxhv5pNVpp7pcwPfRLRdZVqoaQF4y2m40q
Bl1kzM0+F1ZPvWiNkPZn1Nsw3Rg9gporGJSXKwnrDZDe25mMKh9pCDPkj/NaCPFi+DhZd1NnfE48
M3ku58ENs8SxP45C9LfQ/fq7FcFoHGW15OhVA525ReMlBABOJmEHjSPWse1lxaFvZv47g+Vve+uz
Nol4ueidmj26LGZ/M0pUZ89WHg/uTQd9mHq4cKahDARBoYQUYEmuzG6Gv8hocDuurEuHvzfvlp3V
6laYutbwhplkSpEojKV2m1uZvQaqRQxOJpdtPyKNLp3QMqs6R54bZ89GuoDeTDHYhG0mR+eEXK/7
im9fPTpiME+d26cHc5bw8P1lD8GeTV5XGUXBaJoHaWZPS27ldwQQxvLIH7FuFzqH5a6frYxxIMr4
oBWMgXtDe5/zTcmjy3I6tZ2rMWf2rT2Gen/mFA17ck05RjN41LoHQy/s29GnD2T0g2ucBt9X9aVf
fZqspec+Nq4dP7U9lcAJ8Zul7WTX2MWl6ESnQnCw8pVOUYpG33TDHJoM16AZAwUfkS58XbBFu1zL
oYQsarJPE6O6LNOlH/qEU3LSpHs3c9YHVZGFqHOIKNtjbjgAX1pk7GY/Ifme1mrnesvIARPhYOQt
cXwUdWm+Nqu1ENLYaeuTTzKvIKVtcrMj9apXvGC7GarnBG+HqxMkKcxZQ5pX+PTmt8pV705pYldg
nmRhZ8Z70q1twp2DJ2xDt9mXHdnmqhFXKOLTftZjygOfk0w2rtBAYybDqSjCPK8nGWZ2uwXxqZKS
wmeKOjCqCDZOE+RM25z2BSRNKEkeowDNfcrJSy9t85QM7a290Y7XaaX+rK9CrQqcD1DemewUN68i
JuLds6al9zMSEyoVPmGyzrQBxuXN0Ceg+24WR/G4PNKY7IhpABOzOkreqFLTT40t8gitpXn2kU8H
eWd0+478bshWc3YWQ1FHk1dnF61Y1pOuNjGNU5jPIOQ/Vb0nQmUkbkDigRYK8JRRXbl9f8ZXIk9d
Nn1uqUXOLbEfF+W4DM7XEsRXsxx4J4YdzblIrIgAck3tsm3ikyiN+Dp6rSnnrPSbvapXdzYktNy6
oYWirwFjmNwLcYZNO39YkhtInUBpMpBBCodin2mA5+vMCEbTjkPRSuOOTy8vNBxpxMbEpp8Myxq+
NUWz7Dzgt5HLw3YEnb3LXSRVVbL2R+Q9p2qyH5VVPKARvVmN+OC3g76lfDxlDsRbvfPPRP89oM44
VYhpdp7OFFxy9RNQWd4onjulDt7CVAX8Jkl8wxy1TYGuJF6RvcfixbEAHIE+7XZGWXwrhN7S7ZmI
XwC1/JhpQF/oa4V+j7RI9TabYObdig3IL0voisjCjQBDrLgH9V/ty7mlz+SPE2urwWjB/XCAlJVd
uB0Pj15bfFldBNuKkKAzyG7wXy1ZS/Ax5DX1e3kcPCTkPBXGfZKqe0Zye83jS611dZ09Id+LbTfL
h9hFQSsJs2waUzxkpiKetulT5iqyjRrQNW+uSl/JwxlJsZi/p31pHBO3A1NHhh/Chs14o8X+eSCU
dt+xrd/3QJ+JyHX8Uy7prjnt/TT2esQ24V1qqU0urXqn/8i+MjC7dOORs3wvr9IkW0D1eX/QuVGR
Xqvhaid2+mDNs3/bzvrD2mo9OQagrROT6B1/+LDMZQT5lGAJ2bggA7oHGovsLmkaxIMuI2nlFh+v
Fu+pyK65lfJ2UDDKcgMGhuyZEeZOZJZr/Eg9e9toqg1neNLPriaf7YRszkIb37vVf3US82QOtsM6
HhrsP8UcpOYUYQs71Y480PuPuYpKXE0jUQcEdF8qcLx7u127o96bT4QW5yzgHK4K7YzxYquJrGHD
ehj85qbo0hcnB+htFutehwkUsNPuHc3/xJSJBoCww3zbSxvNu/M669Blcn6YuXUENpDYGrKNep9y
pCevBVDPXWu5PGqaYBjhjrfuMu6hdZ8RZ/eRPSrz0jrSo4HdEPqB1zQN86XwDsU8rKe07o8YWs5j
FueHvtCRu/laA6dai3iZFeEak6jrTcLH8QQ98wtk+J4NG57CdVl1cZ+WgnLUbdVtMWQEqk4jmSHS
Tj83KIGYKQ03c6Z4J0zFsyFGjmT1rT+uvFil7+/Ntn8k4eiqMrf8Ms4VOJblVbp5sR/5Ps6c13nI
CSajY2ydjLY0IpHGQOgScjWuM0T1kQ69anaE2xoXO7MTWpXWEnRDYr3F9dAwUTNgo2stIRh7L2dn
GhlV3CXa2AGyb1Mn7HmvNRn4raWGv28YRhNVQzPcmEziwswkh9bfsl1jS3tONbR3YGOSXe34dOTQ
xOmwxzTy2j/oSTNCvlsKkRBuTNT3QyU1tB9dvp7n0XoWs958xlMGSj4uifmJyCOxtmyRbR4vRL0w
GYXBux97/0upjXdGity0F1P/0NnV3VRpWqhyCMgM1z7k+FC61mojGLv1mXzWj14HoGgmO55hT783
+Ho7syrUJ7ZXcZyMJX6Xq9HuJ0BKJ+iG5l7WY3pwCofJLYT4sMwFX7Yb3/wESlele9ot5OX8pfGJ
KGWM43138F3vBpvwTzu1ivfac5dHl8Rselnem5XbKDC90n1xoebvtNjRQw678qlKKj2YJ33zLuEN
sqy53s1ie4i4YQi0ZovMVzK1ea75eEnb0VuWX5s2/7zomvvg+9X40erGve4P6bXQc3u3AEZCvswA
mF4UXtRwbVqBzKYtLt26IskdBkGNUCW3hlkc+xwFvkZDZU8DrX7wSuJI2G7T4R4NlXdcXUd91Fb/
CAB7fhoRHWJTyFDJ0fDNbtANf1W594XduYhQy/o74pqG50waF4c4X2b+7bKzmSjvSXDnBQG2aYeL
DY0VGW5VqNXSvFZkg4fgJtSNNDrmjn233JRi8o9Tbcw7N1VfigSiC1lLmXHXNKPxyAbZMbwaLNJu
nH5Ki4NA08yxT+S8vDqtelNEZ14SErkiZA3Ziz7Rcw5rj+kwMRCL9VimiKirwnY+Q8Ane2XdAmPi
lB6yUVAwDFxzE5oGkThoaUU5nt1h1ehz6rvKMj/EHFRIlp2qljC31C92JZVHmHrZmKSgpIxySi/t
MLlRXo7JI+D/vjVuKbTCshpfWn89Oeb0tSZQ/tAZxAMIn7SJvpn3hFyhUalqZguz7aP30w/cOaYk
gpiJbCTiu65lwAj/09iLPjThFJGZEFug6es4aGPFOzCvjwyeCJSOGY40nlEcrd4UQdrK8VwRShe3
1lWm0nrOBDBctCveJUvL+iL7FJmJ6z8uaxoV9KEeMKmJg258JsuXoknGNTzQ+NlI2jJgGEGHWFg7
hsb4Ve028AAFn1tnqfbMUI5rxdor25muDeCFsNboJWdi3HkoE9hSMjtAbzRyWodCvebpp8mHKkWR
H5E8p5G80TzPTOGYavtNYCPhgBq67KAWlDuOK8Sd9xo5EQkts1AV9amuxYMPD+DgJNaXohqecU/Z
HzSH2K6SswoDkyVCvyvCtul3iF3Aszd2e0vK+xjhQjFfQBADXS/K8nnuIcxD8uZ1x9QkkAYRDFZN
N4+AoTxA7wgin5y7UjVzVHfUdVkdZ1/z1tgRf0X8TcZKnwsnWHTMr87sxc/Mb29UOohrK/w+HFT1
nQIYpX/aoSRd6zDVcpNbOn6Y0y7FQzqUz62QkM/FkERKVP5ewCSk8PaILtRkcZsnbDDLlJeRr9vq
6njxZ71roUWCND2kUz7fq8XVIr9zjJBZGpWP0fgf9EZeiUwerqZeh2VNSMTatXmQCn25mtI/a2gD
ISswlXHHcUSx4043nuV+rTlzFIb2ZnrrO/3yg2t0ww1H3YWLkUcoxU9Yj8b9qmnIEb5rnmKq4HT6
jYEQ+6jy9g5m6qWaU7ZI4q/CgVRxJo0ccUeztQ5WPx7M2jYCS8qLZ0BX9aR+1nPv2XZTpPbZ+j67
w5d4SD7Xdc76qa37ob916/i5HleCiOYq+aRpJoQdUZz6bF3DxHJvkF69ek29a32/PuS8IAOijZpr
HJuoXCvduBGiuZcTFZrWST3sB4JlgtxL9Gse1xMlmnY3OGr0grycV14LMubr8jZQSJCbNIJ02Z1a
VvCnpU2/WfnEGomnJUgtpmXMnwr4l6ldvhW1BLSaZUYJYsOEYjjXVkGRV7culpW2up96sz+O2syQ
Xjo5QyotacPGbPU0rPO+eWMEsIkxR5uDTqOep4FJyjim44nKOj/5xPMchF+JqFnW5DIxWoyITX1a
WqxcYPA++N4g76pMM77bWTdc1jRzzo1FQq1Z4IQZ6niJCI1rn0S1gMFrzXfO8fI2rwSH/ET/sK7J
GI5dndxYs4t2wDDtWxBIYs8EaT5Y9YwogwiJaHSFFvWY3HZYFikCquowVpbYJTMzxpJQBGJf+g2v
v2hBZYHBFuCRnEZaezMt4g+O0Ts4SJfPXjn4QWm6725ScMUobEmlg4BBr/yE5xyywTRejbKmtOhS
l/ex/wkfB0m+nmshmUiRuzR2RSnUrng++PWdP4UDz06CrovlWk4RjlWwqKTv1PMso7TWixO148kt
KxkiRBqjzSq4Z0cnAqS0qz1CroMEmsuBynsYJHNUjsN0XaxZvo25T6BDLHQcRIIpSTBxYrgunX+B
HYiqFb//ziSTkLgl8uaR8QW1YaqLu3R64CC7O3Y5+SctyiOArp1+6XPVn7va+q5WxiJ0mhnVpa/m
ml1RgMR7IgvLO9lyG+stksPPUaIXBda8CU8LVqh+lytPu0xC3mUmYW55Xd4mjvtSe353oMZW4dyw
/Lt5jipDP8BuHklXsDnPwO2NhjzjV3mDGeDX+7bWzb1T97dLQ1pUu8S7NbFwWhBdgsKwCkutxEnU
p3y9gpaN1YV6OrMrk3Z+xBQOPy9vbAqX5TzxpIbD5ojXh549kjEajKnx8+jKz5lroydTd3Nfz0iX
FnPHMfLCFv2Cm6qKxDDvOW6xkg1CLPuxmwKeBv0KVc48eGgHHH/lxSsQeLWN8YDO7uTJYb+OTo7q
0MALpuEI+6iERutkmiYvMgtGOI35gAZ04RvhAsl/xE95U5i0HAl7hnpIgIKBrsDOiLPpnGKMC2xR
fa5Q89/LBPciFe1BTQpdzGytz54h7qBq9TAhDXNndXrUdzA+BDkuONNrW9s5hbsEHHLkE0Ovb56h
rt1qXnLPebcMk5zL994oD+hOvrfjQuqOly17YEhkP5b+TskqNGQjd6savzc9FIhCyz+lSkv3Spgb
D10Lc5MJfLF69EtW6Se7qqIfkBorpYuMwVTKuzZlgw67oXXmsNGF+6EcRvOsUdc3wZwAB5tGDuaj
Wlr+EG/yZszLwGcuva+6uULG0rvBpJxLUxqXVrdD9LLoL+e8GCI6OQksuoFImtVwGdQbixpugNlC
2e/MAqGHQ7hgVqj4zmNX64O6M1qb7EVy2zx0A6vTP2lIvLqoxIuzRK2WT21oGSntNodzwsL2YQ5Z
JBmNKDNALbvYMeJ+EFiLfjNgR/jc5aSd9rhC/I6uxf+bnv3/R7pw3Pp/KQvffSveSfz89vte/M+f
+bseXEdCSttcuIxLf9g/f3OG2phGXTyeDrMZ3TFRav9qDLX8X7A00IGHHWO7TGto0v8mB/d+EQDN
bOh1trlFUv9XcnAYp4x9/jDW1G0H9g6wS9A7jAX+1IjPJV45YyUGASFR+gqGvmp2TmNNZMCtZc0k
ti37qFHLXVGbhP0VKWY74HFhFetNROJMRfOR2MbXOBtKciVpg4SZr0/f5p5+Pq4vGZLdQEgxbffK
0zQ6m8UnobVYNIaMU3HCZrugUN0DKMeJzUXMOMvS+5Y9RiiCZdZrIW0OjN6An9Al5lWEsSzbMyDI
HKsYpi+UJWnQp60KLN9pL7PCHuWUVkGmpC0PEx/ODKzWaU4cI+MTipH+oUI2eUag9gkBk/aaFSW+
JFUxlFdzdRh8M9mDHLM4DXTNh3XGPFLO3T3asa8UtXzJmG+KHP0eDwjoZQT0O7S+WiCZHx5QPn9v
WiubAt3v612lY6m1G/RbiNGbSK387elo3jvWrAeZ29/2NQaxwcR8ZnhP8TjcGjEhO+lcPeIwJ4wK
c1BQ5BVyLw8FhumVqHjKG+E1rzG8jBDM1nzGV/cJ4+XJUWgyQD/c50v+iYBWiQitfpyRTpNehm2u
sdIUvQ6N1UHH7JcBx2EJPs0WijlXcuyOUc+MgwocQkBCXyGZcVdXJ/pQo2Ch5/SIPKF4qTH5vhiz
hVduc4SqBJYI7bs54HCrglQvv3drc0fhsx5j9CnUvuq9Fkb7xMmfQi+LEVZumM4Je+BdMdnH2FtJ
YbV79YEOfftKWvWT02X1gbl5djA6GrkOUbf7FWbhkXBPjxwI77lY6bIFwpqeExEnZ1HWHTHTSVfC
9YmHL5qutran0q373iysa5mp1NhNZsr4hoHTui/S6tHSDI7FbUUAkFlbD13R+1HnxdXOsujixDw5
gcxIVUrp3tHkmZV/QFVI+l3SGAbGsQWhMYTLoPdGp6ZjNw+XJNH6IZpazX52xZRdROnodN964ryX
HgNgxhRmZ3Mt68jw2pjMQhKjL9Oi7P5US91mdCD75Tv5Q6t28Nq6Jv+Ts8VtQfmP1rLCwlhsiUEB
RrCwKaXx+L+x63/Cztgmm381dd1Rc7fZl/5v9fe/wdEYys/ZHwawP3/+t00f7IXOVg9Pz/lBA2Br
/23Td38BSUQIGxy5n/v+33d9D1gGY1ZsbMC7iFT5nQnI+8UDWgbrznPszVbk/FfzV14ff9r0Qbxi
KiL1xkY+sn3z3ys0FqPKGSXOOnGQHG6T70WifWCSiiR5U4iAds70c4eOlgfp1cjZ2azu3/jn/E0q
9cf3DvwwB6Y8OUZio5X98SPU0CkbjxPksW4X/Tp4jxldMjAbXROYSp92JBsXgSgItCQK+eCaotpP
5pvAbb6muwqB7a2+NZhqj5NUjl3AuKoUMpiwxwCD5aag2CSsX5iD8YfwY9O0ohaUuMO3/7sI0tWz
5blb60NWQn3V9ovtMxIkiSNIcucGk01FYpneY59Exm9ZOz0fYCdV8PaIRmE1gO7xgtJiamfSOaN5
FWRyvRc9X4C2WZDR7uRRxs7ZW8zM8huhDffsOcOeI3hgan5/7/hvBtjZLnHfMcbAK5BEnDukIjoc
1pSPlyrdD3WxG6kf2yF/mLX4SSrU4jktzbFvPvGm0g9ZMdwlnXsBmvB5JfSnl9TzzlQcHFLoOXWg
vuWE+aWcaY7l0ltotUxfyLbZJc7Q3VTdZINvaEIEMPxlK8hp60NSgoj/37byn2wrJsoEnr5/rea4
fpv+dvttzr78gcrz64/9up0gs/8FniW4bpziBCP8Ts4BUQeGiOXoiEZANf6wG/5WRLr8ECIQAnvJ
tMFBigrqtyLSwImIeo/ilo0I7Yj332wn9ian+t2zrG+BHLzmwOwjicQV8qftRJF3iUW1kjcth4/l
nWgfPOaVcHux19FhVj6u6XaSC+y9uiu1U437yW5D33arI9J/UuC0bvnaWsnAeVFv7HCWy7he5spx
v6m2cHcZ5th2VRgHEsbZFCoFHrBHlFyrR3rzSPnUdF8LtyLIS1+Y19v7fIu8pYuXab17P9bDiICk
+QndsX4QeJxtlPhW/ETzoGLgeNjS3wDaw5M7hfOG8jF/5fpA0sjB/DhjpRrvMTXddRvZ6x747L3B
iRrJr0T91z11VPXG3pOArfSPmXL7dThUzegRg9jp8EMumJdyzty6+pIi445c1Sx3tllUbrguk+RH
gbOun5oKLsjt/x7A/+QBNFBrsl7/9QPIYbRN/vgu//VnfhNT6RhwMd6Kn0+K2Gy7v77MPfsXR+f1
hagdmht0Pf7Tb08fr/zfnrb/w96ZLUeOnE32iSDDvtwmcmMmdxZZJG9gLLIKCGwBIAAEgKf/D9gt
qaoldY/GbG7G/juZqYtJJpaI+Nz9uPm31VTFkwGKjefE/m8eNpb9X5826OXsLPhhJn3Aru35fNDP
i3dEU16YIM0cnTB90UVG57Yq5I6A/DMktgfkwGNtDu1zWFnPlGZauPPnPcCAUz8HIYPn1r5wdEWw
hf7lTW1p7wKUeXlgGW62AXW7zI6i7secjD4FwAwpZch42kjL5pWjpHlv2LN9WNjkbp0SEacJhdgn
Ro0Ykwb3HAjDW41cV4Q9QVLNkKyn2oDnv6USjMrP7cwA9WT2XdyO1c2sKP1okGY2eTmtNqPlzsNQ
uJUB2r416+HL2jAdp/MEj1Pg53YN604vjndgQPrVdysMQZqlLiB9dtWbwjrnDr+Tadbilqk6tnHD
b28Zy+9cUT4N00y0ZKL+uvU9KBXjmxywj5BU0dvObaZvgnPhudAMnp1okZB1Wv/gKY0pxe2Cg65n
FTOshlDrOB99PjnM3OxkS0mDu7J03uxxZibYjyeGjdWeAwe7mAV/99LX6Y6rutGgW+5pWt/35bxf
pHGTzHm5G4x2OjZOpDdTIK37qLHL5370mq8c4PZVpO8441X3BcLapaBZd9jkYUAIKBnKq45yRL3D
YG3Gbd0Wz8MixR3mBHA5yuhjB7ah3jTp2OFWMWjE4i1+xpu80G9aeR2Qer8F29CIa1Lv+jmJsApH
nh89TZWDwE0vBRXRMggvszGqdkqD4WmHMrwLtC7oB3awF5c2peK9Q2A7IH+zlrGO5VNdQHP0Suq3
TWaI1269mHgqmMoW+xQH/WXQ2uG2EY7FlxfZA/O3oW03ym5qDuVJwkSBF/FpdTe3mzasoXWIchUN
SMoIEDdSnmdWtr2tg/w1sEfCx1NC4blnk+rN7VI+hGTAd1Ml5INVSOva8SeSp6vRmRxq/to0azYO
h6JI2e4s1r7KaZz8DPPO3gh8py/SmjC1O+2UUFw/jaOMZAYpUU+M87ZrQ/eNg2X5NIvZ/NYNmKsN
fEM5ASw6LdNO8t9k4xr+Hox4xJ2DM8k0SZNKrz6hmAn2s8Rtt2adElKnk+PJGwAvHT018se3jFvv
A5BagiY9k4ynP5BeY8NcUInAdWjCkh/IuZ/oCMC6ejfT7b2d+qp5yXj+DsIHTw+8C2hMMglWy2Bl
jDZWLa7n1lUfAobdwRqc5rs3ddNtMsiGtmZ+szzJm3A/DhY/vrTt4C5dMmN1pnmYEJMsvHMn7kF6
tKsfZZW5p9pDPFG5q8HZrZBhsf7h4C3n+3nw+sdgqvgPyyS3L7yRl8g2dOSM6q7GQ87U/fXzTmO2
w6fRK001tTXb3llMBBVpiJI3ulkF5YzEKwGBtnzCwmJ/xbQg5K6v3OCu88i+yjXhbE0a7apjZmGn
Q+CCoeSiotnXJyBIXDUbmM2+1FX/0QeZuK5N6d8Q8JjPbWLZ94mZh/e6Napdxh1ZbJbIS14pDmo3
2qsycL4JPkRjDPnEAPr7vkwz40EyYj4sfi4f2pSpgGRysPu8WpWu5INI1wyoKhIYz1Y/UrrEyQp6
j+tdWqTlEpBPDNK2fsqPH/ScxkGJHrAQNOLcEL7QkjcjYErcm/lyrersmmnz7WCoL2ObogR68rUW
4Sat/DmOwiu7H25I1txmo8mgrc+OVd798HR0jlBiNz2ia20H95Ny9oAIyCUtT5gi/K1nTuGl7/MD
m4QNE4wau5llHGI3ve9Zx4aN7cjhYAnLv6fo+lFZOQlhjKTbwgrpyA4aJ7YCVGJRzddiirZ6yrf0
8pwopk9urd6YbqzJxmwpU1QRyPiYQ2QBpyoa3d1MZH8TNKQ3xpEZUk8QDNt7Z33UMJnxFn2nAFae
20w055xD4a62K+vCsb33zuqPdejdsUzinRwH5wb7RfJipPazMsL3eZDYOWtVIcmXuBznetwZlYMY
rhY6Le0O6bPxffkwsF+OGU8uH9VIQmnJqAlfMrVv+umhzofmFAXFwUHkj3EFcYGFb+2ndkg2uZ6L
y8K3Hv2ZhH4QURY7zdWFCbIS8n0LXy0cGg55BRpONJyadGn2hpQvrYmJZKqleUlULTh13PgH0k8m
w6DkxbSqNoZltRms+Qe5vvtGhMF3gmtYUXVrvga+IbdWUXzp0YnfZvxIO551GNgOGrE51CT7Fckt
uJZuuxkXnFAT5QXHNF8czKih6cYLOJ8oeWgr9ZHNfbIz63C+nrKOZnMnHUUf171tkjpculUTsutL
afnX0MqLO26rbmf6iXXrLLPLKXyoGRqQhzwWddFsXWVgTLDs5js6fbHD73gx0wCKZaB5wx9KL3yo
IpSO8dlM4JLhSsObYbfeAVbSu+maL23mHGiuSx61RX7McQrsV44u4HZ7xhV25Mdkrs3Y5zFkGFen
z5Q9qbhWzra3zPASNl66Y5MQfrh0jt8HGHEfC6Zp7CGYrmMj9VHV+oRT7kjKdaL8PX/Mg6HYuMqF
+src83sPs+hEvjdYQX/JVo7GuGdN13us2iedUvNAYtG8xjMt74jjTMCRWnZWjuGBFenC62Zs9Gtt
zuWrht9/7feEhClrmDcd3a1k5R3Jm7wX+NCzmpwQwJG1hWHK08tx6gvrpGzChVQmLtAUI4LFIbkp
RPYwfer9yUDvBStQODaq9yKlGSddCkG7yIfLwMOmNOCZx8YODAFGwaJZBilOvZZwIE/uWq6ZULEJ
qrBNnqJW9Pe6WES+W1Rb15s+qo1rTNTeBTuF4mDhlNyJqUxihrJyZWZPP2pYcDdWlfaPuhP62GD6
/uq3OPOR6eotZAO66QMNb8ttBOHp5aKArHKuxtE4mZIXGDJfe5SJp+IGT32MMSDZ48AN+bXK9jC7
5bdAMaZQXaJvCt8wr7qk7qBNye7Q2mgNgy7of2+6q0kSU8E0kdqpH5fh8pJ3nWy2eU1Hx6SxW9Iu
b21Epsp95ZoQVrvCPSySah+RAYZaE3X2wKDaK9V4uxTs8YpRKlauMbyZdVs+tLnSZB4L48Xpo2sI
lOo7nlc2IP7c7yMCf/uhREszHNxeHVAWjFsLj7hDty2dSfesoPKmDgiJNliPN8rU3hNQmcNEPelW
OcvDTJXm9SRsgIphmB/m2jr4Wqi4xKQmR5l+J7qMv4Mlb2wlVkWg73jGp+lExZqKh1wlF4AAL+kO
uHfxU22DJMwv5sWfzkke4tNlYpYV1g7r8H1U8Ha1zsEAcm7cEeYureZQVDpP7+i1bJmCD0qneEO1
OwJ6NIyUJSFtTYz1kZnOVRxoyi4uJva/y6XHVqWI87QqvN2schLH4aqLe0Mx5SU+vmGQ28oXmHJU
Ombze1YgVLgbkqLSPrIafp0q984wo3Ff1dEQY2bQD0mwLDtrXtR1mnsSGclzr3pveW4XOgGXxr8X
kTTifOkRS6La3paRl9+0QeN9U5OccVrXyzdLWf2VrnDuCGv83qWzjRXRHq/CcXTw+gfuyZ04/aCd
qttIl/alxph3n7JV2dnJ4GxnI3gFZ51sWkhwb7pP51gYnYvLO0lOlSH8TZqbZly0Cn/nKLB4NGHG
UtmUh6l3xQGX9ZfI6KeNV7jnxWGjXZb5R2Cj0rgQlq59C/lZuu8Z2MVt0ovoNGNlprjJWjf96dz1
30ysmB9B4eWXWteKfbxyjw7Q4guAmg/mOEQmzNNxMbbF2BcXy5JAGVsWd750RWfcNZBuvuK9Lq9U
Vr1zAE2rnbTbAV5SD/oTvoHc4tV7b6uKVd9oq49g9Nd3VtL3+6EWeLkss3th++LvbNshO5hEmPIc
694RuXdDoibFLo92ckLgbLfBvPCkDbV+8gc9nNsGAOFSjiEC0NyXN0XdBl68YBX/Vrek7anPEdO+
sjKWApMCb1iZAq/9WroVfjD35cUxpp51L2jB/gpqtXlZnIoJJjOYZjMmjmvwyqfLJR5MWv7wE8id
Zy3hOZG93CtejLvQWi7EDBqz0RyyJCSDa8Ec9oUKdKh8bYDq6NUZVFGCyRia+PCbNmVTksuQNG0t
ov4L8moHOAQNrl4ctBzWwWWOJ6GXscCd0MOob9X4I1MVzHanF8eu1c1xMurvxVpBrOYk4PioLotu
wEGdduG9X5njLTF2TMJ5tGwLRDyMBZiZvVSiWyWO2OZRmJz4xR45+CXgfjL6hvIqvAB3n3b/bwT5
/+9wbigLax3xf576fBXqXdZK1D8L97//q7/PfXw0F0R4VJIVoY82/o+5T2T/DVqbjxzDNAihZoW8
/T73cZm6IsvDWeb/WauQ/jl1dW1CdLR0crBhZITc7v43g6BfBRR3ZbSvFe42+V8XqtwfywRsy8yK
wcv8c5TCFMPFPt3SYb2moWeS3n2nPPSrf3xBt7/Nc/8z8vC3Dwzsdd6F+yBk+PTr3Kngr27spvLO
jsfx/RMts0Qwo/wybI8ceKy/6JNa51j/nCr//nloHYyXCa1SE/jr50W5v6iI+Pk5kJn/BmKYgzyV
gV8UZ/S/CAz/Gs39/CguNdfaY4IVUGrz60d1mc4oFrXcM4skAfUgB6PWL8BwfDu1rvtliZ6CgtNP
t4Zd//xb/Td/JXeSx91Anp9eiPUy/xSW1m0xYkvv3LOyc0h7IRumjeHVWA7GlJj7n3+YhXflj98p
dyBVDUjXFAP/sbJ7kqWqgkm4Zy19PihoOhMgVm6SBh/7AB5Y7bBdOJEi4vyKWXMksm1JiGV4yY3Y
XIFjf/4b/euf75vcTL7JfhRo4h+z4rkFpK0k8nQmDMKfG1WQrUwDF+H/5WehvXqIHqglwR9lijR3
zDKbZ/fsKA3VieTiR9BXEz5F+6/S1usN8+u96wN5pOwG9w7HK28VYH+6qqJvOsOXg3sek+yHsoE6
DHZl/MXV/HffHS8hSg74sFXL/fVDILYjscDWOJMpxY+O2Qbp0cfjZi0rUuzPL9RnIvePfxLJKov6
XUTjz1H3z38SLh6LrYjlnDEwFNXWweh6thKD+VLZKXhxbeG9cdjiIRURNI4Mn2HKOv5btcd/RHD8
mzsYrYvXnrk+qq79xxsmsS07SXy2XFPY2yfGlBYMrQR0ZGMo7lAayqpdUdgQNmBngxj8fHi9hpkb
b5Du+Odfyr+7Aq7rINqvVxrG/69XoCgjHw5mw8MLgejeNE08lyCwAYt10e6//yjfBxCKeQBJ8Y93
1NTgBelgfZ+Fx9cbRSuH0ignXvWhz5X48w/7dW3h9e26JkNCSkaRDv/19m2yXpZt2xinZF4ZXYbR
NS81ZS0vywqxRBnn7fDnn/ip9//z9lo/ElQDpggfbYMLvK6oP99e0ElcG5xQdDITTD9uWHNgUx3E
RF8b071QCdfV8UCbZGEOUiPlkapwwp4DohJ6Gwq/PS4ty9/nG6R3C2CH82IzW0wyg/2gsJga//mv
jMrK7/TT78zCzwiBIDYDVcwcLI2//s51OOX4Cxz3pEqz2ptLBmhc+MY+pR9sAI1fzVOKTTrvMPXK
nCK2ncUPu+s6A4Yjp4AVyFgBy8BplPYf7H/7jwm8no/1f+G5smGDZluTmCoTkU+qp5VGTJ6zcLov
fUZnZs4/60ygiMG8YvnUyjOlIrN96cdAnsPUdU5dzhe4mYt8vmXQbHQcEG3IlUx2wfhHSWtRjeox
yFcQVPW2iiCawE0UCQTvQTj+oaxbPiPkm/ZVNt+CruKY6I6ujadCAK1UmeQOaVYm5CwRPA9GskT+
STcOQ+ueLPZ27iywMEWZ9R9FXrYvQVPbzamyxHxvhexaDLqAAB2CeRGv1hxxyYLF8WHWaIrGn8ir
cO/1hf9WiJUp6OY2uFPcqx/KatYVehy9t2ou7PcGPudxbIP2vvP76uDpgHC5SGGz8f4lEqAjstqo
SjAAOcTzkH5Os5PCiJ0JNOInExSsszgkDgzbT6KfIW3wiZ+EnQi3+r1SnJRRPNRH80l8rXx4PtbU
qY+iIknKoZcx8KISy4lD2GdPQzNzNY2EnGGU1HzLVQ7fcOn53twBlMBvK2rNSr1vlA81fa7IHR1R
HnBtzEHAne1mGHs3VY1oAz6bjQnYsun2k6xj5jbqgJw5C6EWoIJ4NWpLS5oWlx/diW+BvyIb5zxv
+pgJ/MxB1kwCMg3r+9IYcVMelDsCRYcJxi+DiFlUu65nXfTBItD+yzAg3VXwra4zeri4lN5KZEJ8
XDmlM8zxDWE4BuxW7XAvj7kRPWEb4seGPeoD2Aagr1bIWtTTCQXMsGRd3vQ1+IkY5Wq5WoJySWPA
iN7byATrzc+wtGxopiMi5s1WBx9osY8L5gICIKnvvtbjWH8JFzFfle1YblvGAVj0jNIK93jdu5Mo
5XiRljMfo8ppInG2SHQWhbERluxqyqSJodgEXj5fU1Znnis3IzxONIJkkqecePIMN57rZf7CKMTD
EUNe61SYxKNr7klM4qaq7/pG0edAH1D1HRBr/yN0F3nh2cFwTaMLjOR5ygHSDQVvpnghJbXTTLD4
Eoy5efZhZam98mb/fVoCa6vAs11KxTl0T4ldQOxnaMTWyiWhEMkgL8pHMGhQnLLXdJ04AqFvrmY/
8w9tPSdna+4DsuRK+y+NwKkLGX959VPNFN6t0pmcpLu8ktosdjSpLrGyRi5jmHgjuXpdv2KWD/pt
PWZqW5honOtmFOTZBPwSQaUydvAAxtVggZ5J7Hd9MYGSpcrrfkAwuKiLtrnIO8bmszfM3xOAWDvI
vcbdHMnqWRQjqN0ZbkBTC2B3LaGhoOje8IXwfAjmGoldZfEwdkhwjeQHhca1O2Umr3+mR3JTYHnk
KE+dgOwZxESBQ7AHqH4q1yvf6Et2uuERL83sbZln6I2bJHyQW0bJljRYdhHKhgFbr7LtAtRvZ1dy
eGwKv6W2pVZ7OAlzXGfmO0gR+QyGjjBHZE17ZZAQJMRnHuCjVXesSqD6qDPJLn23XfVUkysapHZ+
KRlQ3MILxcaqSGnGBtyf/m1O4OAads4joVY8zo4YvJ2ff4MlM2gBj8Xbtv9IO+wmMdxM68tviFkT
5f2pCwbAQOEweeauEBiBiUXjRttUsGyX2CaD/pJY7nRLMtCIg7nsjr2KWI/DwUuImdsuIN6u5AEw
ralRh0L0vIJ4G7MxayRv24lzlFI5WzgfmewL7TM8+hROtkd3cvPp6FH489IwXOJXowWF5F1Zly+2
pACd+d6gN5YjbXQlK1NN9QqQMmx+zA0TPzUG6Apl0KPWIAp+r0LdprFXGN5XzMmgRrNIHWGzYsyr
p1QMmxKSwzc19m95A3PEc0WaxsyHW/UM+GIwHsTSSOcY0jlwPXY59T2lKHaZ1u0xJ6tIqqxuHpco
ZW4fYbV9HGmVuPfT5gfh9+cJrfumWONivFdRimzCDjt3aOyPlIzMxyKEfkAr5MrxxOe7dizIs7pp
AEdjzKgQ2LSlCk4+OTDCxbpsMPD4vMfjYlCpPvYwms8U5M5Xreqde3+ZBM72qkDK9rkKecxmJyLD
Tfh8BwagvJq6zr1ZxFLetJY73FcihH0rLfXujka5k/3ifJORP557v1lWPqzN+BEzEbxnmHcbPUCs
IdpB24SKsEcwLXJPZOK/JY2hHxhdFnfWMDA7F6n3Wmi/SOMO9Z21soZ/2NL4eB25swB94DknI9KR
v8nGVL3ZQjfnCuLZrhbecAZ5Z+CgJNHZoQXMYm+wmWXea9l2ApI0CaZ9Rrv0F5hnzZHEGp3fIksu
zXkgOEptNsPgVL/QgNcOO1MpV5wmMU0eAFm6TzZhosPi2p9M3dBOMqgjp1zjMsdL9WjS8kP8qBiI
SdlGYBbHgZvnWrPC/7DGVl0NpJgPJP/nc52rqtyiDCdqIy2OFxkvtwNJc4J/DTsLA4EnGO9Se6Sx
pf7s91C88l6KqXdIZpUe4ACb16hjUt8QM12twd5XxJLjkhjxVc+Uk9ho1KJQhGVAfI2373dp+0DA
I6Ol5qdBdHbd1t45pb8c1RCIe1VZ7SPCnXoKSwSycVqKeMknEpLEeTYuNk7wuUsebJ0GRSG2kiX7
MKuedahfbfiQI0W5dfmqbkdylYe6BHwQe+RkbzAeTY9mp7GSih6rKXKfsw8Np0Oqampv36rAQ33H
JKMOA/fuj6TMpq9N6PTvxPKDD+1Tf7E3G5yeMV0lHrlcWcJ/SJDif8CVbAVGhWWmPaNvfnjZlN6q
vMJmvmCGPjl6AqQtZd1uM2gL88YNuo5Onbq7MUqd72w0wX4bpezZ0wUYNX5VGWQIAxRDnQsSBiTH
g/E5A/g+YMxf8hszSAJzkzR1eVPDMe/hI03GXQZWL2bNVpZ7rBoNP+IJa8OUuP87C/0/aoW0sVc7
Px1t/qXg7qYo3zJZ/WJn//0f/T4Kjdy/4RZndMJaStu6FzFq+N0C95s31fcDbOmfTlL+r79b4FYD
6gonZD5qc3T+ux3O+ZvPOYfYEx+y/rv/znzq/TrT8nDA4nFlFAubEXn1XwYTHWVQ9eRb7cnFcrB1
4Cr0wE/3nKbCOy+rM7ZmUUo/HduABZ9D5w9QN3oPSFbg26xvE6dbSMyUfYnkwLoDXnqY25LjUyTy
296vu9exE8GLh3pzyqwUHpXO7W1kcOICjy+qkz0lxd4vonHbj3l9mTcti3SdNfIKJnWzHKrZIj+K
+I2hxgb6MuouehnpiAqPoUliE2Dm7MPAwrJziwcmgAQsssvclhhoHVyndRyl+Ozext7InoeOGR6u
eVmkHBoGvOoga7M+3XOoROcfzHXTAOUZqKq+LjOXPt592JKWuZZK8edmk+oIytQzZXJsHaBpTzhX
WtOoMPS4XlhuWhsnmLctBvja16G9JCz6Scn3iQ9rrgbgr4lHxGs7jGNgxUzwLPMdF57Sy67IhAfh
F9qshym2ziWojOq35kr/s8ayDtdKy+m3fkvqmFtahr28cRfAXww8m7gjcZoFBbl23Oj5B5jlmfNp
3LOZ9bZjKoW7IQwwpge7mJLuOqh64wKFqLvFxZPg3TEc8pkuhlyV1ReZYYyHFGX8ocBtAINbAYmi
QUzfWUjcez9q5regyYudpmSCPqU52woJ1XsMq+KSxkDnIHEJwEsAWEwGq+03bS0ZeI3lcBGOUxwM
kB6qqpZb6jXSG89Gr6LobNr6blps3Z4OqhyDDcXLUXLXrWJoUht9Q9AKzXsxxuamzP1HkscIs2Cm
b8kYB3dlU4wvWRXiM4BYeeqabLrjfpCw4KV4KtWU3Ja2nL/S/mbYsR6AHSUQvLekfYPriGKgp6yZ
iCdkvnFjQJnsmaMY0X4MOucy8ZMSwp2BL8EKumJ+alZMAjtL/7H1rfqBvgJUdJK3uHC8nNg25h7Y
trGE23lRd7bPbIL9AeSTur/QE7lVXRYpQrd0ztEScCC0Gk9/IX6qCPM1oN22Q9GVPyzt+rhAgwU+
Obz4ekcMl5MpnvbbTizBRac9og0BE4wBBRaPRXBpUbqBRs2eqd4k3TDe0G5in61pkkfXhdfc57hg
NkOpurus9OsnZkUcmYiUfyPk9dVquzHuyzA8caUZtjTgR2bVhFcLvS13CbOME7H9jjoyZ3ke4PRD
h9CT/Z7LzjwbSw03vG2d4MRyRK1Y3nwfozY5Ioy0u4yhG1cwyB9wnQzPpp+XX5FcxFdH98KjFi0s
vraY3snU84T5Rk9NPGNVHKC634vGZ/ZO2LkKRXnIoaywFNbeSU+E78H40vUBcSEybqyck8zi4WLf
MAgVt3WSTycA7lMXy5QKw9GCE0BH/VRuBCf2LQSleSf10MQ60cxmOJDQGViu/CaTyLrSJ2lGBNtm
z35yA8O56Y3uUSzdQ94YwcfkSQR8RHocZJ5m5hXbzZJ/CbrcPVf0Y1yavcusBRPClpHKBQVgwdWs
u5ZHY1APBE04r3emfPcHkyS/XuStg5j8rYU2224s5pSbqGKvmeap+5hmYKj8lpPKRlctyXL28FcM
IoeXnvx3TfXlapEBrlFY1hLnU3di0JS+KScT30usC7Ea20u8HHrn+XraZnjAnm3Yx0fHCCBsI/rP
lzbz0q1LXB1MSW9DnirczLy2aN3Ys+02YGmbobwrcsXZp+ktmMsD0PARvTDZMAjiuJVhl5iOdtZP
91K7nK+KVDsPY5+E3wpdMRwZxMCJL1x7FZIkm+9dI4GwDr38jVC4PHPk4dw192vL0WAyCEnx6ZCV
DzMYedoFqB8xiJrB0V4HINxnxm0OlQqOB8dAiexCViHU9Wam+ciwbHmNE5WsKb6cuDendxBC9b2l
/fkiNRIV80MBa+eJuoAEHx361p0ujd6GORQ24Tv9aN4PabgfomntSysYVU/JHv6kMuLkAzyYh9wo
rtjuhVeRUxSX7OX9nA7V98y0McCYpaRqaHqUZvdABt2MQ4uWeFKwnAoGP8N/YXkHUyzRXWt1cmf4
dkaISWl1TA0IS8WYYpQWyZacpUUqwnMPORDwPc/7O/7o8L61lY4zBn1f0sDiDZJ1zUlzQN116G3l
lScp4/NUPV7J2kyPhsZQu/ErSHvkpOUdd25FzDbSt8Qxu492AjOOk9HCklC64RNN9+6J33De2rqh
NcprvIZArVfdVokB7cie5YWF9y02lTltYU2IS6MDWujXtTz0wzQwSZj6F7sjI1qGEhtDULz2yvqW
tzCuFpbHy1FX6bDxlc5u3bCtNrWSxRbUNVWGzqR+WM5Y7DgeDA+56Xu70SXBJdOw2Ls0a2ydDmP2
avG5RpnsDzpyWn4L0d2M6FXWLl+iFQxpV7Dousy4wHkBMBFTYg0+0XTL13bSwz7laPUBadPCqca+
m9feaxaW37tCqAvHYLk3cYxvW4//lZD43cyMoY+YHcwLE+z2dhSgFWi6sS7J1ObvUR56vDsz49Bz
RNu4Kinv8h4fCIVJAoNk3kL4TMFftWV0dFyp9sHEzsvQ0jsUdjaeRSUhWJQTqH5IosbWxD8HTUOO
OydQ9XvvabxiwMXwfoCpmjP/qEcH+px3tbj4K2q3wjPSRPZeWt57azZ3w8C8rSZrzpF2OfCKZqLt
GM+WYDSaZRxxsHHPG780/V1hymtkzbvAhA+m2tW8PWzMqtDUDdf3odEXJ5j06b7uGth1ERZOX9Q4
57LshEM03SdueeVUhnEfqUkfSn8gFTjnFBQ41Z1R1LcA/bN9X0Fvw8BfM5OY7/BAWdtCkKFQPRCd
fmnqrYvdA+vRYB3q0QGyYwTODWYhmAwR/M6eMfMR3gRlIp71vU18Y+fNOUlFuhY21GB5LGQFCCCY
0Xd4CqN3LLb0BBjcfkCUjv401nc+lmQWY8AVozdYMeSn4WKquuiY16lBNnkJT1U/35XCe+Xo/vh5
QPhfOPNfwJkt59Pr8Q/bxL+cpY7QIIT42VTy+z/5/SRleS6uEnQuZpV/xy///STlm3+zXd+F/4xw
zH/CQef3k5RtA222YCV7ZuC6FPeRCfr9NGURGsZRAkzZWXcRoD3/G1OJ9wcnRBSiMLoYVBCzcAe4
4ap4/iRcmz71P2CR7Qfg8MDSmqViI8eOWWKwLKH5N27KfkuU3XsTFPaXLCuMe0yr86F2mW7HpeDV
wRaVcmozKfXWgKnVQ37ElDo2L8o0+TnYnKiXNtjMgueZmmKlEDkXkm3VfkDwpQuJoIZtmGuHA9MZ
kRfzQUJauF9yZzkyb+AMYxnDdwrMOGNkrnbZ5orsZqpLUWKj7fUbbyc29k42C7y6fG1xlo6oEF3R
gXQtzfYEn6j5NthZ/gbvd741CpRiG2PxCywogonUvQWELZb++9ilsFQbCgxT21wBqP4dznYhNjgp
7Mc1TVRsfzp73/4mH/5ss/msLP2nquiulwD3UsBVNan6RAL79RJUCx04LOr+w9I50YXnDN6usSc2
E5GcYKo5gCTIGttVdCuDxr6s9dq7B5ZOUipbmKQSsnzeBYEnL6JlGK+WxMuu7cGVH2QPDZqLPHWf
zQReKMzJrwhqWNkmXBMiRDXCQ8riux+UI2/CsHvkpe8dvXXQnmr7i53ZB7qFPvLWb7/9+R8d/Vol
wR/tmsF6A+OCwX7jEUj95b5rkMDSxGzqB6jMyYu1Xv1USuvZshl1MxLsLobc6S6qXNPLnNXwmiqj
X/YKlyJ99JP5rSksvobI09PNCkk4ael4D8nM/2op3PxuN9I6U76nb7LBp7+aoqBbL0yekNrsQySI
4BQ1PckUoJlHQQT+QDWbwfTP8bdr4waRzYp72unN8WwuzkftD5e6s61jPyTecQ5RCxEfnK2Y5mI3
eTRus35le09QdhnlJ1ic+p0jHJXEvaPfORetki2j+65H200yjM7NOOx7QaEHD2VxHYwGD5MqxLFw
mBWKvNus+0lUGprtzyFWz1jgZh+2Qqh2I6mnOpgLVem2QHcL6hqqa81VQmsT+RXsxvZyDkv76wzd
5XtYYk8FnUoGBNgE5JdVh9rXmVJHegDFuex784odLX1ptTVeeThge6IgA5p1my35EVtQHsWLm9r3
huinG9VbfKH2GqYCq3TU3vpsGsVCp7tWX91MQWykiQKGXBfFJgmsv/KJ/frO8vAP2ZHPHIqoNYiE
z2HXz+8sG5tJwtTXuM96k0l0NNQHw1KksyYNYi0YGIRH673TyeVdw+WLVa+aOXb1nH1QcTT9D3tn
1ts4dnbrX8QGN2cCH74LapYsWbJdHuqGcLmqOA97c+avPw99OifdlZxu5D5AkFSny4Mkkvsd1nrW
pXaM8ChbXb640gIaGef6TkJYGf0l/rxzCviFfJesV+SGpT3gk5zP/q6i7g904v02jR2NJItXxsOo
ozsPXJa/qwno0hmybLLicTVtewslNQ/UKsP7Qc+xsVuYqQlOTb7n2I8XEtfn2+dlW6ckmCeJM52V
JPVb1EBAqtzTXz2taF58qJ8vZEhIEu8TWDdFHRMZgYI/+Vbq2U5WiglLN0I3Dcyuc3ZkbgBPybzY
u/d0dhZ/I0wxFpXDP59Xy9sPn8hzFxWXsThcl1v7D0fGIIm3jmYVPhiqhvnTClcEk5LaI7Urr0Ck
Bu4N2WhP6ZT0dLOQoGsWIsTP7TzS87B8cA9iNoJ6dYS8Vb9nvaOmwEdqC+FEqPANOxQvZvESHmTS
adu/fvb8uxdgLccrWirOZYOA3T+9gBL5lBIx7lUm+u1mTMV4kcwetpJhCc1YyXMmXCKFbGPJFyxj
W9uwRa7f9VC3TzRh4U/uPeCLtBLvTC7EHW0pWddGzdJA5l74lLuSXikmO9b7G1XW53n8y5tvuZCl
2MEwBLV+/d1xJiaKotl+qDrbBjLHwvEnVzMxXapR+bNg53ROx2a8z92+3LXFsow3ytI5eHXSH2ky
iVbF63bI7QVADQ3pqXUKf+cPFrAaJbvyfvaa5A5Z+3gdCh/6WUtj9xNMD14d0tG+NeHQHUiC9Ngo
wzm8dtaQlTuXaRNx4sQZjIuRru268MWIRbrXPM07Avw2NiForG3ekPxUs7R4U04579TQh2i6yfJl
AgN+uzWM8YeA6aMCAyI0VLbaEJvZrAmmqrJvAl8maZulDExWUofcwklVutzq1ATj9fPWC30t+q5C
Le43iMb49fBlHedRGQ/I8rFgFilsXexIbGTqZt6mehy+ceX1P6y8WJ4gy1tDWgIjiHI+WyBHiNhE
6oE/SxFkZhTZk14b4CMt6SSvbpF+mFVRHcjwGw/ZYDTgCjGcAV817uIRm4yN0e8Cb4uz5K8vYorE
X29DWGHUDMLjmb2Ug7+UDTyri67JevmA24Mgw0nnBgs+n835MGK1CWW8+j27do4RG+hV/e4YLQxW
wTNpExWkGWiM4OI8zY8yYZyLGkVPslWvpUkRRFG5bSWOqIA7Sf82DXr+hcd/+41hRv+jS2BarlE/
FMzwyBBki0U5du5JetwULv0fxFYEZMCp8jDf5iIEM+vPBfR5FPnraa7dw2hBkx0qpDNu3Ez5SkOJ
A+xJu+GwmYZ10+nddxI3eURmZbxWlaz2o5ibnbXs4dw8WUrO5XOth6R9Idh1D6sLs+6IBmzjm9OL
qGnLzMozA36fuAiwspQ7OGBcrKlBUgNqWffDdK1irfo+O1Yi1fezn8PgxFJDH4kdqToz6bf8Vd1l
8TPnQPLcAJjN0S4NJlSppEhfGqyruGcz6UR7kkX0cVWwR8uCJq7j7xr63wetH5YCR43VUfcYWWpN
AWkdw0EUmHHXbvD1FjovN+ORl1cNb1QzKP4ctuQLBlPMPH6R/FnWOp9F+RRFbXMIdYtTZxap+S02
w2RaRcKps5PW0u1K0yc9sCVoaDPj8flWIKiKCPYtvPXioiadsIQzFtlDdpy4ELCVDkjlgD7HuNjA
97wSpZQgBtbZ8qYlRKBAEIzyoKgt9y2jSqRjQLJ/Gk7mHbxu1hilESOHEDUUhC+redhYfe+vvMZJ
gK8rHBPAsbiNEkmVCVBRrVsfkUBg16FOAN6c/3RdwporiS6OXSKc5iFzSyxpWXFx3SK+GoU7IJzK
ccc0/jTfPm+k/3a2f9PZ0o46rO7+/50taSdRUv4ZlPH7F/3e27r20r/yfQzqd490eeP/bQk9dn4u
5xSuXEoEAoSo4X7vbWEdIp61BOpYxJ/YFv7Z25rOb3w3k34ZUY/xn1KvXLEc5H84LNFjIxHCkuEw
wF7qFl7vHyuVBdJWoT8Rew8tHCmvaOJWakl+nctJ3iWDiW03/DphL2ZmuyTF6h23irWkx5IU1l3M
Cra9r8iWtd1QhBvl2t41nqKaJARSaKsSz1WALPwgwxaQXkhY7dTJdx1inGLTzhv8hVVM+WxgX7rW
xQIU6A1NfbdBmJ+qOPLvrGm030uddd0KSZ79btbUIAGBYkg2nUrDdoQgIOOMGX8AlPDd9Jg01nBh
8b5RBHp40Zie9DSrvZ3Th+XTYFpRmwaRBk67aw1BkxtX2pNmUYAGWJ57YAKI/l0J2boBWGGtXfRJ
F6HGfK2y2PuaZ7lnoOPsPd6WyjD2WO0jFpyiQ97mwMpiLFFxlA9s04TU4WA02TermMtTNCDOtL3Z
YjFgZa8qbXCmitBaa6yLCWA3h2fDSKcH4utFdLAa4r2ruqivrA10dzeGMCz0sdfe2ibHagmF90us
o+PKEgaW4Od76T4j6u7blYtHFtGlmlk+obsjPTL8FEe7s9Ua99C0CZzTsEM8qQXb0NUW5i8nH+o3
K7K8OxBt4mkczOVdzgTvBQHf4snPbAaDkzEAwCUIlSRkoL+IHcH69IFaYs4bTiVUDTQS5C0gaCg2
nt0jusKJiaZLUxJQwKcUXCgMwOgQUYWjd+JzhetPL09lxd/jHOJrbHPKyJpd4q0NDsViZbcFIAv6
wOUJ6Hh3bW/xwMzjCCFzBOj+2asywi9LDHvPotPIaFVeD/rRV5Z4MoTNy4BZm+ygCXczbkXfPJhs
vN9rHJ0cmK2HGBHW/HzyS1ZwHPOiOmF0QV2bWjMv6HM1YUiw6kCWZ4K9NW/iFxjYn0QbN0p5Mhd9
WL+xWaOujUIAuMg1lZmuPZIbrbXnVo5xCfslTLxpQz06tHWPEjWq0vY7kaAsHNiXzSwVlm8bVzCe
dnmaootjpNqTD4MRmH+BCJxvj+yHP3tzi8wYJS7voBpG/p8Zhx8wZeLORySDCIgZvr45kG5Xllbz
IsLO0K8kDDh3nz+RgCEUqLBCUEjngmtT9gbvbzqQMz+oDFkrtgdkptZg9BSiSljvOqtn4owj4CGO
jgJeGoJQQAk1Yx/hkLRun2HsmSmRGJAlqJpN6HSE2Usj4ftHZs7LmgrADwQiOi8EIE3a8+dv6eVz
F+3RCgHgBNLHL2vXDleZRpdy8RVZMlQQDennjTPwOROKIOfHdiC3ZFvly0dq6Mv7w7xKby4tWku2
TXgAJkX00MWflhRQz49o7yELJ7us0rggPnXx+Hp5QpFco/ZWoYtpm8g6/znPNldk6mjLNSXgpwSR
rXnFDmrWgMBeEKG2iutsBAabtQPHtYHwaXaGB/3TDZBO9ZvJlWbi7e8EqVWMZwDZWeTRtF63qmob
6JxtaBJMgLE4YYoyMjEXNe6y8ghPqT/5z3yYztLEUiCl8AkooRZTSWt1TbilPhvZvPkm3BCv2II0
YFuDeZR447b5SDXmAqw8uC1yPx8fPYf21zUUF7ahBsWL4Q24w3Og8eqKjBnMDOykWbWDys217Zes
AHnL+nk/4rjbD5i0PiSyWHPD1NNbMN7D4h0HPn6IIixa9Nm8v9MYh0g1YeM4HdRVfmAx3A9Mf6l2
GG8ShW2SPQZfBN2esuqDOS5igtyLYzBjU3QrRV0+5H1F1dpneVohjI3JzapmF9Wdmn5YbmEeQ4Xl
NO098T233fnZi7rR3aLvIJwLtMAPk93PE23fdKiL8tNQgM0g0b6w0VPPsWE1a3AUi1Xf95Idm0ai
sEctvxNjiVfZH0vCIwro2ZE+/yBAneAsYGjNyUM4DxQpRd9Nzl5ovrGTbpC8hMjpseOR7jar7Ez6
mE1OycByCoWBAfwlnN07O5IX5ajiBz1KbG1mT/V5ME5yOhJe713yQXsQhWaMG53KEi2Z1zfiLidq
U95my4wPvc7ysnfG7QyUad3IrD4P0CaCTOvCa9krniYT0rdEq7sHUZav0I/YDbZ+M0e7HrvCXZ2V
uvElRO76TMqJeswH6xrbNEX4I6JgiBrxEKJzeiSHjOqaxZ53LzGB7xM3rzdEhOuvEZ3uyQq9pzky
nJcOzDoYWhscgT2UFSQVQTjYvodWvMnMYc8sg1lLbVxxBlQsJevYRosf63dDhVuanqvVbzgkqs1o
ECGHE0TQd6C4QX/ZEhueDzpY3jiMh69hPRb5CnGonW71ouuKPRqkvFtpwgIGgF9h5Y16+2SUmfeW
GL7OKDAhG6BLrS4odK0+9I7JVT2Y6deR4/2EoqW7tIb+dVCePNPbTm0ghrF2kP6E7V3jzOm6t3zj
cfI164RiXdwy4bQ/e1QRXyc8pfJ9bPW8vyXU7KSkKgIUIkDEK5gtr8Y0hzdkjeE6c+CcUAqOd31L
65Y3lDSuw8q+MbV7kDzOpjFMdOiTW/zI22G8kwt+IrQn40bEeP+GcSdcR0XsXP3at+/HDqk/8qEY
FIpOxM7F1cLsjKXAKNdxp2s3K6tAH8AQAO+UY762nPFYN0X5NelaC9Fk/SXsah3FvnpuORKhpHCd
Nqn+JozokA5pc6dNtvU6DJEJfyaD4S7CRmwYEMQnonqie9OrunPnqr3XDQTeuYjeY13AfXGrerTu
hri1eIWeWBkxlD/g/EbXcvhpF9SpBlvw+K4gU47ECPES4s8LotwpAmVU1qoc2mztjHm+FnXPdWDU
IDZGQp8i0w/ndcQIISgdjvDtghMfA8OozRseHufq+ap9rBSS9kCBxeH1xOjh55FQ9ZatuMqAqHXR
F0eX4lQiW0JGMJJFXpLm47dF8ZiQzIRfgfJja6AIpicm6m9T66MWdK1jy2Bq4vhKTpy5xTcyPelK
9aepMfUXwqV4QCFhOvME6vfJiAxh3Rb+bZmE7+qywzjQGlZ9MouZyYNd5D3uiWbAOFEmwJvo54+d
lXY3ppn6WoXMndoliD6Lpi96k4dMoIvuOe7iV2IoQ1A7AhFXNPbRl772ZeA2I8RoGsWjUxfjftQj
NrV+7G2dDspK0Kp0cIKi0OEWeG7nqO2UxTZ3QtFmq3q0SRomWpvCK6ZLlUDidvWAJKD2eeE9SppH
iC4uaDwZphuOQ/AfaUM8Rg5Q1gthe4xKEKrtQNchp91az1PUnAhVQ6Gkx1N3GpVF/CEjKpMxnz+e
3QIFBdMLu2dF0jk/YTwNG+hw9ryHz5GzMXPl3lc+IvmltAIYqZCSTTKYLVI6VnmROptEk/UGqEmC
nt/rzkNNTEI45Qg2ermkELpkIaRFf5kbrza/cL5l5xYSGwuEwh/Ju2gTmDeZXT10xRg5Dzl6uJnc
Ol8FfZtSFpSD9S0Thh5tfRQO3EA6tSA0o+w+4pCN+ny8K7Om2UxdRtBnCgz71lAGnI28JhevRErO
lKtH8DabKTWW5b9Fnage5nBAuFRE8VZm3XRnN7Z9kWVMRJsvpQan3e6OwKja0yjYFXplMl6F3TZP
8VAcSYc41d48riVzuPsCjeKHw9Ny17dSHUVvhzsVec8UasPWbdSayaJ1S/uJuYvdZ1m2JV4hyo+I
O0EdJj7sowDEYJ0CcS7hTRQG0aCdSVDamBU5gzrfIN+tLosFi9vxhpjhfJd1zMw/pn5srhojhXuS
MFSyiWpU8d+8tn4iiqXM3EAlnRUau0Lj4XYIRyw4sek+VCJ/qc18jE9I0d3wziz193ZYZtw2hVxC
mF/HLDAJ+ZxTtkNelsbuwzLLBRFa8Cc1sJgswyteFcnGiOR30tBZur3MMSAhy1Re5F4jo5ZXTr9D
W3CCDvs/dPL/Zue4NL5/bIzxesIkoGln+avTp/+yfSOOyUASp1d7e1p8pWwGKRM7kVO5//UP+mVV
w4CSH+Q7+Lxpg03D+eUHeYpiXub8IHYs9jt9KuaotpTUanwM1nuTeLRZEdx3h/Q/jH//6U/38FBh
l2bb6Jtsuf/c/9faxOhyQkCo0tp4cgbWQwkJ9pQSrOJYrvJTndalHtSGggr+r3+4+GVAy2uHs7Vw
H/DUmv6/vHaSfrWwChVq0E/jIpF/nXV2M2k8YWqgg7KEw4vvrYno3GgJvdcJJ6IHKCMXkpc1iqe/
/oV+da9iWrU900cyvWgO0AH/+d2I/KGbjIhmxsWcchhMxg92EhtP8+SCgVTi7yAL9qId+PNVhojc
w6eOz5dl168WZoh3k2PrTbUvkanctUBS3ggx4TKAKLgA+DtYOSyHL1HvdYTUKBBCE441LS7OqQ0g
dKvxNN84srTUfaF6cSmwAdVHVnH+cx/jvISqz5VkzWVIrV44zXc90k2fKQ6I3keWN6HayDFT+6Tr
6C1YT7xXdj+0j43w7WY7s8ckJLPEhW19hQiMvIsVK116FKJPSExgaoQc6eIJx0z9BiGp+b4k5vz0
5r58NJEcoDUEFlSsWDPVbzoJueNdREPMSqygXgtcoYW3WWu6ZuundIs7fGxqP/EX1b1V1cLZqVjg
5WyEV719DkAKR/4O1fjvePNvxps8buDu/sV481B+T97L9z8pd/7v1/wDB2P95rJYYQPATItLmKv7
d+GO54F8AVLi0J4umBiDf/X7cNMSv7lguUlEcW2BtmcZOf7DBuH+5vIvli+D+P+Ztv6///MnDkLz
yz//UTViWX9WUDBxXbwPfDffXp6r/wJG6IwmTuZ45GAyOUtNmod3O2UxjlBVN+ogBurXU+hNrL87
dhDoWVlhO7EqzjMSyXElCAXYhHrSf3c7UdzPUC+JC0uJuIh8rNkBX1Wsxyps4XjN5dfCRsOgAxG5
Vwk2I9biyjzPAjLbigIFFBVJIQ4sUu8RnXn+oEYU3Hr/XlQKzU4TZ5TnunqrsqQnWrzPWf5lej2+
E8FRjOSfaayMNDNC1j76pTmivHAjQtAdmX0jABArlKmKpQ03VAj0akqAMKL8xKbgd+cFF2xuO3CD
y/AR8sAmJ1rUXCGngbCfeqm5kxhZyfql87ozQdZ6G3NyE6i4ZQ5/PyMT8qNG//RWISi40AMS7W7S
GhNWM3x4lD9vbEcxU5EIM52SIZO3qU6jd/QxOEixbWDV6+CoFvXKYQgFTwozG8r36sqkrwID7JFR
w9RtcHf5mGQXzyzGm5UTN11PLeLP6sAGhFqfUgqfaof0w5p2g5G4VyEb/NGpWXyM2LkCcyy8q2OL
+hAS3PNoTmwYk4bqDWmDuQ9nRLDEhWfl0W6ZbKUAMU4EgRGCMzfYZXome+gsI9wxQWJL987TC6Nc
KW3Kn82i7h47K8NH0Qk8kR0+uNfEzcLXFgn6oR5s0q6QMt4NMyw4VCZOUAGHXA0j1dQcie4lz6Za
rmy/UHdDqOQp9rz+J8XvzDh6arVs3eRWfN9bZb6ppV+m63LwyUujOe/PuUblTRRCl73LT1gaJbq9
i5CVoo5Mh+ZrytYtR+guJcpuaUbX0vNLsecwSh6YVJkvRlQkN3+RzweojtSjAFm37WRsnYSR9jrA
4SreEzMK4WyCImi0vdwPk+gfopgu3CnS8U0rI3U09cL/AbveVVtHLyIrEObgJZtBSv9hARQNaEmi
SntNI9O5kgxNwdd70LADRhLZh4Utwg+6GCwmQ5Zi7SO2WsmCrR2fYwbvsomv7pg250ZM8dFlVexv
RDVIBoYlg3Jnioo1l2v15JmSGEDFJHqtUS7fiSqyzrK3umqDsau+pCWOoQY5PXf561iK1CI0KIJe
xdszGp4OzZQcSf6nKkXUtsHo91PqPDQVPtb8rtT1EZO2ATJ6hti3uH36GYs3DlNzOsZ2nO7l4FyF
l2br2nLnFfmzEREayn8cWY73m2bs8rcw9CdCaZj6rt3O8huSpo2KiVtjP3adDZVuSkS7WsKAwGCS
S0de+Yh1CSqsJVM7oOyH50qSEaEj6KU9Ex+94n55CJsRnHECJvbLGA5mwcCt1dOrmyDX9ddWPXf6
ozU3KCFy4tNKmxgeqe2HTj1b9F9odj0fNbYyh4Op+iMeI+dc1bXa0SMCFhzzeVd3xXSTlWegMctl
UHl2dPCmJr8NylQPWB3HlZWhfA5NP9+4SCJx+zDWC7GzCxlfCuqCrmCepLfJXZ8eWUDznUxNYskM
5cZPjDcnjAn2SbVjmhoB80I9QPbX8G2WpAGAwM/MEqxD2KhqJXhbtmQ6NPeJbr0BA4jWAM/9TTX0
2pnA5XAPLWlkr6S/lAIrURjhKshIT2hwD8+8h2Grn9LEaKeV8DN9y9Lky2hCt2XI+Oy5k3sovPoD
Rmi+wQn7oKNUgk6YP0emuneGFMObLF8BTDJ/mE4ufOttoVePfcK4pBjddjXoUxHoA9mihEH3GYmi
tbd3Y2CHEzuwoOsbCes7ds4yEc1RmYwO05AEbd8judTsrbVopozcJjq8tUt01hGxvZXw8ur5DWta
c/ZBFmydAdUll9HJ4dO+0yOFOUXrygd9lNVuMQ4vqiaupqmaLxMuo5DrByWdl9j1TU6T/2AypIzX
LG/yW6aNw73jq+9wxJgMJZE4zYUvN1rDNBlrzMgyi2QHrQg8Lr8nFxTDGigcjIHRNjZYYQuiUqLp
ko+wD6ZeqC9zRs6KZlsNvNbkZisNdoaZMdnt++ZSKOIrVZEXj30ehjfbwMhqdei07EonoJyPyQ8x
z2WGGb/nY/geN7q8GbU7XI3RH08UhhjKE7987IaqWLWmc2yI24S8yKVDKM6L3RCramv8V5yO4QrN
BWTfzP0Yxr558JAYrGZA91vUq/62G9z8p9OE5YU1fNPNiBZhL9Bhdo114RmD/7pNXCOQzNseALZD
1HDL7MQ0n7D70MCoPTbxh5WzyUB92jQrN+seuAjzi08U6DW1QxujhONuCI4nAlLoV9dqLCZCKXK7
2TSvOQ3IWusmEkEH8dXulbORQsseC+I4A7t1jZe2suS2GVi+cWXEGbzqXneYg7rldkoM0oTZEO8E
+IyT1jv+ESPTBP85GQ9OyxGJFcs5gP9wxPqz+Ptvnfw3dTLbQf0v6+QzBcTyn7pO/lgr//51/6iV
vd+EvgjZDRQC3CvOP5UAvviNSQMAsT9UySYF8z+qYv03IE9wOxiA0COzQP9P5Oz/Mm6wXeSgFvE3
ApoLw7E/t7id3qJs7uPoQK7ffNYLBWE3JVx9QYSg+Gbgrz4oTOXHIjM8/qF9+DczFcf7lwabLQfr
YzJfTBBh+q/9bgI9GDtWk6FahkNM/TpvNaNhbTwXuNNskAn7Fn0naVCipZYVckLE01cLe9uqpi/4
bklFqKIGtTwRtsstKNAir7LQGHFNIk11UbG/AU5SMCOw5nTzKUzcqSOHtIZPAAf17LskbPFbYseZ
YmvMLj1L/x9uyvG6kgmphCo2/SZILdN5kBq5sQpyzY51/nidXX5fEgMnxHxWeKzsZenqIOuCX24h
NQwHJJCmX85bIkyydYlx+jB1ExW2E1tAudhv1lFH6RXOnXb0SLRGFqrxKX3vIzNytoPvkiSu92GU
bIqOOQSxvrFmv8W6PwHMhlLRxqeqNeFOLj7BerhKToQ4cCNviC4YfRkDV+j2o4ch0p2tnmeFtIIk
KnRvazSE+6y1mAnIQVjL34xE7Luvo8rqcudIHbgvkEEeXmgNafNF40ZrMXiz6a0E01BIWUHhhOhS
MPxG3womv/e9O1WbSp9zWiF3ovAUkfReeda2Ggm0w7gB/u7uOmdGATuMsJN69YGFtr+4RHRTDemR
uae7EGSeG9V6CMP+VeU3WsN8V6hCP4vGy3eev61V76WrPnfI9iWBWVqyvsqYWsVua+gJbZdUK23C
T9w7E1qQ2s5emUbDNMrLGIRTh0EwyewfJLKkD14Dn1j6o1xTq/vbmOH/oSV+7i21G/hacQwh2FXl
geMGeHyY75GI5AgI0+wGmhxCuKtFLosLiaB64CCqysPoT08ELfUq0Hy/+YY5L3wostgFOG/ShUVO
sdEHsl9cPSf2rLaKVTwnOenjbDqlJuId63T/w4kyZM/EH6ZXVvLyPeqFLbCIEQXnTx6tWZsKDUiu
w1ehZNRvbIPpgaScn00jf0q1mqIK1ku0MqzsI4Ec9+xgdWR7b1pb4pOZ/7A1Dxw5FgdKvx9h2Hjv
M97mjV9zDMN4idp3NTf46xK1F/FgBVk9nHortu9ZveckJWD4CpwoZFgYWdkBVYhzDitXvKFV9i7C
LQf2XkN78NMsP5TW5K/QqjVPTVexQxrsCuF+YZ4GZPQX3LHU1VFt3+o6BjzZ1+krw/H0jU8UmPTY
mSe87vkeSUh9gYPHpoBklnABvbvHRJnzVdptT4i8hAoKcw3HQO25JDi3DLE1BvxbQFvJGeKYSc+D
HzlgvaXv8xHda7Dk8xxLJzLv2Sc0d3TpycuI1bEPaBf1M17z5NzGmXxCcDg8sqapgSoSpoKlxn9j
2ZE+q95pT61d+dpm7FAc6bM7G1tRxMXV1v3wUM8Y5dpZj9Y6aOOtkr39k5Ne7gBDTC9jamQY2RdW
VF0cWjs8M/4t12EX6wuRbWTLHh0Mvz5Ntj6tQp/U1czqvsOZZiaclfl+cQwEpY2xTgiiQwg8cbdG
jFdzHrGhEF3RnXQ5JNscwg3IaGu4pZUtL2DIJygJnXkLp2F67eBDf9ih6G+8IeH9WNXdy+xOYoUd
s1hzn7RrRFXpfsitdFdbKd6JoquyL+h88x0fO3eLNsgtoRD1d1PDezp7BfOGMdQRjTkjkqRCtVdX
9KVBUOhEEI6B1t1rbOPnbJCBFgBL6biUCY5nPvxUj1l/jsPiWqNruBiVEb0aHvf/jB9jO5oTQDwA
PPoZrrp+9tvMv2hVYdymse84KJrJv8Mck+/QO9znsquhMXGjHjsya9azBQJzFQ4tIeGZiI51RYR7
5DnIuTuzPHdADFDJ8agp8/KkOXZ6NKQlHp2Jlf5Kb7Vw1YC8/4jTYVS86EUr1DVpum8mjBwZtd6I
wOzIWYLvWVbG1xSl0SFv7HwnrSR5Eii9HiK3dS+0IITzdnKmK6Dk/9KUnX8ZETKc+6bW3uuqQwPM
yPUhT4BLBdw9LmamYfo+aVUKaSmS9r4s7eGoRUW/Y0vbX/pW4ULNjXLrJVI+D7bdwG8ib32yEO2Y
yRjfONmQAfldxeKmdH9OSQZKz2kbFDB+9H0AWr+xsCojp623Q+V1rL4bNsqCyACtWkj3PhzRgyey
FFhck/fvdeEJRj3GYDIYmLX0CFNDPocAEDb4r6qDZxcJm0snzX6WlqCW9Xv54tFmOhuriopvZhR5
uxKezbkToXfqIVtijZ3VIYZd5neZAenP4HwLcqvNLy2bi/vUK5pzBtpt03lNdZSV1p7DFsBfamX2
ZUDKj32u7F6wEUKJrP0euo+lEWzbmEN3q6PGu5vZY/3QMe10AOUSjmuf9/iUD62GZ8923mRS8ejJ
tMpaHKVpuTy0a5YucwgOHW/8vZuV5iXRw5LHEjLqDLQRs7PQ9nZuW31eEwOrRgMo0mqBvK/GyvXe
M52wEz0x39HtVGctKu1HL2LGIvTRpPXwAfzA6b9Oi4k8Csvz8gEeZW4KMrJowqYyWfupNM4dW2IM
d2h1VFxW1yoyzC+u1/Ybpun5VkqMxppD5N4Sl7nxnKWRx+q81iqzJhJBb24u2UAfZELDGKJJntfd
0PuPCONInJaNsdVjJZ7skKXuqtBq65qFEiuP0Y/+LY9KdzfEHLKDbt55oRqWeZCln6Uuzu0iN/Bb
w9sIFrU/4o4+O9Cmwd+HrXT3rpbWcJYaqHLh1FzrOa+vyxhsnzIZ3I+mXa5mG47yMMz+vAuFcl+o
BYynkcEk0WS26f70Cq17KxhBbMOsfrVl7m60lHW7oRpCTSudjp86pdkbPPKgY7RpDGpTaQenNJpk
5VqINTi05fyR1AoNRZOEw9HoxjXKiOE0ZV7EpWkRH59m9jWkNgWbyGHd4Y1It4On3JTJ8Uz9MfIQ
vhDIKFHhqOdSV8V9P/RWvQpn3cLsOZUYmrpsnQM1ZC8j3D1MOO/eFS4+GdIL3yjQnGalpR4FyBTu
uzoNV1GcMb50hRLZwc7xfnNl59ehqnt6Z2tkCuQiIdsgAZw2DGGHBwfXfcD4Yzg4+lTetxmeIDwE
juLi8N3vFL7xxrIyg9kxjxUPPhAtIZUqsB9DHx57PY++6FmVfwFX6m2tqJnRiDA1vK+z1geb7FCt
RHZ40F1mQEGkQ4gOsooTLPAWI0rXq3k9RmZ6TFsfOQI2fbB1SeRX+0IaUfPDLFKXSV6QtXAa6sCU
3l3Y24ybkFge6aclLu3GPON8my6+VGLtM35YtZgPj3EJLiei8H+dHe+UWs5T5CQwdQzyqRJb8Cqt
Y5G54ivOCmMhl+UrfOJEg7uF84oOkZQdbQlVGGITi5qGnMOc35GWfUtc7eYB1IHVSIIfHoE4aGSi
r6q2HHa6Cd4yY3Q90iKcklwUiJKiL3wsDMwnz1r5jf8Z7BcGWp4wnk3Mc2Nbb2IJrRp7AhGiLMvX
WeZh7yly3pgCMl1eTJCnTbPGiUjoFvE45rbsvG2MBOWIBPM+nizjmZztPEPFxFRDB6q0xe9MmK82
IonNyOOA0NgGlVXsXGbUEMhSlGdIxXYQYGrEDf+HvTPbbhvJtu2vnB9ADgSAQPNKghQ7UaIky5Zf
MJSWjb5vA19/JmjnLduZ6Tx1n3PUqKzGlkiCQMSOvdeaywXGKJ27yY6QdthFeltw+71qrbMxHBk8
5ZCMdhWEvoM0Wv2WLm7sD+FI7pHbsM0xG9nHleNuVduRWQiVca0QEa2qsgvPoIbZ2SHk3kmdD5e4
2SaeIcjCiWy6tV1hOP710fDPx1JmRKbJNMh0sJX8jO6PAktlGDXjfYIEZMmpx2DUzC6rNKkq9qOl
F5xIqaXogPak3P/6xf80hb2auw2sbi6tE3ENZv7OrjfHRWNjuIn3YiqbT3PSFKcqzqI7N/XSh1+/
FMOtHwe+kvOMy7+X0y+pqz/N25mtJzZuFl6qMmpy6oSrGEiosPz869dZjAV/eiELcwENB0DyuKd/
POfDwKUbnTrhvq8CtY1c5tl2PxmbrIi7e8TtqXcavEiP+dLz1wp0J1rAOYzutCBaDtdBxLu7vqV/
+0f/0D8SWLmZTP69jWRfjj8NWa8/8K1x5NH+AaTOtPaHCatn0zTiEIfuB/mt8UPehvnbkoRKng/K
jmXA+p8Jq6X/ZtrLzFbnIbtS6P6bXhJY9x/vMiQjpqQRwvTX0w3HNH/yiaq864bCid2DXufTUUva
yh9TI31gY4e+UgzznmgdC7ZaJiFXpSpIz6aZNy9JYrc06p1WuxehQzROVKnh3jK74DmdaQ8f63ia
PkVdnIT7sjZrTn4F84N1PcEpoWik0J4y51nJbrz0TWUiR1N5FhwiVqq3YVDyNNS9+xxNJTbxOWvc
nIgpYShYSiSHI0Sm1LTi/SCHbJPgBYdVU3gSJ2tu2m88Ttln8oYRd2bzOfGm4X2HEeQhDbSeummo
gi8deKy7UBtu06xnkECVlrwgDK5fLWzX76ewztcGCsIvGjsAZXYoaVs1k3Nf2cSG+pMyWzrF4QTt
uRHjYlJQXxwIK5eySAhLcoY8PA+aEextq6LhQvUKtHQsTesEnyElZ5mGswfWqY9e5yosaKIE7YbQ
vOhFIEeb1qabuzctsQ8OInc7e1Qiiu6YOO0l/ORwF49ZeENQmcvOYA03ejlVbDZ5bj/mGCpI9ywi
hKQKYx1NG2H08yoiVCD0C6v03hSVa7XG3+/o6ygb+iNzhG5tBGl96IM02SStsOeVUZZkktWTd1x8
fAx6GIWsALK4Z8Q8HoOjwekfBidfYlIiOgOa3jLFDtxu7cXY8dbWbFePNcX5QTiuBs8TKmZ5BWRq
CytTXLGZ7kLQxBMOTDNEi/kh6+lj2Ehb3CP1N+BNQJ6clIOFx0mKOGjOEITVJlt4nUXUN+t4ioF4
mjZUHgvWU7nCfN0duivw017YnyjdviCjAweqX9Gg2kIJHUMwSitSdfFLxdbcfSoaxlY7HMYZh6Ap
2WOHrzc4vRNzXxU25yWYzPf22Ax+uSBKESBCK00WcKkoPQb3UyzGu5kDWfJc66R3DmhiXE4jG0Go
cHfDETp+GJWDHtWgR5u98e0a7OMRTmeuLTZSkrNPGK5pEp51e0EUhm3t+XhYDLxXSIpHOSIzVcJ4
F7q8RtDWPr6bR6vFvDIW+C3WneCcvgvQcpPMGABs4gldD4jbD4rkgG2bpzmPNwL1pd0KC2RcOYVo
kA5a5abVYQHXYL22SQQmGAUuJn7M9qsGRTHHEHE0Ok/clrogg7W0HsjO2iHzlqCVrAAXZaNzgC4U
DJ8a0Go/TVW+aL4Cv3Ab7kCrqPWzJoG6+22LpcJsAm8bJ3N3gFKbb+KEAZ45eeMJZl3sj3WO4V/2
PZUTAlwQ/XV/MJI+f1CisIpVXNryhoNS96B57WWOeDDTMvlCStc7CCrYoMBGkSth+YltRxhYk/ZJ
640Mof7krNsCf1c8SfGIgYtVy82Z73mt5dHLYCQagHoiDDN0ORtbHYzw9N60imfPajI4lzzYnMZ2
SRc+0MOLIEyKZB0QOrhOYh0YP/oFd9fMNizI1F6udjk+QXgg7mBQ3t4prXljZPZw4xqJ8WBXfeuz
PKUbtnm5d6SVb2xc0LAErba/lcw5EXYl04kexvzezCwLkapM/Aj04GqqQDs5fec8odHpj9VoLzS6
sGVNYczFWhnLQPukz7SEePLD+U5PeXoJmkzu54G1MQW9uStny9r1mkdSm9C8aRO24bQNjLlfd4We
r0cAEOswTuvz1XflNDkE3MZ4BafDuS4kam0K8nlFc6fb5O0C2TO5KJcRAcYmmM2CI2aYcbUNM+FB
ZYgH8QlLBtfcHGLOHVM3rSNkBadYRu0dqtzxbdDBEAxFCl2Us85Gd3E3ozfvt03r5h+YZuNMREaI
FZiv/wNEr60he+0s06m4E3glfJWF+pOBGvZLq6zuxRGh9egwJ7nUdRRSq9X6Nqus/naYO3ef6BYN
44xD2YZ884xFN4r7x9gyywPsOfPVbLmlTbMeTxOV3q0rqpaYNCnu2gXeCfG856ka1WMoctsF3SLi
czd4THYZ9p/oHQU7PZJ0vRFC+qXlsmRm4R0hD8kuJqsZPk/vuAQ2ug5Z4Gbok8uK1CboovmgZ1W0
zZEcnWMjC95FxQz9MK9k+5Hx4YJQhK58Moa03RGzWZOfJ6bf864H3WZW85M5mMa6ChKYyFkWY6Rz
6vZdHY7GaY6C8TSPJQGJma0n3G919CDtXjzCGzFI704qssxrxuzkQ0bvq7pqyUfF1xm1JaIrFqZ6
x44+vdJbzZ6I5OYUAXmGMcFopmvdgHiacFceyA+4dD3Biug7GNl0H/TaXoajihF4qn9QBK8Xu3Jy
mvg9msolULgr7Z6dKNXd5G4uowGmmNmD5BQ25DhzmEiI1qf5jXaJvQlSQh9Iq2QJjpiTYV5s6FuH
qNdvRj1/GifIAHE6hhtu0mDPV5n5dKGzi7kokWRBSzHUKr+2m3j9b31cdHGn/qE+pnzUOZ38fX38
/nPb/c9feq2//uQfXmvUg9BWbc8ErrjoEfmlf8gRjd9saUBU4nAnrB/liPpvtqkL3QEvha/aXgai
fwxend/YmAnjckizsQDqeP9NsWz/DCZB3W0zdIVjBpsEvM7PuWahsvAaJmQwEDjWH0u3kPDYjao9
mioHXWB1+B059osHBL5o4cKMcmSK/WyxYQC9h8kfBL2zbTqveYSSpa08M/OeY7fLbmino/+7Ojuw
ZtVbAD34PabF+tHiQmu2fdIHi+vBwh3iYeaWK/qmtj94KvXlYiSpYUIWbtrzPCgyF8PcDd+JArb+
ihCBRVORfPDG8RmIEA4VK2gZxnYD2TOIfrcIFnW/WzwtgBLEobsaXabF89IFGvaXWQvQUqg6xrY7
i8pvdAenTKld4qBKWlDqybhr8HPdzqMq2Adx2cyL34bek3oKKmVusUZCOfBaZhDevHxyDKGkgxKy
SowRHh6m5kOBt0blj2EkWdgXt08CX8F3dBxAnojfldikViFLwK1rqa07YCDRar30QzxRABtiq3tM
8TjeB/A2LsHVblRerUel6vnEmavNvtcH3spl+LsxFr+SjR/N5z1fgzGtNdUxYjzNcfD/me/7NK12
AvOTs7igRB/dhciiO99QcB59Z4CFaUmGbEUWztYJ9OyAYqdANurac0cIUrfzxqJ7Z7WE1ayqeBYb
bTAaaI+KKVzTFpLvQ/YncJu7DjMXIkvJ2QR/Vxp0z0Gh9IM3Nu8AONPBYl74sRkTdRARlpVcuZFP
0MfSa5M+za7woQVFUuAjKbNbN8nrM4NTWqUemfbOqsrJhg/71r5PTS1ghOwML0ETMHqpy2QjQ5si
Y64+d1dTG6E8LLF1HN7POMsOk8dIM0FAai5+uGxxxqFMCVhREX4Ls/sQMkDF3O2k++hqqhuvBrvp
arZr6JN/1Me6/xIng7hgJZTHJKzNR5Ko6fzKosdVw2Rm3Q05l2ys8uYWcenHcaJRyziUdJNR/0yG
3kdnHAk2zmVR70mII2Zj8QmqzEFwhgCCdPkw6p8I2CjXyRBk6OkDbIawWLAc6lf7YWCXVCQZs5iP
nJBK3YddGlebVqvbaZUuHkYyaI2NdDoK0oJy5jIsbsd08T2i5URpOwnFfBpb5CjFy9x6L3pDgYwW
H2SCnlc7z44rqFwOBqEbmr345hazpcR1iZrtsw7cV62SxZLZLOZMmQ2DexdlqBkLrKzrJLKNXcia
88BvYMs22+hMi/Po2t64nwSSw1VpWxEJPCHCotv2ag91g6kJ1xyfX/KrfbRZnKSN3m6TxVs6LC7T
ZvGbqmFxni4e1B4zKl6vaJ9eDarGbLj5rg9EDswEncMRqxzk8LjliLaa9FLSKDWDjWOW0T7KA7Gp
q26kDoB/KqDzvbeaXMlVNx85bGu7EBr9DUMV7LO2oW1loLDv62rcFlYS44DL0g+EdSj4RPV4dGNn
axUdEbOBEniWWouWc5PIC+LPRRSdMukeo3ztDqm1Tuq8PiSpOfslNoebwWIuMJDgfTsOcuQKJPP8
hAVH7iVN6ls8pdrzGGKuzI70GkM/z1rGiTH40s2kmfk2qY7oDD4Y2J38smmNPSq4eSP5W8dM6uWt
yMw6XknGT82qLmuDPPtlkLEH545Nz2nqi+k15pMrXegvNiP6SDJuX6tqVjcBhhhn7WVp+jInHKGs
yRmPoEKSFQsE7AkXwvXQR9NKOl5D/WovORrDmcwo9aVH6sqfOs42YtaD9DOuerARJKoE1EE2nMJ0
FdmF8EtD7/dBDlGoxH1zirP+IxsL+pMuG3bFXFMPZUGpzauuGke43HncfSLn0kTqSc12snIOYEMo
HkNauSCmc/0YMy5YNwUh3pmDahCv2A6yOJpONtgNSlyUl4U27Iym0Pe6gj4ZoHPc26M1beCc6Ee7
A5GPgcDdtpVunHp6XseJxhIm4ewhsEkgdtqQIVTltS7o8/hLH6u+xELr4siusLmOApEtKLx6X3uC
c0WCmsJnxHbfCLQh5WSoteQRvY2qMGaGB4YkzYiFhAPn+dKIBcfcOtiOfX2c8rzecPZp37A4T+sw
r8YN2mqc+yZH9bm3on0ze7+7XpfvQwld2Qv7TZ+Ov+e5RcgLYWqbvme7AQi9d5s23PUjpvo8ILEH
XUjXMkM0EZWv3H6Ql9GK820D8DpUyUOvt9pljJL7iet6CJBa8jRm59DJ5+1ElgJbI2k2Ovlurb2V
M8Y/K/VCOuRD3y3DIvXOShVWv57r+lD3cWgf5qRT/a1q9bDcANLgxG7EE0OJTjeX0CFrLJW+sQt3
1jdR4FXzYx7rnvZhbI1JoYNx3NmPZbuwBdLCgViViiyzNg7dArWrRfiYpoAW/XmYKWVauiLnIYXu
sQZgYiJLhzKx0gXed1WKSa7AJdV3DPe0yK+ShlNp1U/v81KfDg7almNfF+1NrbSRZDYSWVE8qnQ4
6HY6svTjhthOOJp2ALjISc9ZMV0CDF4VYnCfei45YJTvTaAKTv7gzn18yPUcObEpN47jjVtluOFb
bfQaQOJR3rfKrRnu1WJrNl1SECbH8opsnguUKqAYkR6Gz7QgKt9J8m7VVGlL0ZGb1m5hyw2+Psue
hlxP847dbR6Z0lTmsWFkFm06oH8CornqPRfvw6BvZbvMIF1FTuO6dQhdmIn+O5DuUgBRdtsBWtxi
nuXoq+21uiYWAI5ejxGBtuudkGgrGFXNdbxNZY3s2fXmxo/M3vYRBOgvLYFTwp8SPbm4UVM/JB5+
AMbAaD9KXFw3DDynbUNHeMfgC5FLnU6DjpaicTBgNap7n2Hk8YPWE6ecMbtcZXz5H4idR3Pcyht6
sj3nbabRxBcURAjVKcP9tjQHkB/a0tSI23BjTlpOa88Gq0EFVGfrHGTv3oot/T1IyGQdVnoAeL83
gXxXyioAX6Sdvo4bjncs3vPG5CIdkRT9bsHl5sGWOppq6q2aIzYGRXqkabQZu56pcNMjy+g6jG5r
y47yO+bXmM+Jous3nYxuKzlWYOHz7jT2jtzbpHExfWb0c2mzpk8hUxbZjYWtfIMZwDwgAcJGnDG/
fZsCN/roUXO/M5TtHAOoqlAc1OCcWjLubD8ISZu8zXXJlF85H7rcbN/T0uZoG0prm2kE9xlklO0b
YADNGoWI/WJWFsYinMnNLgaAzF5ieLdZotRnQwsW5lgsXllP40M8aqDKa8v+AGqNcXnakG621eo4
cn0sN8Yq7HLM3EVnPuAuJhvMHiFfKyfdpFYMnXDK+w1E4eE4O8N4VkRyPbQky62SYsS0LDk+l2kV
vaoa8t3SnbUYc5cdMWgIiTe1ATUoL8lnMpnabzSy9LbGoDtvBnFEJ6BC89mt5+qxGgU5CKznyReI
P+2TV+jZh1AwU8bvn3gHSFLBAXCEftCroN463K8okUL7Ys7diHoAbYgxkxehzVJbCceqNqpwBLU/
lHIpA8goQChSlua82I42zO8k09DXYcZYVV42PpHiZm41vdl0VU3nN2QUnizW72QxgbNIDD4PIA+L
MxgULKx8JpSpNQy/apMuVnJ1dZWni8G8ZM5IxbCYzmNqFIJiaEUvlvTo6k4nJgKj+mJZH7pyfLOv
PvZqsbQPxuJuHxej+7/n///L+R8luoEx+O/P/8fXon1tv5dWf/uRPyZk1m+EhdOq1PFqI5EWTKm+
HfyFbvymSyzG+JvxVyOy/o8PEWjrHwd9+zcPKzKCaMO0me4AkvzJZ/gr3yEmxj9NxTwsVJACIb+5
tCR+CsEFdeZyqprsY25UCxaDtsDo22KkObbuW63qwDh8zRBKc7MMzlDSaME3UtdwnswdXanH7Gv8
UNvaoFF4XgArBDs3oKOF726QrNzX/KL0a5gR1t/cGs/d16AjZThMB6yWfSPcAgvL7dNg1e0n4jou
nRU7wVqwRq+JUXWQCHqe2rZ16MPsVI+aO0M+nLsortYUUmDXVvRDCRgwRNPqp2ISmeRcrWNCcBpE
8busdvv6Hjh3+tiQOf3SZrOJcoWmu6DJNiylctFEGBKV90EDt1fyEsqeNxwMgVlW2EFBSCtQPWYZ
u3dpXaDDwurna145fowHi44zp8MtMjRQ3k3ULK5Kg/ye0ow0lxhIrbpJ5zzbJ30WfWS7qj8YrYnd
UJSx96n03E/ZpM6uTlYiUKFc7flHcDv0tnkXy1jfwYsTmy4xvfWEr42/Y3r1pU8KynFQVzQ1xpDI
EYZwnOwZndESpZamxBKSQlmb8/te9C3ZbHmwNxo13swIKC9eaygyBUFKYfBicLUKaNjukBDHb9wP
8pKkw2BuULVrd1FeuDeTtCmXy0lgC+yKp2h2GMG5PSKvmdHpMIVoySy3M24tORjvNTDrFjJew7wr
rbD3vYpxWe44zp7MihlUtVSDD5Wh3wij6DdgXg00i5QA5ggrHi3nVC4UnvmjpvIK0WCm3ZCPO+8t
MJqfsDs6+6gV1eNMxM251+ryVGphn99Ys6Zg0cz2IASVmNVBt0T+8vU/8Y1ZQ3SrSaOq+nWs5+j8
V/XgWUVzSCr2ouKAN2zMSp88zDrxtrhYMOYIl6p/+BqTBWVW6J/+XVH/LyuqKd2Fhfv3K+r7V9Q9
RUgj7vtV9duPfVtVhWBVFKa0bRZXU8rFXf3Hqmpg/MbCsfAs0dL8Yez2yLYzWICxEHz1s/y/BdaS
v5GTJmCRC4O0Blww/80C+6NchwAGaBVf+7iCVi7CiB+lLXM5L+qu3oamnuXzGnJKf2kId7KZiNft
x+8uzF94VpZf9h9Cw/XFcKwsfnWP7vGfCA2hnKyMZFqLTEZF6raFNlExp3n+GiJ75RqEumO9ekPS
7P4/XtoEAurSlra5qD9+zlhLBXHuwrrMQOhfCo/Iss2gRmfaOIxNnkx3Au3AWgxMkSYvVpRfv/yP
u9jyyR3DAj7qYrjgi/v55Q0crYWXZOYlIwoJ+I42QCPUux6+RFwuLzctIL9fv+ay8f90uXlRbhUM
SmzyzjUJ4jspFhGeQR9WnoFJsIACYrrmni4vvEpcTd5z1Un3hACPF2fhhRcRdX33ZlOg3mRkLMEZ
tOEso2Yip6olsyjYzDMMFdgAEExIeNbFEfUGNqd4Rma5aisk+/5EgKv5dZbzA4vge/bAj+SBr9fu
ilRF1QaG3/qpAnBHNNeTExkXwYT0Oe0Jy5iyhbbotkBLMmKZjlNKZvqvr96Papxvr+rxeNAy4YV/
1rHZmg6GWDbikohBPLE/xTeYF6MvejLhxxfz9CAtctZpHQH8VEh1b379+n9+MB3EbURy20C3KcYW
Tdp3X97geaRfpxOtWs2eHuLlgVFeT2zF8Ae0428v8E/omOtnRUTHk+Wi2sMT99MiECiHMbPeiwun
n+lBqyLoomyAQEsDk6x6xLrWK7bJ6iXUdcT/mEl5WK5B8Qmeqn/4uv/qg5u4+zD2LaKan+9aw9JK
r+bMfum7mofEIj2wPBldrg9MzVHa/foy/9VDsujBeC75l4NG58frLKpEjzVzMLAAda5fqAgC6JXJ
2SMWPuYk1O3NAfplXcfc5cTXwIUZvClcY0XTSKtOZmjW9jA94CdAAZLqhnvq0sVp3y3T2mggy54w
TJ4ySY7oeEAn2GdfTzt//wX+xfLiGHx/uqAq97hjf/wQSRYGvas8cQmCBEItQ6pmd71vpi6vXpom
19aZC5OWAEDvlLtkyhHgBIkJp0e9q1TOsTtOrRqDCEKcxheB3iLc0KeHX1/sv3qbJhwoSwcDBYDq
p7ep4W0agIGIi5wdLsj1MnNkrl6EHgi6xo34h+yOZQf9YQm0dcldzZ6rYzx1gUD/eGHyjhh1PVXt
ZYTZeAR8K18DDwYyRiC6K/0SnIfeqLVXQRyA79GHBAUaJhHvMe5TGE1mobo3sxym+0RnBSBounqJ
Ud6erOWeuF6ill3DXjGc8k4tQ5+jEqZ7gkBu7Q0EaWf0TuXx15eRT/Dzx+KT8D2DK7UMlIcL9uX7
xWFGTOtAlgovJdsveUK0SPwEe8BdbWaq2xVDRKMEdELCiExqGY2XgdDNrRcBll1l/G59rWBLrlG/
DBuyop3tMIdat4vslrMG8jRlrrRAgg3UzRl+hx6N2rtKy8PO152S0n1EaSbX8LAB9OmGzpORtCNV
MqRFcAHJkuiHYuSCiyU6um2enEiYK89DAuXTdwlYI6nEyEhYo+dyJ0qVfdLTVvhIJOhC0PChG4UX
KXpTi1Lp0Kmo8ImC6UDaezKna2YmmBbJg0beE5GEuJh7GAw4kVsDT3S06rkvsmT0zcBxHlHW4wWr
aWLbgBIHxPe5DBv064hnSIvCbfF7raFqXFgSXbqbp7nDsd73VrM3ahUDvOEwfDLCHnpWNQQ0UT3v
EXYFtn7HGsLmoo2msFaJ7Aq5xv2BUR/lX1XdO2GeNWtCXqLAd5PRe2Ywxrabco/gol06XRzkNnUe
oY+gNPA2DpZa3l0p5WtLNEy8ppcszpSAC8i7YhdoY8WPwc/KIj8wCSN3yc6zVhNTW/AqKe55dmYR
4RUAOd4zRjiYmA7UrW2W9UmbmHNvQ1XmYFmqeKKjGMYRTWav++QWqQ2IB98biMmkofmPaLIxrGbb
eGRR1aDSRl2fP2AijQ/GQHYsgUrG76orgfhD2r8hPCTYGrNZfsy9Vn4oTTLQa5tMAm6U6XPYB8kC
BA8LX+/5ehAbdQXYvUqiq3MIsADoozMQCIoJl5HSNLqjZfdm1Vj1JxmH1ZMm3Tg9DoULJ/eAgsTL
n5yBlAfOmlGmSsfPHbJHSDxXloNhZ2VJL1gOVcIYDVmtaevhDSVeWFM2drxUeNUHDnO2ydtNk6Lx
VQ1JmW7YUvyA0nkoIf+FwG2G8qiHLsUQK7j1Wrsj3N4WurcCRhhk7yat5RtTAcTuXClMz4PjLTDk
hYscK+7KVeTCPWK6xhFz7QmnevEaYpfWtpj5UgFnamtdb1x/9EZuryKEyU7IBkt2bIUXRElAKGZl
W6+BHEdC93TqVVJnWY3yUb4Cw/GeAUS2by0sPyTpsLw1i3WIlAlvkzcReqSaJ9Rl6mTy61W9oLs5
cZRHyrrguWeG5qfkCh3TIjWean2BkKsyA57WDazPLGdgKulq5LiXBbFkqxAZW7saMImejSsjGhc3
1GgXLcRrY7BTr4j04m9AGkvOfVGzxIDJc09hTbab55TTA1M2NvVYY0W9rpHUcJhaJJvoFRsdlG7L
FGi5lFfa+CJS7Ck4eLdMkHGxm7U13ZeUnYBOZKzu62stkmY2lDPwy6CzQ8htPbC187Cg7pQBZH0Q
s7cxFhx8H3PcMLPEeEoWm3vUTdXoq6V6VAbXXuQLMZxHkldKo6F9i3H7QIzmvw2NgsAGnNza6+kg
X6/JrEi627cqY7dlclW/ECpK9TvFrXq4FgozPRh1mJLMfjUm6vukzfhqa94M1JzkDVSGw7VACo4u
W9PPJEhqa7sM9DO2jbQ8cRvx3QFTpXgvazaeFqAb3pLpQcfyDc28ZIIhRVq9BD3yMgKmDa3ZBIZH
ld7OsM3hPxM/WrcN73zgZ4ZVWY4KSK7WwJG7FjiQl0ANM9p6+3r4QfHMRWPsgdhUKitbW1paJyun
QgqMn05BG8+l9Ro5JsZVth3eYGVMIGpcrUAOXOUi+D0DqResiusjJAKZwEWfmqUMYufp/Ga8uNbY
vmVey3dUBS7FHf/TCwUbcGFha/LRTZr7FGfHjVCCwkCHqm7zTZ+LltEvH6c8mvi6H5hbMqPT6Abl
PprDZgcwWpy75fZkLiHOepiwM2E14zcnA9YxC6Z5f1uNBMfuchSPVGl2wV3LtBcUN/xK3kwguYHR
6S68PYhoz9MQO09J6tbZpiOP/cbElLjQ8gFMRvnINUViy+e/LgJpZk4PCtGCu8Yx6J1sJU2GqDxh
lb28fD4Cgr/y4rNOVC+JIAoFeUazo9yvkQ2ZfKux0bp+xkbOdRgpQb0iDp61JS9tUqH92rgdz6ue
QbYkegbTZih54hs6imBHlzsRo5toj2PMEiBFwoLBEJHFxwrrsL33psAY9265fEFJbbE0GWVQ7/IG
xmHczZNHGxCG4GbG0or300WYgQ09zB+VDs7QTBLxZGhQNdd05NiaJlc8jSZA0ZVpgLdasc4jUlGx
h0c2pDW7rsU43V8/ITsRNXK7DLUaDJ431wPvPC6ECchzT4CTjKeYpRvbNkfap5754VMJqMjEL0qV
NrtLnMVXWP6ybWLD5I6qMqgQpnvl88vKOxWGq4EUMwjZ6XtOMstVayp8l34yimz2MQjw0Nt8CuZu
1mvVM4deFxFoStDTPFazMkmgNmfcagDQSFhtQ5YjolfjtWEt7NCoBRqFwcKYem7wYHqI4gCP6DiA
3lUw2/KN9PpMPkwNmfGQDSxCD7RGl6/fsghiIhWKCcgj7G1rn2JQLDee547ZIUcMjFsOmlf9SCd+
pGInpjpfz8vmEifXtW8yEu2mDAWLPKVIuBzJMfXOiNe5J+blAnxdi5aD+5AYrAvLworNnx3neu8G
4cS2NnVM0CbgS783bEOX6/1pIYq5AcbW38AqstJbp3e5RVy954aSjI6jUDXutxuCoHn3S+UMKVRg
SA07/L0kXKtKvoY2vZTrXWFPRAmuUiMQZ9sqeJDrQpwTuXQbGP9ifwUPLPBRymtOxZxqa6c2aEI0
EkMeQbV8oK+U1JhQPAbyI3+mKIQan7OnOAuLj8AtJ55kZJejL7KQJwseFjuMY5jmtqy4afqkZLU3
Y3EHyGW+cFLnptY1XBjrbuRRua6AVtpBRy0Dh4uNxG7ZvruEq2Q6I4/NsgHhSQmhGZCh2LEolCHq
sm2tQc3eFP3ybhPU39PGrBWvG1ZqesjRkTMN5Kj27E2Kwk+GfO5eDag4RtTsGlLqZhKrhlpofhwE
vCGSHociuhOwxMt9wTJ6btAJhBwaO14hxMJOwjCsk+apkz1FCHwR71kfK5Kwqmn5vAzm763ecB57
d8rvAOd8wgKirVMvaVE41TozBlb2MQ2TL6HZEghg1AEycY7U66GE2WRObI8JJsYlrmCc1x0tT48K
RdnPWBe5znHFF1rKcZ5uNMIyt3rhIioK6xKCOapg/I9VcmtarRBrds18z8l+2uGBKNQauHMB3QK7
hzdl1Au2MbEYUmQGKyQ/HVKgqe30Q70s/gdwXjQiPfDvqN2tkhNMVmR7rQRrUNBlAyyTEZnwGCYG
X0+TV/yT6QoXyZTkw9EBHJG1j83OJKcgo3FOjZMvJV0dudNDSlIVVMRaW/eExzPf5S4gk5MLY3o8
qh5OPcDcDW8PpSfNJgNfs09EA+90um4mQcS6jcu6TD+X1JjsLoDlN8myh5OAEDwHbsAddD0YhnpY
VIcsS3AtNR1rWmnjxCSkfmHiRqV3iokH2yPDEedr6orQuvaNwZHr2+aSBsHthM/VNtg/Gblwt+Yh
q9Vsx8bTwCuvr+smfBAWRwKRTAbeBc9EttSbVeC5p7xx49wPKtpXqPiqlzTD+Fp2rHsNUSPnLuPm
Qf6eHrRSbu1wWZnnuWQH4mwX7QwZxZ+twdbbo6x6nrhOI7OGtE7vpH2tMOry2C95J3lauBZMSYJ1
9hzYpm4HwAYZWd83N2XX9szFDMPlrEJEjJ7O4sl1BS07bBXEdAPBCSj9NLaNIDA4SeQ2G4sNyvcp
omPtX2NYKiBq52YO2Yy+lswIGr7YEMWBLhS5vgXG4rgbhPLGlleOnqKmn95NkT2fIqgd74DXw4Pk
CWF15rQDlSgzegeaX66ToW5V2n2j2SWWk9krQHU25rQziCj51FemfEM4Nn/OqCqJyJxaym38Xuj/
lHHEhKCfBEXZTUZz5YPF2238PgiyaFXXRVJv6nKqDxJ2yjl2UKaFiR2/R2AVPtrU+MgH8wzwQSv1
G+VKDNxmhb9Ac9JPZa34TbLAQEWlTATa/VxonFjhZY+CUCAmcKvGG+yXa1vhX0/pP2jmDTTuv/SU
nj+P/3P43LSf1fcTnm8/9m3C45jkZDN89iwLHZRnOnSivk14yC2T/D/gAXSH1G2DP/ljyiNwkEIP
c+kvGwSHfWcuNcnd5tfpOn9CM1RH4P5fjNEhBf/QMZIMkiRsdEY9cIodEsB/aoQZNRU/Uc/NzuNk
R83TmN1GUXmmxwikwHHSoRI8hrKFxEXIRM/8s+guUaUN+U2aIB5bBtAZYsTUAwMRIA4LFuagUdEI
pQ6xYlLqW/1moXrA862T9Txp4zlMBfgAxLrB/7J3ZktyItkW/SLKwJlfA2LMWTkopRcsU6VkBmce
vv4uD1V3S6m6klU/90t1takUBAQ4fs7Ze+2HWSCydqrxpTDwDPFRD2MT2fe9CqXtWv+B0MAMTTBw
Hh6uIiKyyEBSRebTejWwIUTil3nGh86B2dHLXn/2SdMigEiDMVlVZAt27QgwReWNng31E8LYLe6B
+bqkYg0NzSCZZUXFXHaa/9aJFkYm9FQWROTO4B7GjPBDoDMgx0aDOOapUxHEXbY5X6h8BY3Uuskr
v38aaJpKTUQk2R5tEBHensmej9q5HI5rnlmBawK02XQ2wj8glnLJCG7xS//jmK1NHFQqaNctgac5
ktxCGyXhocRQc6AIao+jRkTjyix3wjUI+qJLez+Y0tocNhDIW5wGaSqABXWMn9vMG8pQyFj7NAwm
KBS8ljClMD1ctl7n63vU0cXTkheuF47xYDxjG1PbrxluC0yFZL7x2D+/rcmkJvak4+bJTIgk8erX
khnB/vz9OvWtuLNJzM3451EwE682VbmSSeRAqdohva72A3uboPbkukuZxG87D7ZMtaKt3bh9KsCU
GwMGwKHP8+mS+FheL1FBHtjB6XpCQRKbDeqeXXddg4BZNfoupBivVn0cW2biwLrO4dWxeJYaMcE7
Qy6evudWWQ8Dc4Fn35P5KRs66MS1SGFMdHa6tVzbvse1WDy1mlncJ7JdnhuZdJdEMvgP2Yp8OAF7
4oTomc1TZQ/xRdRYyUfipoh78hf7QpP82B7gHQcAh43KueYkycfWtvYqumpvM+XcoMpSMmxfDUwz
GKNrNRFAYXU+LwVhvk2OOQE1acsSGQXgbJihIktzCO16n1znRc1nUTDInUOk2YSLwYSJgXSiRQq6
7eO8+xCVpByn65QHRNKmKFr06Kp0ynQO4E94ewM3KO+zxHwqBi/fl96skWfkJH4BJSTFuZwbencP
BfPZ7ovhsrThunrzkqnAD5xs2UDKPWD74op+Fs0m/MbOLvXIALVcIQMk2/A2Is8CPD147c26FvUt
2T7lXYcAZTctC5Cu1CKEhfEmzbYmJo7VsQ6r6/RbdgnrKbEaoJs5eKNgKmzzcTYcfWPjmsBK3Dow
hTFebzD/8WCIKuWmmqJ8V/XjvBV1j+5aj7I1GKYOYQXO9KvB9LOb2TPzi0qb7NvejsWWZjcMJt3t
6CrTco2IIdF867LwCXMOJ+i+zyMT1iuCmeIvS5tlX6u+PrYLP/0qFVnQMR2Up0adwPvOME4GOn/n
ZW18Hnota+fqENdlc9/4usyo9IxkOySjmW4gX6+P4KH07ZrB6R1N2Z5WZHlPUK+WvWhcHUoisCkk
ryg2ofgt+HU2eGUsYhKrbguCGBDLxEJhbAY8vOHoOMvFFMn6LpnX7qPP+ZtHK1pxQeMbcbvQWWFG
U2MnAX1MnOT55OU9eluV6qHTsg7WxK3ZIVSyDdjjJA8OfEaiHgsghKItswtCWvIlGFuyc/RMkDaJ
XZsQYX+c96h0qwDPz0tNZb1t00Uc6Qy41zh2tAegLCz+g0hWxKBzRoZuVfQ0mb21vW29PD+5Fdvs
mlSqO+FAJg87Z4g+nVcWIsIitv1lfiJttguFsZIJe36KJGP6+xna61NLQRk6ms6yOooasBm7ONhM
tVPtZ6K/MX4XwuJxmMQHxEIcCPTSHIIk4psACV6vJn0aKc4nza+uedsvNNCAdoR1TeB2N8DmbD3D
/jaF+d926TfbJcMXHsq//18Qc1kPJMO/Dzv49rf+2i0RaYA0EJUBxkLmV/b3AFfrD50ePXM7zzHO
qph/b5dM8w+mp0JHsgKpwwfB9G9RjOADfcbXFICEkzEb+0eiGFPNz/4jVLENwzAtXI+wQlBP/DwU
Tpd2guhn8IKvIt6eWaYZH/SkgQFF73tXN5nXb2zp6q+d5kYPmEHa44Ls/aS1acRWhExuF0PUZQ2I
aM9ragzEaPAAecjsHzyJlt5NJO+oWuftbsBZvsHRMXzNWiIT5iQuniyBkxsyXArTCo1drWM34n53
x7Bt4AYYsd7CRCy19VA3kCaGaph/Mzn9cVSrrgCRLcJC7smckW6B+vPv5AcZTAr8b6Sez60x34LE
8PcxIvxA9L06L773d7fI7bdr+73I48dB7bfjMaVlC4y8FBzeOwmC0CBhwH6Sx0lrTWrt4lWZ/In9
4xr8+kjvdsLqzGg9QLogK8Y3xHs60orcZ+0Sp4Cm0rAeZYjgedtre49k6/tRFNZ+SbLoN5Pvvzk9
FU7MNh6Fgceu/t3l1AUE+aorjuyDgKlqavPcQYHBZojIZPmN2ujvjoaPibkwFlkELO8uZkxDMa3K
rDga+mSDsmrPpheanzdD4T/8+nIaqnL48VlRqcscxDXZ8PykIKOhWCRlrqfHJpkLzIlJhMu7aco6
9GgvbpKFjebQDggyqXoPa+H2Elcbr/5ff4+fzxk9AQxmS4fvjHXq3Q1bwNhdysHMjs2QKyESPMkQ
vmr04DsgWX9zsJ/vIVtXxmiBrwwkkHhXTbWNX5h96/BeNtb1rsaaFPYaT7AkHSI5Ll0KHcKtfNLO
//lJuo6BYM9xfJRB7+b+NO/A8jkyO8LM5YU38mtO5qCKhRRw5z86lsVgDngI2iMWVXRXqjb9fgVg
YkqJk/iAzQwUzc3MqH4jqQMu4mUyH399rHfr7flYtkFUiuWp7Kb3bm5sQY7WatxD67JOeOpoxp7w
lY5G+Ovj/CjqogrmnKCSeT4ML3W7ih/PaXCKrqXTk5Job49ZOE8ZJwVsENjDyGYkSWk8b2aCMLAV
kfEWoY2Ik6tff4d39476DlThLHQG/ngHccSP32FcjBxwd893GDuU4sbY4EdZtfgqwrp+qmOPQEnH
XH6znp8v4XePqToshT8nTiuQd+h7ycgYO7hoIzc9Jl5kfmwzpzwRRLVcSwTa+9aUpBD2ePtQvywz
UOaI9K7xOAHk/hOCU9N+oVgtT3lUERCha+UJvQz/WDPt7tdX5+++J4UTWwPyxelavNf755hcpxVX
60EHbve6LOgwgpH8Q36iwpkclOIZtmvG8S7oynoivXMUiwrbi6LjkNfWhd8DDSYTx7xWiEh354xJ
nYU1fO5x/+vv+vNdq/RyJroiZtjOT9YE3aeQQAyQHsnfokOSx96cB1XX9dtfH+fd0sZP9y3ZDeON
wsy/fzemGrS/SOtS2GdssH2mfsC1cOBfIF637399rPfL+flgqiPF29FWkrh3t+cCU7hjhMhyTnMI
sG+EQa9AiE4SSw6SBiS2nKflwkCS+Ukjank/13b/mwtrfIPX/3i7eia+D/Q8bAr4Ou9eYUUrNbQ6
Ijq4w9QuR7cQLKa9j9/yGA9yvaP81F/tJEqDNB3o3SwyyWL+PWdKRV/XvuhitDo+jYlbFMZiAFKZ
URU1BYDzQOTlelUkNLuStBEf1sKM3kYiS54ACK5XKODoC8HTdBSwJj8hXbIvRsYxkhB7SpAzRJEs
PfD6xKxcJrjdhlCXKcH37rTeYdtS/ZUqGUmR0/uXIlr011VjG4dbZUF3NFfRG50YW56qssFeWzEE
PxCZBDc1c8kqZfLUqj1CnVv4eBvBtN2PjC/VUJqPEwy0Biz0iKKvmyPrrRh7awrLfjYT2i5ZchWb
PNkWg8vQaMf0dUhYvOsutt/IEfIEIie2jfBjdS+mr4TdFlitY+0nS2czVLk4dUk6FVva1+4nryHc
9wNkJe43nv443+W1z+GlbGGACixxG70b3E8reS7hjH32ylV/t7NrvgaTb2vbpFMH3SottAe/Npcr
3jPFU9Ms08358kbORJugSvQ7Scp5fqpXrGLHyIgd8yT0MrnKYx8rXrMmmcT5rlarwVgu2n5lhfKM
WftcYcSLA2yvFJVFYdAQSiXXbkEuRF2r6wnTyNT6OOD91QIR69WtmQtXoYz4HDC8yZXTE4FDqEz6
2upAIuhKwOzY+ysCjg1iS/ue7CXz0SMdGsmr4NqWpkhfi7iEUQ7a6iWzUY/R7cMPiYiwXO/sSZuh
6OQtw6ixmW/QAY1JSE82/Vw4PUuTqngNBa7Ymuo+LKc6wjgJ6irA1NrT4pmVktoo63VXjQX30rlb
GE8LKQsRpdey6btxvSttTdcBK7DPISYXW2bGCXSbMpvo3nTcYFu9S+QL6jIdwI/H3WvnaGfaCJDf
YUioGIh20R4AnnLB9Bg/d6xBXM3Bk/orAVozLugblN3Nrs/wFcbTWm+bM9lUq9u7GFvTUVfwU4JT
rQDOXBo6AjSqYVbraUCycaBHHj3EvbutFUq1UVDVReFVIwVaLVd3nyv0KgO3WYnOzE+eArNC9Ieh
B6oVJpMZ6grfykBXBOg02p2v4K7WmfPKVRVPPuxXhPXLKTNIH1BYWCh+9QlVDs0AjUyoXOFjGwWS
xe3fBomCyy4KMysUcLaHPItx17wizeumnXtvg5doDkcFquWFY+7sJn10IiC+SycFPIIiwElsB1Kh
bnO/1AlJRlWWrMypfIXETf3kQ5csr74UaAuQUWRaaYbot6qNUEhdupfPjcrLwRslye+ePd5qxHt/
xgx9IhzCoP2RXicK1JtbzsM4Rhd15cbPPX6yLaMssL5FyQJsqT1SKZZrJzXNK2KZmjsjLbqTpuDA
6+pc5m6zeHJj/cUPZhGBJgwOTx4Wo86QLkQjZmCm2tnJIAzE2ETw3S8Hu+AL1QW8ls24iPURl7+5
m6ciwgw8Cv+iN4zmho2SlYSTw3qRk8Lw2MolfgQVMt0viKXw0XbSi5EnrMtV7q7mNiqxxjFk9/7M
yrQ9zoUzHxM0BxyUXfRVG+sfyISfPrh0E7fmOgxb9f4B4VYrbnMqm/K260kFc3nSiqOlYVrciLyO
ghbuM7Hy0PvzCha0c8ZCW4TPx1bEG8GNffcgM0of/Ft5WCqmtL9ClwbWDWi6laK86fT+yS3WJjSm
dLy2zmjqmDS/LOzPyGo7E8DjFMe6UkRrfZg7oBND/LHP4ukCW0LYKwJ2Ng06AWfoqj+b2dxFG/uM
yx5ZJ49YTZIT5DJw2kKRtdex5MbM2DtQIhTaXYF3fFsu7XOlqNxoccdPg1V5bz3TCACMlSEeRGm7
H+cz1FtXfO9lIAAkqgf2Y9XcHOS6Ar7XGkcZdxbaxLUMtB5eOBW0f/BnA4i4xOHxVQrP20qFrml6
kzhpqOP+GUBuYVdHMVmxhYFOPrgFnPIzsjwyI5PiP0ss2hSt8aClGt2HvvBP/KjEs9kwPHkJg0FH
Kml9mc9sdCL8jjP8AYS+jUAoyi1whqkvUWzvJ0VYdyAHbQm6sx6RZte3wEpM8s6M7Bhl0Nm5gmlo
lmPQjJGxH22bG9uvrmBV6QHdcHEbN4V9sBvXvPQV/b2Vq30f2Y0RomxnGKsDiS9Qzr0MPafEQtME
Y6do8iinVBq1gswnBCnACp5gC8RdFEMgn83rQQdMrytEPazWGgHHmVy/nCn2sAeKPSIh95OdOzRx
FO4eAp1Xh1FkFcCy4eH3lOOQLabhrj/j8s0zOp82Me90C4BQUNWjfU3Fjs8SkyEFgFGfmIf1PF29
vJqysriVjt3fIIqcD2bTJX6QQvEvFc5/8gD7Q73wLmoF+88GzI5WPJavObkwzjYnz/yjBRt156io
AGTSgAWkChAg14xeUla0T24nP5d89LZtapR9PmOMQrmdxhedSApi+TSiCWLCqMFoGwQWNEllh1ZG
rKMRAUDQIRTxi6fYv8UXWq0SZ6SM4JH6Zret4ni5clUugmtU44metRaikJnJljHX/aJCFCya1beG
PnavWZuzZjcFbw0WgRZRRjBabpPbj70+VC4B3Ra14ka3qjl5wyvWkDmD5pkHu0dHYvbaW+MkFQHY
UlyngJsetTgaX6029YgL91vmU+TRMADRgV7z2oNm65YBHZHqoDnWckIJ6jOocMaPSw8pUCfZJ9SA
WBFA0EDZIHHTCNhFxdcLZIKwR4sXAEOJAL4WM9nsVj8frCrTr6wpLUByTrwzasEoJCiGwXHYXdbJ
gDGkmQ8GORknoB1yAOklapazZY3vPTMDoQKSBIYsnXE9MOgOcV8WPmyHbtUe0sLXIYbX/G68FPak
i/cnuabDF0ltRIVBkFqllVwFFB6fI8xdQL7Z4lwlrgSG4op2Pji6GT0toN1eNCG1N+EM02XkkT9n
V2sWGDUfO1uzD5YsHTeCwfDnSFop20kk1U2XPrIxJqkhYlgDYPCDYz7F8YoOivEWdVjETVU+6SgU
NrqnfXDHOYenVK2BDgIdcytC+wpyIVjPcjOzOQldN0k2RtWijKHGBihI8rg/p685Q4oq0KiTkWD2
Na/K+IDJV+wGZ/rar6a/p5a3gqYV/i4H0hzkpXMSXWkHBrB8hPzDzov9OAAaqYVuxO2MPcsg66Xc
D6sBz5cPTurB24ulyTcllJ490arzfeOIJBCDF19l1fimSR1PwVpW0GBGcUIDpW87ulmE4yzFwddp
D4h5hG0r22Evk15/zXvwntT4vHXYCJ0IyrQIpE2bHQJP6LH9nF3iN9znDlwYkw0XgxX4Rv0030yO
bmwSa3YOdtskgV6OxGo0MmR6h/OBreDtbHTEMKEa2nl997VvUQhKrV73hpOq5Ff/c7tocG4W6VxA
bhCbNdaPQEruBlN7SR1rB258YZ/iX+NnOJVa82kq15shj0DJOY+yjSDY1DSM8FpcOO36ljXxE3Fp
H1xRgZHLZVBlxYuvp/ivYUAxv/VfsdZ0wdoqf7Rm2I91keKUqcXr7BtsrLSYRT4Rx8Jp+xAxwy4b
5MWcuBNkUucLXikUpBAfkLJpVATxNJCMY65fZmJdHKSau8YtUoBN/hJ/1LE3r5uWidLJaiXCetS9
aZ2ae4MZZZM+z+PcMfJNLu3mUffG4aHxUEAnXXrvmnFycCcfnUIzDs+aaBGVTWN/YMrZXqJE0g7t
nKnHHJabbabuswOmbZ+WjeOFXTK1x7RxaI9OiLUClELJvK9BsW71tEWRsEJhBrdna+0uKTH+Ccf/
U3eIRztpsqChgwisYyItRsacFz3pKsz/G0Rxt4Vo1eeJJs9eQFgzZ8Q1FvWkh/fc0e6Uy3ZDV9PC
HaFnhbEzOvzpm5z90AEVgatdY8l007AjsaYhEIumqdNNlJxKhdEOIgK2lkdvXYTacsNRGTEAOaMQ
ER6FVCi8mrIo5rYfwprlhT6TmmmAeI4+DTEFQkSSx66qBSi4dJ2vG95xT14TLVeaxbxbEPWw7ZfG
0a8zzU7Hbe8vlB2Dy7I0qdFbZajqxEjn8Wu2iukmcxbjUmeuvzPiNj8l+RR9ikuNJndsucYHo7P7
rWO3VCLxOuqvaNEdm3AoJRMw/R6uVWLL7mNDPkfoYUFlxG+Y7ZG9PR+tOZVGGC0FOnSUeN2dk0B0
kqE/I5sVYdqy/dtYiby1WxKi4S8jokRRsvLKP4ocNUfamdHJTGyaAnAVrrzBpUegJjXn443S0rYL
jMIjcl5mNnkByhsbxfP5P/G9UnwAnuTcM5b39ygL1oMwEYt0ZU8NNreCLgGiw5tpZduD3lfNetbK
ufdzLiaoBXhNSd/szo1iWcyMUebaC4ecvnFB5Ja+SbGP7TWfr4gdKD9BLSRHrrS7jzWWqKNIMz6R
dQStDI0XRu6F8VwOOr96lSPKiMhSOrZ2Nd/mM/vdlWS6w5oP69Usl6UPZoRpR8A40YO0KfuaMZHY
dpas2bNVU8LUoXDbcMyjKYdNRFeE5iWLwYDHItKhaNTWaDfHPML7yf2vrxrOhFi+0PzDEZdndBS9
9cJvkXIS0Ov3tGSgdiS4WdZ61+fTxCy+6fVr25jsizpbmZCtNs2raEW1oe47LQVIBUtQY/vfF0+k
ga53CfpzyqQZhQ+vBijxGrIFmiKUWXfFoK5JMTBlM/i//FbzNZgaLhtNysAy5HolEBfvmTf/Nf51
lwgoeDExOiaoa+dY3AG9pfPZ/qg+sMiceyJftC2hJh6qciRDvZLsgU3Tn0udv5JXFjoYNeUm04Or
ZTizArGZ7nI18kHo0VvfDptJ058TwwapiKrY36cd932isb02XPqsBKlS8BvA6N9WnJwXY8bdZCJF
CTNkGy+0EisTyZAYH3sBwcI3pug0JlH9EhFIdrtECY+OlvAIW+bAbHLqo1MkjfoldzuS4ppZM0lg
Hwsd7mgRGR8oDjjDSji0v6I4ztkBk6q4x1AgLqlb2o+9ry5vSbbhaaiZkuNpFB+mvCdDWz2wosuT
P0vSJDE+pRx6HrrxVPRLdOxpuaIH8LTuhezCINbpyOHWzSBLYdNi8X0d7G4MEtJ/NrKXXyqM8YHP
MG/fjSRh6j2/Tt9HPOwzT2A0EG/XlZW/75WKK0ZdeWXSAr+S5Rh9anGd2MheV+OiiIVxU5lORPiN
UpL3VD52WLEc7nVEed2GsagHgpW7YJK05mxp01KAczMGuQfyaTP5A3cJStVXfHHyhVGkVgfMYnmm
69aOwprqFDAj66NvcaXI5dUeVGbVmxtJTtjv1T3Y6uiAXFtCZ4qFEsmThXvQEMyHcHGhIXpOMn71
HOpkDADG/NzV6fx5Hj2mUB0b8pZWqoy3CdsK3owyI267G6vrZOqHh1SfvD8leZhvaT37p9HG3LaJ
J95MVko83GK7C/J0YPHH0W+iT5ljI8bqWijuoVvT4A7R9NbLt/bz/4QOvxE6CGBHvxQ6XL103cuX
ZGAX1nc/SEO//c2/xA6Oj5QTMQN2dvzsBkPS/0hDz+kiAEEYJP4L8/Evbaj4Q41UIS3BYsLCrDrg
fyGWLOMPYcKRYDdtOmcG8z/Rhr6fLqC2ps3uYre3OdhPMzHfXBwtlxoMwLR4S+qY95BXR5vUQ0j/
69nC3x1J6DrtIwgcAnHHj5MvsHCVRXOTIwkof6UuP0siRDZTlAy/mfH/3ZE4Bh0BZGoMFdWff6de
iIkZZH5Hu6uf8oH1Rb/pxhIdZrM+/eNTUuM08oc4nM6xfjzQ6BaGX7crfbUuf8uL/A060VvG//43
h1EkGlAx/k+/Ue/gXEnsWR4iDe++7xG0oCQMQT6n/8Wl415FS0OyDRqJ83zu+0sn9dKqE85opIl2
OSt0YlTDNGir7DcnpSby3494uPHQ8YC8UigbFa3z47VzR3rUvT/JQzKx8XCG5cMSz0+GtjxJZdr4
9RVU86KfDmYypGOWhEH7vZ6FuqXm2axhAwM4DN2ubA8ZW91NraUvzEJoD1joTpAq9//8VvQcy7SR
0RCP57wfOTttTeJFQl6xJBPxfkC/Q8NEy5+0jH/79TmqC/bTOdoMCWGj6zpP9Y8XdIVLvqQ1NE9S
MdsDbcZli2Y3uv/1Uf7m2fKc746iqDPf3SDAFixUygVHAaTAu35+GkuYVFX731267470br2Y0HHU
Y8WRkmJYQmfOXhRpJvj94/XT0NPz4UMIB60DhCbGre+mjfEwRWw/u/zQKxeMjcB7Qw3PhMy0nhvK
oINmUo4yXhM7m31eELf9b+K87bME6MdfD6Y+dCI1+cYQ817AQlCM7ZW1LA8SDWQo9RE7+yJ73D1W
uWz9CLy64bfGrvFt+4BFqSZ2BmiAiYvzNDagp4KpxobmzfEQtHU1fXGTtKRrHplHJUzaDW7+xmTD
PMarMV5JlzY1nVPl8vTrZlNL/pOFyNitnqNDBupmH9y5Ke+W1hcfc1fURwIto89jSVrnVM72IXLX
HGgmuzbg5PjIoczGAEUGkMW0pZGcN7ib+j6pAPoWFSRXt7rvtcw66f46fWkiXjQgUvjujsFRMgsP
FvjWLEhcL6mhSxb665kukwLZDs6WozLipHNapbvaj+VNLNY6ZIZjE65jAj7ZGKibiIM0e9pGUSt3
UGTmbdawMdMYJwelztmtJWsnY5EeHw1ZupHL+gYVo9qSUDNA45yNXU95REMSntfJKsd0D163vqAf
iqCpbFIytBmguoUuPsaJck7ERvY59uriyZlQsTedKT81Tik+Rpy73GBPl58kNOOV7wQPfUOPzu8D
0yRNeTM7FrtYjUibp25iyMx+urxjS95/jrg0F0nWyBtnyN50g990yBzxEUng29xN0T3E1vo4qdU5
6SCRLIXAV9cWILZZXvwiuc1SgBEZw88jL5U+YGKMJzQuzA07EeS/OKAq9q/IGzYW4RzXMc1qCvi4
enMoV66ZEnERcbJWodAmz9ucn7yii5lT6Vi2mVFV2zzlIpC0TJlt0XMiZDZ+8DBZwAlw0/yzT3Az
DauJFrmdKD95jwIlqNfWKfZpJXR5ZQyj9EMHB8pzEknc2MIYsU4z1MXO5+hVe6lRrn3EWm4/zFVe
vgl8cyfOcdlWIKZV66Q5WDQInmoe7geT/noW2C1DkqC1bOKccBGO9W6YoQ+0M7p+H0wFjIIIXtRm
RstQb7QY66meOf5T17Q8dhblLc1o3rLrQihkz3M/bGyID8lTX2nxuB+8KnvxJ6Dq7MPHKwfBNfAc
n+lAN+IHnhBTP6/tmu9xzfXFDjmjSKGcY05EJu7lRJeB8CMbac6N19WXyvHHs2URLQn/ZLK7xxGB
3Kc4ozx0l4JlfK75su2gmSf0WukS0nXWSJHnl7CTOP/cxKI6zRGR2u0MXJqe3ZvwcIRHBkN0vghN
pbhcQo145SlMSifBlUPC0BAX/j7T+IUGk7cvzcMiSDxIFLjJo/tsBO4bJnJOvlbSJyc5d+jGQbJd
Ly1jeJbdMu7NsqaiIv23wi7jVSfw23SiFKtQA0bcqfjoNv7aD60bJt18zwzy0NcjgoQFnjS2xu0Q
0cLkbezeJQMPpVHxtXSjGK/GvgVQlPOcQ2okBl26+UePqv5C9+cd8xwVADVLILtTTmpQnsKjNPtC
adqVcTMpJNF0Q+bfmOxrMery1AMNW8IRncXG7LJlu7asbrRqx72hXv3S4rxFmb2knebdeBNOd6x+
3p05Yr2u8dw9ZFZknuaBOypnQf08KPulDnckHCtO3+5WHqOSXuRNXw3TF2hp9OBiUqiDxMq9O8Np
m42lFy+MsvARKRqTg9Hvbk2pJgV6gxAsDr5T2xy8u6jO20tjGljJzps95hkNM61yCDNET0Ephjp0
Jg7dwuE5pB0pb8Iwpi+JXSmdfIX9qtO5gzEftGlxY8q+3iWTCRi/K+VN16itfS3qi8KQ3ExTk4DQ
Lg1SW12uDvZ0xCTOYKDQZNVFIPGpzz3jqz6xWo3qHrF1kDSkYqSYued4N6KVZY1jM4MXq7evs9je
dYyMMMu0IrAJEds3PdbKcXXqx3TmCq1uVDGZcUnf0LopIIqZlbvQ8eESSl89jDKOqKCrCnHZgM1k
YO3RYlaPyeehz0dkpaNfDzuTafAmrsb02oyE/uobQ38xakzo83oga7QrDp2jj/sMn+2+9GPtqm/T
GxNJ4bOWZd3NMidkXmfrx1Q3p49ejunWI/ENMqdhH1YkVtsqacobqbXRbZF/cpu2DFMzeatjQNOM
EB55np/aUWdc4dU0JuOSGZVuyhtr6ZjGwG7es7i/krSG1sDlpYc6xjpqaYL8pWLlbStWHJ3ob0p+
g27cyk8qvy2yjtXJ3cpvsKP8YyyEaTjgvV0F41LMw6EUttXuq8TfCAJIJrQgPsx18ntZzDLqTPKy
GW+VSiOeK5mozqBCukow1pZwbsZmBbwqzbTcmDFdORrGU0PyQykeu1KUp6kxESHiMZX4uYbmZBbd
EA5wUUQR4q6vXedimQRdRl4+Rcv6V+LY+dCICc0CvcBE21uwpkiNznxznOn8R6N3skbaSyRRDCbh
HZQDLSEwq9+6b+SxJB5hyHn5VdpOTC85do+z50qDiQmkHHY3Ntlr3cy6vnhuzhSyh3J+W2FsIQvF
GvwBHniMVUomLdn05mCMJWtP99nL9Rx49VzcT5k5FwzAHZgu7O+tdCPdZTwBiMpDWq+vljcgEyAX
RlsIg7FsLdkJsCkhC8d4Z9uZpiQtGooAtyRv3hLLnudUmJs6Q4kzFF5PWDamvbmJXogIyrfuJPKt
0Onv1m5Dm5ZW3jXeNEQWc9zq5D4CzieUwlyveVzjLzFGgWGTGzDxC5fOMJRu7Ugsnu7tAEixvlkO
y7cFO4qBrWtN4DH8wg4lJ3zIhwlogbfYv1M2mj9t8tWGGHG87UANpnWharfvNvlyTlGLIZs4JCQx
nIaxK99qs+EKTtgUmeohsZi3BX1TIjQyo78GXkH1lCfyRhpsq9K2fOHFVZ08gYlqEZQ6XSphzhTL
YF9YAjRK1WbtZe50PsPvBmN3P0T2IY54Bs2ZSgn/Xhndm5DkXiAdA1nCTEZcn2a4d0sEN3ETLXPx
pKdp9vm8BlaV7nvBtOakBv663vkp/ZfiAGooFRVaREy/1ruCp1vX2Bo6vTgw0mHtFdN41cfQtXD5
s2fq2WZfL6bGgFOs7LFyv60vWPzsix6IVrox/N/Vze8FxOfvQ8MGprtCYr8XZqt4YdYDvk9bGk+D
jh4u5/0yuVhyiuFDhMts9+sr8FOhzs2gU6kjWVaq3Pf60472fxlPsmCYxoYUqGjEy5qtSVUlUDqg
LB1/fTzj7+4+3Mp4lVUorum9K2QrPHfon/KCxZWO+oYVsw7TDp1kmHFjIVMGWYS27caxven2/ApG
GGs4+wTY0y4xkPpFOXge2Lbjfu7Y4/z6+/1UZ/smFiRhc1mwj2AC+PHh6MnOc2RqpAefentvazF4
H2v63TP4U8eCo9CoEKBPLczh7x/BgXj4yKnq9OCQrEAqAqtGJUmvaITPJt/JcUIvGTt3ut/j869P
UKgL/EMt6rM/MFX/x1dWqPe1KBJ1a2yLKTlY3RRHgK6hVWhR5H+GyMHYrKYlf+NrNiwba3nK/aVh
hm6TULaMBFVCSk4A2sYtgPGGuTawkl6yl7Ogc7H59S+zuoKqE6lBqBZ1VI3nb/+/fvXv+tX4Qnh0
/39j3lX6JUnjlx841ewN1V/6ly9P/EHGOQ85lAL8JVgG/t2qJjrbQunu/2WisAjw+zfGwPsDEJau
Qv1QXdNI5gP/06p2fFspuKkyeWjAIvwDjIHCMnx/X9LZMsi1R/iPhwqn2HvvFhMusj6LzrioiAIB
LzWi3JwPrU2VzoiscgDLJ/DsLrPc0Cb2mxWoYLng/d50PngiN0X2ZYSwrNTexM6cdWk3lQXH/SIW
SsbrRxXPFto1aEPfXenbb8/O9/62d2sociW+sMel1Vk4kN2oP//uhep1JBdF7dpenDlYRgLpzWaP
dEkgin49aQtl6a8PyJvg/cXiCjF0sMCN01Ximv14SC0tTEkMW3xBV/KSoaUGYGHkVb/PLGBgOhE9
WnMwWh0m4YTZGSCJNbrWwXf+j70z27HbyLLor/QP0OAYJF8v75zzJKX0QqQmzlNwCsbX92JKrrZT
VRLczwUYhgBbyby8ZMSJc/Zem4Vn7yWp1Zzwi3Ca15PPXalFTBPDHoS6DeoMBFGD6/B2jf18LG3I
lQc3rpuLvF8xbjRU2LKtIpZi00lE7pGnRrg0wOu516+4XFSXHLos7b0MdQtxLe9WOEFILyDZST9e
K34vZgI9C4OWgOAbobKFJjPu495YUBKDwZGWw0MwO6z10mHvXVwDKJMe4L/JgCZC5CfZQipzFoLY
fOXxmqkLQooEWvvRsgy6DJmP95wRWt59eKWFJWLm11B2FkB08kBo2dMMGEig4UhvyCbgN8It6JzY
ZVP1JDsv1QADDRsuGslB/YXdMJG41gU6xz0KEdE+2/i80/MgwQv6CdIDelkELN5rCfAMMoGt3jOq
RMru2AN3LutXQhdgTYVHvQ0o7yZZ8JdiAbaKwn1lQrUjqtednU8UVEp3jHsNM8/TW/SEtPMaSB8p
XQKHz58XtfeCshzW48KBYxrR2m3CGUXatsvEXUqHB9FW33GTvuMqhcuo6zmd2WuPrmbgv+M+QmD0
snXeCgGZJoLyhk4/LBq4QjTZnm1dEH8OuOmVTOSvNwfnPUitV+Ru2BkrIrwcCMnQ0zRfpQjJ74zA
TNWG7hQyxwTVJH7BDOxGj7SpBL5Ad2MjhT/72wZD5s6N/QQaYUdwmz2r5RFm60CIdcjBqMpjl9Bd
b2xeknzwrhYQee+MybeuMYSXt45TJC82nYkjjWM3iDK79l/qpJjet6Trqb2leWTTmeH6hFgoiNJ8
LahhCKBPtJXw1M5DDIShv+uHu++4PW/yeWwmuTLVgOwJeYPcy3P2RDQbxBpWK7gOGiC0OO1wZHcN
tJIVGtxN5lAkfFsAELYf+GOVf8NIA9m7ggaXi5Xf2CQr/pP5/xhxbLUeF3v95klF7iCdxDPfbQGe
mR6mD4+VO8PLhaqAl7Jomzne9yZK5edXPiQJL7wIBuEX6pjZrS0Or5Arz9a0JGPVc9iechqGrxBM
hhfdEQIiYEinXrm0fjNyFTpUAL8s3jZwlQq0SOSHK7Fr9Chwmbnb8rHQ2jDeGaOvu8uBGAp5u5Ad
Hu9L6uH5SZPIHD5lrlkV9/FK9FeVIQHUTrCyNLKLaaOXinvJgY57qcyZU0AYJtwIZlASQkhQKqqG
mLen7fAoR68PcqEMvrgGYJTciml9KQbp8lPU7LCGvmYKZKNhoXWwglQ8qzIY7Zs8DlkogsQqms++
M1to7IMV07WKb3AarIh7P05k/lFack6QjI4J2Oc4GIr3khXCSiNYq568aaq6JmBaJUYMrrdMwG3a
gGhWqKqZn3GR8J0PK8Y6R7yo3gdEbhVfPb+2bRpASwewr8KuZt9U7D+aOJgxT8QphlpYobtvSM89
pbbDAR34Dc11I0vMjxkoCORBSXBdY2h89qYxpodqPfhTouYIl8j4tDSLsStIfEQEAM7BGYnFJc02
3tIVzxCGZROccsdavG1KbvmRtouYLxs3Rx1CD5uzzd7l9F3nDAEWvAklouGWwMF3PfrayKnMjwZ9
ls1Ql7S/lnrYZOmsgqNV2Mmnso/9rypxwH1asr4ZSnGJX6tbdgUmqjvR+MlHz5nqXcUmtaXsc+4Z
utUfLTet9nZt0uvxNSlpJpKa2zBBeOy3BYdFm1C3q6xNyic7732SK/sBVdPA+XtSCnhRgh6wmtub
qdTVpUd7YTfOfnnHst5+BNiVPkxueTv7psoPsuvdfbd0CoVdUx8m9IQPSS/Kp7ly+2Qvh7q+JD+H
5mvRadSMIThbhyYBwkEskaVP6ySbnOaRTad9rr2qTbe57mvCXszmfSqQ9FlsPTRZhDfWEeYA6DlC
QUGiDbJNYr//lkn0QuAe3aOt82Q/l7Z97SW9725TJLTLRi2UA9tVaEY3tGoOQdmRJslwpzn5qbL3
iUcIQdy0B1Ol41byGZ/zQtL6QTsjTjXH4Wm3VP543Q1u/BC2qTiAJS72HoLByMgNHeyXRYhrAwna
BQv2cjTresFob4UnjT4Ld4uU0WC7oPUIHj3CJhGPUzbpL6ZZ5heYBPWFrCVEmV9XKD8Vcy7Iq5Vh
vh4qHQ57f69PuqZygrxERqMGYI4FHNbInFd6sGvQj4VW21zgEPldEMibwxuFGOFWHoJgQaWLIXat
mv5SiIFTSf109sJzV7KKZm7GwtAOMFf/2dz39TqrwRdDpe2sqoe/XwfTqRj7kAg3lyY1a6opWbNr
skc8tRICf30r3xyYXy+2jny5ndDlGd7//WIW77CRUASeX6nETQMN+lUfYGRjuPv1pX4uZDmUB9w3
jK8ort8O0jtcNa2BovDsoPa8rkdKb28O8RHgrrjofdpe//h62GvhNRBQIVycsG8+WtDw2paVh6Ug
jd9934JwDLJjePU60uhfmei/vuaboze3kw+3Wm1hgPDlvS3WlypxgW0N7lmKmurKN1alIAsqO3Ct
VsmXi77FAVsOVR+eaM728etf4OeHlCmcx3028fzagA3+/qGb2u1MMnrFefxONYZyqyx4lf+Pq/gW
2SaC6fdPvuISFHAdg2I4o2GX4GvBtPrB8g+7JevNJARltROvuoufZutiwDvhGXyWV+WFINEQ9Sva
yl9/ln/zWHrQZPBjc9rhuPnmjhVQvDK0b97ZjoELI7nlnfue7/MKZh5aNenfHOl+Xr9Y01lN+Fiu
w5/evHQYJ+JlBjwOPzMWzxZuAmajE6XIWNKggo4KL/M7h/vXH/Xnlz3AHw/GiE8b2j+9ESG9dixO
nn0uRt7uuGGdHASCGZ1DWv/1pf7NR+ThQNpEDY565e1i6Zez5FKVfVaS/Oelgtupe8aTpbt2n9cT
nFqfml9f9N99PtAlgYWqCjnGW5nYZKKCTUNhnUuBjKWukCyUZpAeOOjwpf76Wq9dtL90ung6Q7oT
SEBdsCHBz2/aOvM0WU8YlfZEzOZW5aEYxdd4j4NRXjc52h16zTb07ZUtzuBt6a8JkVDxnvmVy+Gi
YVqYwOC30h48K7Jvhu9BIdryN7fl5yc8RDpHNBMrEqq/t1KzOvNm8gtinnAg8w5knKz9sMqGQbvn
dPOwFFLW/+bu/LwOITLkrVpbkejc3vYBk5J+CTkKPOKBQa0LeI3zw6DUQDoMWRARwuz1ec8z67ob
y+7DNHna2jprihBJGOTJdMlI3hRVUnYYFgtPwq9/wX93T1blJDo1h+/utY/5l80czzox3QFvfaUD
im7Tyz9aCZPyvnTqbMPw63dtnJ+eTUSF69tAK4dH9CfwS4cNjaJ/0Wc0uu5Lb+aMRF65u+zsnMZ/
/en+3cXoGxHYKkKWmre7AFKK0EwIQzirhLl2voYfmX3AKcczW05Jv77YT181nwy+PahRZ93x3uZN
VYVhtX1sLmcRexwskwy2BUatlFPiry/0JnGJESRyOMSS7Ah8OEFf7O+bW+mkmQLSOVNByLS//c7j
NsADF08xRqf+os0nOiFuQsxOOqdM3crWd4h/X2HvCvcj0PWCPoExc1hi2KcBMq8c59dwnpCuF2zq
cu1+zB0eiMPMuOR2qJuwqX6zePz8/UAHCxmTsa8h/nxbCmU1Hmsf2835Fdo8M6W4qBiZHxITQP2v
b9pPD7rwgMYIl1EALb2fJiJDYtrDpFJ5libE5cB+RVuv8Q8GTpILfJK/7R++qYHo+bMe2rz6DAEQ
IL/9lmpdOVYnPfcsOuV+FcKezsSmhu9eGyLC7+nqdLrEDaaU/ZuVzn77iMB/Y+wBqoYrrzPINWn2
b0V6icAAnQvudItOEilEOckAAOCFHh1kCWRLfxJWUbjbqWHYe/0aMFA7MsmO9rCgpHjN+jDHii6i
LtZ+TSf99WAxSv4MXcY5yUr0+WHk59/6w2LU/KQ5844heiDGxEXgNHde3jPjXx+v0mAzOCyDtNrz
hPOOQHLRY8OZFa2xPmZ4e1HQOEI/0U2Jvw0SRsBXJNAWEmZ7Ud3NdBuupRgMPJeZuG0Wy9CHxq8Z
7k5DrTem39nmJW1ps4563xtDHIKyJUYMFwZSs1bP22bpNAdonZ3xTVuRO5XeSG6FlXZE2Y9d5g30
vs1pbl4cna+q6pJQIMiZrVVaX2YcdTTFjZz3JSTxhGbokhTp7bQo/uzjAmtOoqFFiWQnjNOjmApO
RXWn+a+6838UnxiE6LyE5VrXdK1oP6Q1ESHf6Jbj3yuwfHFwX6QKi1MSGOq+VbpKb1EJEd9Gtvo0
3PWIb1Zgrc/b3VhVW9zDmmS/kONgdXtGkPDZTaTGpAg0xT0iAKLnmLtqOry5p7+C5iSDRHYE1oMJ
LfmalQmbas9H9168mV/3oUXYzGzQzt3LH3kn7UhvLsOMo/YCFG+1pQ9C52rQKY3woFpwpyMe5CcC
ZotRZM1OfepUPhoPqsm4dFdodi08oCD5Nmnp9PZNPU/ecG9lBsbWgsclveW8iq2DMCtYr8j33NM0
Sego25EYnUi3NQz5V+S9pxOeoBqDG6pLf858YsRiaz6lyoDtMSgLOQux3PS0gnbs9UGVnGE3TMvp
MjJxVvLRqj1yV4LM4wGrU+TVmKcke8NrHUDPnqdPJ4JWA6kI9M1AUDnLRUwjhGQsvTTqG/jz+DbQ
eBO/t+C8cuSXcVJlPbq57b1kwHljmJk9uuzvrxW83pWuyjsz+04evKy0UVIYPDIBLGWlTEHZFTvA
gAgbIik8nqIuEKvYrPS4r3a/9sydvB8/IU6ep71CmHj7fTQDvY5kI2ctJBKX2i5oCP+srHztxEra
85t25d7DdqED/7r9+WKkyZjSu/IvPTDUIFDNTOUY6wo49eh8eE2r1mDSUC4uN9aNJwgWeWgn2V1f
d/wilknvZN+Wdn9fa6tTH+EYOcZEo8crivugCdV45anSehR5XrvRKONs+UqyFI8senHbvVusltCV
dKE2dnj/Zh8Pu8cYAN9mSruCZ8VlmoMs0x0c/z2FeTEgyQQpxhC3xEVl5IDuEQpELOEe9lnZ061f
SpqS8GRqHdCSQG12rkxT0WqjQz4ENMj0OOXz9x3/v3PS38xJHce02cr/85z08Wtdf+37r1//6un5
8bf+HJRaf6CBX4MjKcn5YT9Q7wxJ2bOYT5Lmyy7Nv/81JHXEHyTt4iijaFx57mu18GdkuvsH1fWr
8JuaiDLM/SdDUmiW7I5/OdOsY0aOR4zwLcaxFO5vDqY+0mKDFld9Mqait9oDMV5JPuH2nWe65RVT
3s3Kppvp2S/Idhn/bK1eOQefduWxq2h+Ev3Xky/kMUfpO1c8KtRUO5GZ9TZJRO9FyAF3VSLUc6VU
120X7A8vYVJbJ7s1y2gMvRl4ROLu/Nj/MtbtcJqcPjl4xChvBRrYyIpJydN6GA/LZBJNEgIEQBEG
XcVDdgcHPgAanS/Ns9t2rDi8I6cREvDezLDn9b6/NYcJkWOeJTeWjINjvWTlo506tKmn3uWF4wjV
YMQcO0zZhj5jigxX9LYQn2LUZSlxu22JDlwmyVUjl+GpYM25JMbKvKd9bZNU5d9NoxVeMSkmsLBK
ko/gwtJN6KwIS3+ctjD8oDHlpjwwrKyPc4aCUjrLXdM2/onRXr3HVbWs7y2ORT88J3WxJRujuDWC
mLz3GIi7tczBrkzwGoxF5z1I06l3c+eakald9zIEg3JiEzDw/GiLLmJqnMu+btndOhJ/jFxve7Ji
riBh+OmO4SkLyzyPj1bWuuioPf8ywVFwcFuLTnuHF9HUvb7DW9BfMdSNN8VoPwpVqc9LMYpdP+fp
JvaL/k6zy8MAFFBaxkZtjVYt926W+5/GWEWEuXwk2r0/WK2TH8cpsQ/EYcXvpiBr9nkeiy9BJorl
alzs/CrxqmJTBoiII06MTBKrkjB1zMJIM6Xcw2DIGMVb9o7WEdb0AIg3VO7wE1Cp+VvC7GivTYwE
URdXaGxpyt+5y9yXl0vePqWjlT8FWHBfDFwdzqbWnnkFMW1CQ0950mAuI+4vTNtdmwS45u0YAawu
gnMMkvfGsabmqpytJzbeFtSU43ZHMuKLO04XxhlA/HRjVzK8cBmSKlK13FxGmWVU/nE0xmzZE+G3
KtJGtygiPRLqKnAI5/h2w41WK9DebcltA5tJEkhjV8dlDPKoxqsKA8gdKfJQ31OJzHqyt/AX/G1v
VevQWVeE4lGEesAqUuLzrqSwX5qy8+NL8sBUekE1914wT7gnJPIQG4FlnHri6WP7UA5OXvhg2uY6
/KyZNWW7BCnYDTt9f9uPTJg+h7UTo9+uwT8Fw/jktcq5lcFIWMquLPxHN+7zHdJMa5eUdXjGTGLj
eAXmumwZKbTUcwZsMQgmU3JsXb+QT3Y5u4XaekDihxSOut/457r3gt7YVpCTzBsWSu57NZELsCKA
BGVfEptwwbt5iMzWSK67xa/89ybt+k4Cjlusu1qFY/wlh83L0FmH2ACohi2wTztzbB54cr1igwVj
hNAnXauI1FQywwNInH/yEdEbR1BtRCjBakE5hoQVHfv3sXfM9IQIu6QK31ULYpCCljNPirlYyclK
B/q8dUc6WD347pfFdYbiYMeKMbi/kPu8JTUjJF7SQgS1q72CS+oy4ZxcKca3Dk73KkJ0TDfAXDOZ
vpczQ0EYDPaadYdHCpgjoc7CurmhyWo3AowTbJzhokD1b+JLnwxsE8pPdsQAihs1CbX3XApwhjAT
eS8e95jYyHh5xMZuX0hkEXJTNLJbGXDhjKjDEVd16GLUz0Lee4Wd2StKF3k4sltOOnZ6qP0pODSp
LG5BxlzqhEDKjcQZB3TaSy/itvX3zTwQLsas3OelAnbdbYFLW0QwCPsc+BK1G3NC3tWc9SsR2U4m
jWPsQW+ZDxxU8p2wew09Z/aMjTDq+hqgYXMfTL64HkQ3ffCYOC8bJMAXy2o9ASxqbQvlJgdkvZpB
vh5LE5KFXj4zsvvEHiWvaceQNODHBiG2mUkGmdmZD3iY4r3iWPjkuUl/5+KfYHMgJ6pM/P6mGQJj
XxqgPqbajD9rW3i3jMm2vS+SE0tnfMTXYz4XvgVbowqDDxOVIJav2G6P6MrVha99feXSyiDfShXb
dl7yjzQbrLPXNXDCErUfjJrg1cEEpjM4KVz/fIJuki+xvhVhnu9WT3pPnskTw/rhtADFP6zl3cGb
KoTruTXPke6NiVCEJr1hTAUwWCo7uMgclnhagCh8JcFjM9d/UKHrofbG4JCQnXELb21GUJ8WOxeO
EZiIMNiDKJvKjTW7KUujdp8dpwN1NXlh+zIF9nDFPNn6Oo12w2kJJlthxRbhG53z3lBcDwfYSqJl
HEoAWLsD3lNeF+bcvRt5D69GOchbj/7EJeDumoyBGrpNqlD2O+l0DYcUdY9dimOpp49d4GaXi5um
7+GTmddxjDdnzHtBJUAUB8SAxoyY+5nXPVqaIcp48289QgoPhOHIl8CvgQ+JYusQwnuHYkYhyK4C
AWC1D+9ItdAXVl40n+Y+gUIJOWlXLA0zczN5H6OojyzCoCgefB8zwuLsSEqBBmpaxjPITXM3p013
pepwuXCAqZbr7t9tYSa0W9dK3XyjrOHJsEdSwEdi/+gW4KYLjbkhB1UJqEgE7EQ6DBa09ImNDrMi
aYc4uUJYyZq/MAcQ/Hip5TQAMM6875Gfyk1RUfhmzkogJdBA3iqxpP6DQ3xLwpaHgi1JH3uxtNl3
lO5/6/vf1PcUN6uG+z/X91cZcntaPX8t73/8pT/L+/AP1N4hUq1VA/mX+t77w1+DB16FjP+SP5p/
oJAnt8TGkGGvCU//V9mLP5j82vjdLZD2/7SyR93998qeZpxvr2MRpmiMevEA/L0vJi2BnZGy4ky5
o7oNpg8xDRv3dVFthTt9MJPKRxrlNfdZu9TXAACRTwdIjKI6HPOdta7T+VDoZSdtVdzAG2UhZ6GG
3MHirsLMOWNhgqz1uvR7AR3/TRMTYb2JkbRhEGWfmMq5uTRfN4+GbQQjQnHrE9l6qMwwPcTU/Af3
deOB/RNv+7EQB52l8lSsO9TYQ4LTuNkNdCp01DbVupthXxTvM5YnMrWxr0Tk5CWRk44YeAwbiFPd
xPdN5+J+gEquTiMErkI3L35RBle6AFK4kSoYdvwPqP3WnZNoTnEzxyqg1SXC0iRxmoVitX8cC2kb
n2c2zm9+m2ESy+uApJNKfk2UHXdkabbWbZa2I94/R967vTufqayoMRdyEKsIdttX6m4yTDxe7BYr
DdYnVGfXiVknF32rjc+1wB+8wdZDd0Z39WnJuucpVN19Pq9KrDSYntJ2GB7CcGCBKw0tP60St2dp
FEUYjZ4L9xG3yrjRdch0JaiZf9HFZOeDn5mSm+dHtFTlS0f7biSYdH4vbGFzp+vyE1iv4RjqbNhb
BAl91uZYXmamvDF04p0LObRnGWt90cblFNWe3+99FZBTJUW24J9bRltuGjspnsOM2HS0hN3IT6uM
fm/3Tkm2vQ93s6kEH1SFRBhY8UgEnmewbZrpAQ9M+cjwOn1fDBmk17luHXuzqKaBtufl1pbqzQTN
CjsJTRMP4KmT7ng1uqHuo7ExHRzPFuLTdCVcl8li9tHcg80ptYPJEsHf/C3L7VGCoF7nO3VJj6zN
0/o2Q6q3cSkmLxPZgKTU5A/aMqiuWhzHl7ZB0w903OxSEbqLv2w84sbeYWC2BVV84n7q1OxCi0UF
dfBLyf+FAu2oWzDD28l3ASgHpJciVArvKKrTaIad1aYQKtNl2grpXQPsmz7XvlOczFWnOueGkW6n
flwObp2qC066ArhzONRPYZPHz0YFWOYcd3ZHxV371pduNnsSvsx5vJ80ELjdtBTWhyEs4zpK6m68
szgNAH4jrzBsZ+uFo6acMIQNy32P8Ck4uk4xQ8IMwga939JvwspR7gYKE0r8Mbacd85kphcd8tdP
o+jMekNFDbjHl7o8tkkdfMx9078qPLWYJzq44aOeigbSaM6+DVarnMpty0l1H6R19UKfMXySGfY2
it2toFDBySuWr14rF8AUltXUO3Iw6+c8GXsrKmU++HxZtfxAbQ2dcfHz9hTERHtWBmFBcHi98DK1
1bBtB3nHXJFcrS7jfcbJSxppIN1dQBMcYxv7Lali/Va5bbZ103DEejp056Kx/LNn9uzPTpoH3Ac3
PzTjyLLGmdyPYFWah6l0s3u6Ad6hyUyOLUZIFCY2I2l+sIsUv6/LijphS16isK6y/IAPt1xTOLvr
wiVgm1R3Z7iHuOhyY/0qf4/xtFs2nTU4MytaPJ5I163JuTTm9uPkL2iaXKZaRxx4Cd5Oc+lv3F4a
nxvPxzfbW/l0S+o8jwEAw3CTc47GTQuqaG8EafcRP+D8tSvT+cPi1taV08Pb3+G9CsAQeouMozB2
upt0CeNiG9hthYt6jlEPGtg2LbN9SIq+3QZFOHNSkBmS1qLbito/u+0y4FqtS9JwyemYkiw+5QXL
ZmO53UGZ1WNSe+OhlzPTDAahE9poDpyIJJc6CodJ7FCm6C8aAWO1myzREdY9Ag1o0gl5shmQzmXi
4R0v3BLi8wCtmfPQe+INyvq4+C64sudgKURhb1LpWMPwPI5Ln9/Eiq6IHebixsoRkILIlveiKs17
YfnJLcuiQppS6BOZZ+88t67vO9pe96PVx/YGeHT8bkaq8+zQiOd0SyzdOWXA8S5Y01M3PW2R+wD7
2crvrW6R6Hf7PoEhOWSFy+yo6qNm0vYu92TCss2WF6lqya5HOxz3XeB3+dbpq+o6D01+XVEYYPrK
lBvDWIhXPbTdjSV7cYk+WdxoNdhXUJlidK16iB/cQIoTiW/zIwYemvDpFKdfHW0sN7jJxwoCW9cw
+Vni67Bp2wfNMw4dsDQ/t1mHx3KR3gHLw7hXcac/Fm6u8Ip25P4kVrnsc3ex17IVRPoAo5mUOtaj
MbP0hT1o/wTevMEknd/iwkFT2tnOTdyQGcAiW8T3YMJPjcjtK1ASSUN7wl19piM4XmTDh/V+Pspm
pZDlWh5ZLvxD3knjpiiAZO9se/buylCnX+IBdXVG2qOxkZ3CaeGZw3JetL/cUX7Ph3AJw9Nkjf07
GTfV7USA15H3SSwb5qUSpiaxrHxFCa07vSzmdoCThi3YCbu72aHXtIE0GEYImq1d6mXmEWysC84S
nD4BverUszEyJ7DJhg+Dz2aThZ+t3rEboru97jkby/SjSaTcqW+M9sA42wiQc7LU8PilbNIkrHmR
Y5r+Ppvy4jYOm/lj6/vwtwdLfLCbLLixl5o3L10XTXRudnbQ84yZX0rbbh7qJXxGVI6wd0rJB0fA
2Y1WRDQyfFEUquEHGhbFA2envrsVss/6o+Mjid9oIQCJV7nVmZe2IOL5QAxwbcLkhqtOsBpeeGKW
mCs/SPj9inTRZe+kgLTbUPhRigo5jkBQ32nLbvKLQZZ9BRjTSJ+91vGyF1vwikfox01vJ2fQnUjH
heq0uLIspaaBEHHgDeOZR9aG1OhPNe2Ely7WH6h91fuiMOrP+aQgrA+j/0gjqz2j0H/san/ZVU5H
uHPXtxF9UCZxjboXJcGH8fjNzdKXfBAf/HEeP6HkpIJwJU2v3hs/+KGRH4UflLedVe5mtzIu+XKY
dMFpOtXMG7852ptIBG+7goDLzgkQ3o4ZLkdo8HeONxNcN45uysFPgn1+DMQod5W29V2qqXfIrZ+9
yvg+4f/vEeo3R6jV5crZ4j8foR4aMKv/s32BQfzy12PUj7/44xgVij9ctDnYMEMYZ65YJxE/JiWW
Sc4bwh3H/fOY9a9Jiev9gaDOZiSyHphexys/BiUu9rTAIxYXrQrnrXWG8g/cZIgZ3h6n+BFIczm7
EWpnIqr/+3EqNPt6iOPOuMD5Ot2hLMRbwQN7qkqNj5sR7NakRXvvlALrcePqnTUt4Wk1FmyTopkf
2ciqC0bCuO27ITjySk0eQ4G8BmFi5ZEv6pRFOblPWufoFsO0iUG9RMA1381jcbsmwePoSILIWF3L
nO2IoO7dkOKtJlECejJWNLe0H4aaF6lt7bW8SaprrKb9IyGmKThBsiTpOJRfTGPcLIHzlDf5N6cd
OiYM4x1M3eE+b4R36GY2TYawY3WfwfM+N23QXSw+wZkb1VXFYQLUAE6oVpfLLPxTlbC557kezq6M
w/3Qj5gvSOoVjFBMEyUDqpPN7HKSQ47fVhtf0QraLGa9HLUpzR04ceDjTEUvTRkcCUK9b01ajYB5
rKuqwL0XqwrkZUheZzDYu4IIik3XBfEe7EAV8cA0OwpuFD9JwYlvJpG8IPWOL6u60INb7H3P8M9V
noso5uS2GV2/3Sub6uuoauZzkderBAeCfui8utvOS/ouXCz7aa48cVKuP32orYYCpO/Crbk4TXxN
4WqbO1pxmaTRA2LTvJjq2NEPxP8WxbjL5iYwPhOgTh+NgITRIFQA/YjcjHXT46DyQKTCBhi6gWI2
X+47pw6oLELAoHPQOYrBxtTNh8pGoof7i2IGI0m9yYiqu1FVPdwbEBeGzZIZVTqAju2daTMkmXdJ
m52TpqWyYmcUpHJsBoJYGI0xerg2lgyD39ZgBpcgJ2mllvIKwSLCBBJXGyzt3oYf1Pth1E6q1vWZ
SdUg5IfGjr17oHUz5pAQOqVBD4ABtcznu3goqkPdNYGf0L1fDVt7BCEmMipXt3K4D3uY6OIJ8FBv
PhiktHPANkLotCBtk2rErUBHL1D0wwrR0KO4mlFJtd2e4JB6jKzStN4TE6zuZjajCv8yVJi9nVl5
ExVGorYZYuU4MsAlhBjSJuNdWnhZsbW1X5F6Iip1RZwtPeA67L4gplglMWQE3SO5pBRjJenowxag
emIPWtC1kS+2FVXtYjIGmcVESxhYRUTbHRqFhfHjDI05PSIvN3aZBiHNwW5kx41T6BLUkmyEHOwA
3HfC+dilrr0l9iW56dKluxEcUCAXtC0oF4s4EH4B80qbvcdctDN3qi71MVvq9hbnYv2Ow78ix6UD
V4sPKO9p1YZAPAkfpGYPRHxCSGagOyXootgk+Mm2JFYPCIOs2ucr10UF28MZlg2JbDbo0H64Hye/
vu2CNjn4ncuEZPJuwnxKHuOyVRe0JWxv0xmJ/vC6yv93Q/zNhrjmRWJ4/s8b4lVTD28iT3/8nR97
4euGh7AS7fbq1EAx+H97oUWbEB0yfmZAC0j8aCD+SQGlEQl4AmmrYAr6fQf9czN0CY9n9/TpOaKt
x87yTzZD11kxFn9RDaC1BvTh8I/DtC34CcfY6qawY7obN35LLRqVBAwwCE5tltOOme7Rxwha7/EH
pvCWWHmuEhvQQkn3+ksfB7rZgCshMhpnZ0fAi+7A6TcMXD5raYe7qs4IdHB5Fy+brpDl+0y73SVr
p/kldxJFdvRY8Iase/SydgUm55AZIIP8YfDtEwv1NJ2Vk8n5Srai3qXouegj2NBxi0UUV6vuK7LG
mFTWxbg0R5rpG9yzSWTltba33SI/MvzArGenRMhMylxobcA1QnQ7epsFD+o+DGJeLfjIXhq5Is2u
ShSBp7Ec/aMhoS1PTZW3G5nV6m7qjIMNup7Uh/D9XKOcSI1ywDearPl5y6Lz98qjPnZGZgsjtso0
tNAx5dqSlrUlXSIetmNTMuDfoGv1OHPWNpPhBi1QpDkvaGvDN89dNvVIL9LOvDNIJca4ZLeIixlg
7GfuyHJRgP6J5aMWrT5hguwN98KXiSp2ubQ2mE2Fag8yaNNyZyt7Zmtwy8wtj3650K1GoKCDagK0
w7RmcI55ppiPqKgvIJ75F4y1sXzpyKKdYytmJ8WYc+YNE6ZU08liFw+ni3IOwcxRQ9BjDV5lf77f
bll63A+TY1v3fb/AwO9CQ32hzdXm38Lc6r8tsQkn/9pmVPy/7J3HktxY2mRfZWz2oEFcqDGbDYCQ
GRmpBbmBJRW01nj6OTdY/Itkqal9rbq6uzKRgYD4xHH3Ah0jwS9bOiDJZ0IG2q/1hFaO0CZ3PE0k
wh6h/gAu7TYLY3/Jh/SQCDbZmzbP7pg0kUSQME4JMZu/6ZZ8ZBqQYJOVzxlpEjWx4kiztaND9bKJ
yMLerkTE7QjouIGTmO97axBJECo5DvJuSxQFRuXR0XGYU/nC4Gz7euqEexUVUL/JjYXScFbbLQ1H
91bpdf5J7xvNIKqjs/BoI6fM6x0M+HmEpy37087Vjp3RT54wovxI/FGqkRwyfIhTuE9/rYR5y8sz
MZlK1tGHqBXqFcZvxRZ7RYWaTJSBzeGuc8uoiUDQ5ruy6rUdBvGMWYQW2rjrORPmQbqK6bYWNZgD
6d3I2McqD+OkMpfEXIsJQZ+LEwjqemQsoXprqi5BNtCqtUa6ddQCb8g8Olsxo/pgENYJURIa8DkL
P9Aku1t03iNjVtabWUMc/KDZ9RNo7NksbfNOXtk3odapASNyXBQb7XpNmbDSxfa+Y9QmQsmaobIw
avVrRezZTWVm0WtUJ4gKG4EOlfD5fZdbNdWPFe3SdMx2iJKAaxppjofF2662WvchEorpEW6pn5zM
fl6hC0ojbXx2/sRdraN5YmDCGDrtpheWtDLaPpun05wY+vvCXObZG1CsR96Uq8a9pYtho6FG/apg
NlkQ1jbE22xN+wOWfZ9AuFyfIGe82pRhaVwvGy3xUBsTIAsRzNUncclRSUWkepi1mR/7Atei0u06
fketHNAtI5ulNPOaYSRmWLWqY0aZ7Tu4TG1QQs9bo4yc/WxaoTfVeMp7A+amW8LsiSOyhz650tx4
eOxZrPg55+exm5s7LmsW6fpycid2J2YWuniOxzXuWUZjH50WPoHxYe58nuk6bt3cSXDwrcrPbHzc
IFeZBXg1UKFFyoFQqdU1kg7Se0zRncPCMC/IuLofNAUDUtbIi753ByP0p359clQG98tsRrZn2w2+
b4hCPJa7xocqjzB4jAeFIFUNy3tUgeZ7LHlcINt6vcfBPPGZr04vWdyVuNul1bWe14z+R3v+xOJ5
3Iy60X+lyFf8zGzWTQVkBSKtG686/PnNqrGfGWdnvV1Ks9pqedTf6m1bX0GygRtouCz6uDZmBCuQ
cLjpqkZ9A5xtAzEDHWDoio3nMsUGsv5B8YTWR19n0lL25UiME3YLqxKsXFobKmHMDzGvsTwniqeg
JJni4EzsAWxntK7hrSKfO9LYioguImrc+sqZzPhYuW3NNCMeg75RmYwubrx8ITu8fzDHqElx6gnj
oFMXSLNY6wo/nBHya9qoH9aWYFMfpPhLUSTGRpsrl7GuXl3PaZ36Csv7E84E011OAgdxTO51g243
8ewlicODAVl2HasaqWUsED7k3ag/UlLW13btLA/qBMvnKVbs3gt3Znfm9POhmsNEsMgTgANxot6Q
wZG9FPi+vkRO2d6WQx4+11mYXA0Uql7MKvtJa8VCpVmlu6Udl0240FTCTiEyp81RK585p9ofKHNH
4jzs4QkzEnXxEtGVgZKYKKFNujgWDupt09mRsbEZ+B/LiSbJLzICRGmTigyjMMl/VcLgPPbTq5jp
WcwxtnbLXJD+ljKSOmqJZn3S+f2KX4VlQlwYA0IrVd2XZTW7vSpWXvROyabLY2+fbK0ks042IMNj
aI9EDinoWaiqSRIXgTPNp6Gp2m1XC+Ta/xXHZZ/0yz8UxyyiZcn618Xx85e2oD7+aVD07Wd+K45t
7R0Yq5RWwfthGCSL098GRbbxTuBAxQpdfBv5/FAcm+/kAEd39N9B3O/Fsf4OpRySGdxvoG6Raf6r
4vjn0lhHtkoEEmp1g3EUF9oviiVHG4c1IZ5v76BS4omHZ2EaoXb44Zz8iUXQL8t9THqw2tIQjAMK
oOL5dbkfDiMTegC5/ZCWJVGQyIM9Zw6rD2UPrk/gHjrIleI5qHC4+dbXfZr/T/Sl+pNjy+/rx+r/
cnA6ALTdnDY0rb98RMzkyTbLHHcfCRfJl912E8MdjeOC992njJnfyGKtXa8rEyMA0Eq+zAot9MZq
LSPA8gLPE3SAu350ct/AWehIGHN80zkpTkdpHrJtWdp60xEjBgNgh/eFlU/B35/AP/0QtE8uUwI6
BVomPuSPcsBW1EbRr+6+WWd9MwsSVAulEIfEnpanxlCJGtEynIuUggQPTUWMTyAIlrdVRMJIj2rx
1ipRelYdpqPqiHep68Yk0wAjsxQdMYYY8YItkqHfLuVK2gn5x/9S/Hr5HtBZopdGiwdH/ouOuSPZ
ZUBH4u7psKYA9W3uzUiOyCf5JxvBXyRl345EgDXCZdORXns/nywTsyBQB440Ykm15/HOl2c5zbHt
jeZONfHF/ftvR15BP/SXl+PJyAohPRHQL8sr8IcvR9e6siyUnONFSXvHEwXcb8AN7u+PApvz61Hg
3rGsgcVxkO//cv5ctjJ4ICjOvkUmzdAWlx3DTfZZ5zz+/YEuLn+/fB68jVgNceMRiPTrQyGlFnDh
ORxcPbT8sNodgxkWEbtl4YtbCqNlyBOT2FVVfXaPMZ5zqnPQNuyqw3vg3vUKT5TmriV9I/Gs0aT7
0ZgfE/FosN2TthhVXi67hGvzCVFZSbAn4aUwouT7Uk5HHGSuhb7RHD3Zd+jRXiZrTfZ//yG/CQt/
+pQOwwqN0wncJPX7v4zIQ8Q/WAMRKIiNKlhQRGWETKA7KNRd2yrrkLgb1dcZaELSpgxEWe7v8yId
tqNW91sCztpznSWT9I8xAlbC6oumZ8nZdBfxwUY0R7VubVpt0h80t2iA5KZc81sLkISuhlTfNSmD
fsRrK45KwHwMvXZZtGV7Hn3gcZbtLegBxFG6ucfapbri7RLvizrUNwZ46l4B9/MrMyk2sS60XWdU
zmMbmukBMVwRlFrDuBVbnk9kNlkoIbLoIOp1vKlzbQIGWG1xKhxkzDgxmpt61IWPGePgW4NV5X6v
RRU0UZU9953sHBnal8Wi3ABdLp+JruvwF4qJM8p6Y2eGIsXjzIp1f81qK1DsVdyZsaE+smUoXuwo
zr7WWoxuL1NdRBmyGaU5AInx0HHNr7aDfsAu9HZv4u5+wAp6Pq2Na91YBBsHvZOUFJBFQoIdy4KP
RPiZb2rTbRQgHdCn7IuSKc41/lQKTrIJI1u7PRaFxV9taQ2KAvcwj0p5rkI8oPW5nHovail/Fbvc
qXV6kuczYGDBSMN1FA//x87TCuO9GWN/I+ZYPURZUZxEWC9PSp71yKyICTtrgwL1uMiRpcr7xU+L
ydjplescQFSNtza0utuU81QeiP1k7m53xmMmtmVcc0WMuA0NjWG8VfiybzPIhsCoZweVo162T+XS
DX5Fh8dXM7PiZ4W9n5aBEGjjTg/JDOfZNh76vFq8Bc9AkJBY/wxyWUA6afXd0mIvhCu9r0wjfHiU
43EcZq0Hk4qGTVWPtS5NnSJQj9Sdo4cyja7DyPoQw8fs475X70MNhi5tLSJEszedaX4wtR2le4rN
Wk8I39ZoW+1kz8N0BBd3PQiDmQQCI0Itz/4X+UqI7EWJeUQN0sapTH2RVvOVQp7lLutmtrcoRd4r
dbzwx+A2EOuZIMCadF8CqJqRi2uc7IDXULbFHMoi0nxKkoDIRX3Xdp1yZa5VdcIqVfXb2VwwgevU
u4E8MobnCwNAT9XT+matVL4hZjxsgxZNHOJyzveawZrdrrhdLAW8lh1Bgx/TsNEntlSITVAS9nGI
YVdafmpHEb2moTZ8lpLgV2Nsp2PhOOMhG93eG6NanFpsyTABz0LfDNXxMGjcX8qS1dhk4NZGnmqK
wdahTFxcxAKtIW27gGL0ZmWdn8TInAo5V3zA9L/eiLwSfrrgP+saQ7KDPilPySx16uQmA3XxX/FD
ywimZdl9BPrJAqsCwlIsNCBNp2bbMB2Xr/jLT9VZXSIsrWuKgnVcVK+tdEBvvXCCJOLNoa2hRM2H
eoOoVsdTEO21bbGsmtqFhUSM7e7aq93L6k7iBhMI9bwkajMEWKNbgHR1NX7R0nYKYA/X/ZKm7afY
xi/dqhL7OU768gR8R56ySn2BD1EMVjFRnYyUfDSfKnavLFWCMEdd5Q0aXu701tl9HonmNU2NLMhU
NMEJbli3ilkvBBNryDNFk23ryB2eq77LD2iCu8+XKMA8xSMvhR5Dtkv5ZeUEzq/4Ke+XxajPRkwi
nw3ls1smA70xyR9ZgOcOGHo78smzJL5x1WIKTLTXgCaQMgLoHiP3Ouy8TKz8jO7m3QuyXRPBJO5u
hC65AFdjz0dCnxN5PbskjGGz1NywtzRvNB4MQA5dssN6ad2Tv0AcsT1glsQU3K9Dy/WoI1uyQbhe
NSNevlIDj8/J2PJcr/TmmDLqy2mZhb7T1KLZhaWC4XJbKfcLB4gDJefNu2Krz58NtPphwtQgwoE8
7u9Vu+afsmi4b1W9CVo71l5VB1dbjNx29thUuy6V+VTUi8aVOas7tnqsrtrBOI9GI7a1nG8XmU7q
SJ7G24p8V2mF+aiFCtL0vk88M5vMDXOX2zYs3dHLYmIj2hqr/B2n384+tcJp4lPbFc3I1cz8t5/L
gf1WgT14a+hteHKRbhHfPi8dvptYQMfn+Zvp+uX1/t825x8aVp0REoXhXzesN3FS/dit/vYD3+lw
9Z2J8YOq6pg+yE3O792qI96h/NSQ10lBJ6g2Vff3VY72zrWBF3Duoa6XTe7vmLjzzpAZPNAOOkAb
tf+/6Vb/YJ+NnRpVn8kDhHRo/Q+bnHAip4TobvPAoqMOAz1ds3tSMUhNlEmIzPm6F9dI122NG8JW
w00B2zA6SnIj5iezdOr3wkq7F8a53NMzz54fzuSftJq/trn8dbrKx+cPZB1mXezWf+gDaLhaNO+u
OKSjqN7MWMy3jInkA3GmEm6SfNnx5B79jjRi8Q8tNk4mv/YHcr2lCbB+WhGMSH7petjx5LU1JA2w
ZvhaNKHhwyol7rW0bbcCq0Y3qatwg5wmy76ahZs88RxPPsxruX62h64Zg3pdjGOEcHOT4Z+6w+9x
yDZEqlt3duxAj85EyxLJWvQnVJL4XkNDeGvLSyslh0ZaN3TFTawvJCzYGvsX1WnASNnq2MEwrOy5
keQpDbAE0sMR2dV7RnQELXUINNfOqa7sDhClBUK4x6iv3FbwobAHveFgr9vQsEKGkshj4Lv5olDE
bRiXPw7zKsETpgc40Vl1eW4FhIQSU/7w4jPG/aIUISv41fCgPngWrfY0kq/BA9Ov4zIGvZ2X1zKV
UnSFrcYJ7+IQ8nnpX5wJj0MvUXPeWiqeuCNPZcfaO0a2bKc4txAV6IlPbgI1o2rpzb07KOmd2iWJ
FjBEUd/nlWrhbIFBHjHSs7uZBqNNtqMxg7om3Er3uH1EhKE0jZV7BA31j9pQxQQA2dNwwJwwjwLk
tv39nBCh7WvGxO4gsTR1W0A5Uu2ANBg4elo1cc4iWo2rcm7VyYuiRCddIwZCSdtV8LWmitibuHMS
xCAsskJN89VOFwfs0Cpvs7KdoUYbVhkDnr9wbYCKXqSSF4X3brtt+wmNWa4ru1V3os9NrI9bvAm2
ILNjwJ3qHizdLu5XfRkNWLUhPZIGlAaO2dtvMaTxfqVi3rh53WPEBsO+7fWeLGw7Bbfwm1HMJFLh
tLFDsKEx/3bmo+to4TNqhGHvTPFUSweD+IuY1PFGq7TZ9JLSLr7ggJhV2GkyrGqQXyPoZE2UUJOv
Jp7ydmulAffeQxwpqXEesmTgtZOGhTU94BGczLWH9rHiLW6ETeSnc8hcyqn77HOZxmHieH2b7nS1
mj5DhRaMrDKgeFClsh7Va1aUbfI2JjkBbm45Cv2m68h+XYdV+nkZ6fhqzQn9/8Lc+21VDF6yoTvM
LXcFCUKfiBmgAmrdnpR0q69EsumHlgzoihT7azK3aYg71e61zYDAO3kA41mWPZQNJhRKWOLFUpVt
EeEtEkf1B+FOtONQjcSlYt9ctn40ZWQkI6XhVUA11sa4zwaNalRvXcWgTSP5nUt9Rkm64N94z85V
PgxjPn9GR3oDRGWfieJpXBaMLkdr5WcjP818QF+hTZvG7KiO4lF0L31ipYLN8chfP0f2um+qGTik
mur3mPVW76cRiajnmmM9BqTAGs6mA1RWvEGdh49q2g7qNTYYpnp2wwm/mVqvq7e2y0m+rZV83V4e
5S6fnL01S+lNn0oj7Uzpx/Oc6Otz3mHdDF8zGSu7tFl29CgkIN6WN5NgdLU+Oogh+Y8swuiO6whB
LGq4Slun8bWM5jzpkNOZ5RtyHXDcpcWhichL69x0Gn/xiP+csp3YWqXSuJNS39Hzm6Uk/tyj2mXK
A+o+03pE+o3A47YlZMjJb1ozZyNWRlBCJO+MI8ZONn0je9a4OOETbMMe8Bdw7Ra1OJSa5qC7bMhw
91bDDIcAi3b7gzKW0+JxcpDN5NFaagg1LMpcMqYcmrnGnt5XrLRw+13cInCstPJCRxWHiH34Jpu6
6mOn9U/GPFnk6bqpSSCdO90NZJnkgQKkDPUXO9A1mpMUIwt62CSBgnWrDSobGGMMZerRUp5ifPIe
9WyYMWSOB/MTHKuVeqOhUR5OrOP1SsHHWTPnk8hTXE3jMT5hmtx2Xt84zBbBeMyNM7caysScJGcd
4AkYKFQeM94zOBYZLhEwLo6lntYUts5ypevYGlb4HEEMMxzalZOBMEUbrbQNeI5HvhmZAmqcB35X
GN3Lf4Xj/8+mg+GhzD3468Lx/OVj+9ZlPzGxv/3QdybWxCJECFokQkhZTMjf9yMTa0IHWQ5p1Rfw
9XvtaIABUcw4xPFgyPVTwoL6b2pFdiU/F0QqGxJm5ULWnwY7OfHL4D83BgX1QTyejGJ1xxg5HSNU
9mWGaFIubdzOxVIXB8wu4y+sepEwZFLNYEpdQycVDnnhIHYo+fOvW6mA0KUWYr7IInqpkNAvYgnd
aJUt9lXDq5BaivYiq+DBN/CGdJKzLlUX2UWAgdWWvmEWhv5/MY1zL5UaOBg1W3V0CqQgannbS0WH
exF34O+fPbfLNB2la/DgzVIHojYTjvdqrGBUhaXPfR47xX2r98+Yj6yHztEAMKWuxGrM9R65Snsv
Lay3htSfrGE/b5TJ6I9ZDf+CrXjmj5Y2b0QsZKGTNfnjkKTzm20XDflrVRh5YsXSqIFXuAVdjl8g
aofFZ3VaB0Y06ls3tuFczCa+N2cr3YyqGNlK4m1xanEKOzlN91Sg2yP+CsdiZruwM75q1Otj2Q+Z
r2rzx2yeeVgY2LngcjcmpyYpYTbL2uw+kLQA7NDwHT7lWVqcnWmMt0ofr8e2EBgcxNBNQT46tnRQ
Yq+Rhkpyywsn3St5dDNlabq1UzTua2ymfscIeK9OFeBEXA6nUtHIl9EKLM97zNwfWBIM2wx9mN+j
4LlxSBzcL3pTXtuNOp1Y/S57aHDjDS+C6pi6Wv9AjE7O3CtTsg1x5z2caaw7Bx7pw/WK9mHbaLYS
4Pxc3hEaaDz0i+jfY3qaf130Tn3UxyEJLFCvm6IzlbOR2Jhhq/0r54o6u0HLfdt0TvFKwThuNacu
g5Kt9GYqM2z/VFPZKEY7I67ruhutr3FAm/vZJ5eMkMKUC4coBMV1Pxlw0a3ftAyDPSpgTPznXIrr
4Sjuym5kAGa5Tb9ZULATWl2NWwfXSTwoxNuoj87VxQKZhUR9Fq0W+QOzKGqCFQ//Dp+AWSMmdzOC
+ZxqbF32eVQ7e2CB/EtaRumtWmPflmTRepOZaU3tZYbKJwcxbeGFUae5XjNZ+eyB8g5XZWLZNL5x
fEwg6Bj3hmkgTaReE6atL7wa55PlZuomFt1wndg1ksiqbsa7VmKgzYUIVS5wqJlEj67IzBv5bgMQ
ixjVAJMmEivV5bQ2MyVrOly4U00iqIzW8NqKJZhqXRjVbirhVROJrhoSYmUn1x7MC9nqXChXWAd4
PqsNi2ceIzUEB0BsSb2/QfFnbhKJyzJ5gZwlA5ROSOK0rQRrC4nYthK2tSR2m18IXO7t+aW7cLmz
RHRRz0Drkp+mEKoJwgtJUxyHFdGLV1wY31FpzHFbSvSXAFxN8ylgJBGcOdEzJgZwwrbFtNsXTRPy
JEnqNViL6nN+oYsHCRobF+Y4ufDHqUSRo1FSyemFUM4lrGxcuGXc9mCYsUGCZ64l2qxLyLm98M5R
rbfAz/k3FFr7jYyG4ZegNAwGXiQUoheIelYlUR1+w6sju6j7e3wlhnFfSWfj8rjWekcR0TtpMWNY
MOrZ9NCmc+R8EhFkXElsbq5O5lOBT1hjbygolGyrDEOffl4AOrWM3FqtbXlx8XL7b4D0jwMk02Lo
89d1wA1y8ernoCVx+ZHvNDDIL69+Vu1EAuGGKreL36sAXbwzAdkc9CYYgF8KhO9lgPVOt2TMEi9r
XteENP3PCEkwXaI8h1FgqoFVs+r+m7KAsdMvZYHJE8tiXAWmQb/OpIv//4cpTdYNZNgMbnKbZjQY
rm+wLie7NsqsGzeshbgTVoPTX5WT0rvFFIcxmTeNieVnIdzsfG4gjbnJIAa9Dp1lb9zHTq7k84vp
EGyt+hZxlF49ltmeul2dbvu8UT/j2jTRmtswBo7farGjevqgVdgoVaw/nHFXuSLaFHGTov4ota9G
RAIdEobG+aiwVPRn5AhHOxMNQ/SId3dv5/fwaOEOf541MJjFM2dP6GdLwxoGj2Yeh6o1r1sM9gyh
PNmq8tGZLdx6TNhnJDY2VOSYHJJ1TU9zJpKDPZrDh0m2WYx1XMvDdSS+b5GmAnpV83ILKBK6rBGm
ot0YNZ+Yac7a09Hx/A1cNUaDHTKnGROm4dFkfUymsX/qRitOz6Y+K7jZ1/ZN0qo4HSwAuQkLOokm
2DHxgqELhOB1ap8sVBN9XwZ8E8truKBmUFSXnOKFHOAH/JxDMI0KE0KfyN7xkFhhfLVO8/yKI4Bm
7iwxs7DD5GrjYqpaUmCkIKA2ewuGQ2AHL5h40iBDsHW+Y4/FUelKlaRkE7bOL8KViFy8IAbPyKVi
Ol0TmhB7jrs1SGlLSGXJ7eU9Q6TGuuWT6KqvMxyY2YTECDzUwaC9bTFOUtL4q93mgvDUJNt3iRi2
U2RYgdkkbOOq2L5rVqZUHlEzUaCTiIQBTNEewRfx3C8a7Y4EoGlTjoV1DIW9ID9tTevzBLsezFBC
Z5twKbwGlqqIob8WxiXbplTqE9hmulyrJQmO9ZGl2uTUJGuWMB8bToSofUYYvLBEhkzksJZodDzV
oFoovRhzM8Y/RSdOSEpLLfGYBzgOYCX1tQhIJk6MO7xj+K5WbbQfirokFdVmCVs/k5VqN7xHAWUX
zM0ZGKgxnlHGPNsd5qBo649pFbbuyaoB6osG/TjYjI2lV+4saCVHXtqdH2J5diakODmN2EFdWWE5
sXzEncvLumnYLHhQL4c5YuPhd3JP6rEHUWP2T8SD77EXz3Fy0pYe6HuNlH6vtoW9ZaWe4Me5aLjK
NSNxvhUvbe5sjPKIS66XpA/aVC4p67Aex9NKDd8QCi4Mv0IYZAQ1kfBS8qq0q5eyb6esLtWk89ti
KOzreS2mc96Z6q7N7CGIIyOiNEZOzOrDJgUASU5yVqoqH7cjblkx0Teq1QZF7kyvOtX1rkc7Ex2F
2t0jrU7XO8aHn5TVLbmnEAjMvgNIaJ77yuiYmTUscLfRsFSvcFOq8JxliB/X1dEr0snqttzxP7LY
dZUSlwyeRMuDaFyStnTTwvCWURX+HLka60AOlA0HA1HVV5DFJ3PAWt9gobY+jJmOKdiUyXi0lhDS
wKkV+vauQ/4DbH0nyklm3Qo3RUIX8TQzMXxDpdCku3U2nGOqoH+HQ1Tm+XTJdLCNrkTHVLe8op2w
2+RaJL2u+K6qbVSvKeonYdwplDLj1hjiPMBfSr+qrNLdkJ9COJOS1DLwK8bClRIzCVRCxfieMxGl
H9vGTt9StVee4FHG90z4x5bhsRDca2IeA2wEcXLULKU/4IUofNrBtNuAgkftFf+CGDxNYcrksdfA
dsqzHDx9jygNTDSPi7DNWsWmMWd6Og+MivXOQrNoWi1rXRLExj2UiFFtQpqHqPcqk/RIdDT1ANdG
zf+ICbHxPE7ri+ASJlboEn3mlqq+t5zJvrNMRsRRHy5Br8fNwUZCoG5YeOubXDHxh6lkfFaJYvKc
k4o94udkF9r11FbV9dqvVrpzmsp4bfr5NULz7KIfSzAb1hKCpfxxVPuOCjedh+uiLjD3WLTuvkA+
2fosYOfoTpsxIcdVX+TLuuwLw+5tGiR8xoh0aTCFcc7CyX5LWv2vnvqnekr6jP9dPXX+Mv2v/VtR
dygwv/y0mfv2k9850osVEz2mYJVAcfSdIdXfsQ1jDqM6MhsEuvL3rRzjGHRPUDNE5zCVkbu83xlS
1lT86wZrb5AI1fg3JdUf8DcmNwbyLwFQRa7tr2yiUKw5wkxiJegI7sRYeQXoVvT8w0n5k90aH/Fn
+k0eBJ94gFU+5x/yOnpMBGsMYdf9gEuox6tlJfJrtP06E/3m7w/FmOoPhxKcFtsU1KLmrzhfVdDh
pRGs2jwm3Lt5ggRFJwdMkwqCnPiAfaG1GJ6vpvAwTav+4fB/OJ1sNiEXsX1g2YqmV9avP9Sner46
5sQ6aZ+W06OOh6STdMHff8JfSmDhyEOYyPVICGFOYf1SArM7WwY11Jq9qU2Ps2k8s/iq/AHZH8Ks
5svfH8xwJEn3M2mnCVaLTASxv2e7zIX44ycijV1YMyKSvZiM5ghQpRHB7irFMTNpbvNRPIlLVDvZ
nT2x7UaVFl6DBQcWWpdodyZRKAT0iKEBHjjZgUQ0YuAZz7sNAw0ZD0//ys5Kb7RayjZcAtRdHQ1q
YXzU02lHf9t/LYVcHrS9qj8vRKb6yuLiVMrixDjHzYCwAwIpGNRlfl6Qnp1Q7EzSbNdueQE1bvFo
mXn0kiw2VXnRGndhVJk3Zl9m95asqEdB0U+0XnQeRjYptL8hE/uBukg1my2183qgQb8eUoVXXVF8
FdTvVSI+oVS7A+4o0Ko5xbFW5w/RSIXsFqm1ge4vvIJ1dpDVa7PLWHP5LZsAs0unL8iXeHGk8U0N
ZonEC7mY0KHDmHBZ5xng2XcVKzzqvIdsRQuPKcsgHAjt2kvGEcN5xX2coVSCRUvT8+o20WNvCQyO
HcZy7hiRt4e1zzyFmAInebhJSWi7RtbmDzE1Kouq6cqMAHeAhpR+ka1+5B5o4Yd5m5Ar+djgxxnE
jHt93UnsU80mUSXaFnPGLUvK1noSpa28xNnY3mAowO9xCFt4rDRsbvM2GfbAvUwk2xbvf72RDp5F
gwI8x/RDL2GB8B/hEikaDGCqaiE+sdQwlhr0LUs59VlUkIOsjWZfiRN9eD/ALzG/UhftRHBk9JjE
KHLKhNz60CrIqmsswuinRIbGKSAqYRi3d/WKeqRou1PoLsb7ZnX6RzEY2V5K6K+12bD2Rcm1gPFI
soVMnHcl1GCMZgrdZjJgN2kb8150iXunYni2w4uxvaYyrW5hwwId/6zraGaGhelVrm7biZBW3AyY
2yVUyTj1mMmudcVwlYRT5hHsRsOBo1kYGhXjs97W5LbzQzpkMUY35ss8UkcWIZ6P9XRXL9kTYkTm
sGOq7ERRjlc9zpNkG4LWjUM03ZG4qe10ycLhp5Tvl6IXB7PuIOUu0JwamdVNcUHphkhnQkploN6x
J13eOkndEdvJ9DxKlateMnnGjAG1ReECqFfgT5+Fjc2+UYJ8mBsA9bmKQkUtSb9QMn+zpP+crC+p
+SECozCcrmb0Y/itUIpbkhxkNBly72N6ogvKLjyqmLRK1tAArT+ueqydpHEMzBtMYlVVKXNYYFrL
jt9wzHtxJcEYSZaR4l/d66PxweZ7VZw8eshk8cyEnHs7WY+9wJdvlHzkKpQ+CCUz2TiEYlpreq10
TX2HTicPCGD4DIrIYop4NjCGMBoPISZHG01R72bgzF5Smqky0GLgYrZbM34tiEHz1GqKjQlQNylB
LWnPQa+MNzy7wR4kC9rNW8A149E0a9cvtawtDzjZdreDUhtvPLedQyLJUugDRrdyfhnHA1ijCcp7
Di84qkGj/FRpTn7igbQeNFJKPWSq71tJsuJEongT8iQfRgYbPTU+gVzsYknAFiMbSVgBNrx5oZXn
rnAO+ag/ZUXMbCLEDjVyWlwyHKRkSHeDUHK2EcBtKMnbFQTXHnTxNqii/pgO+ErXrD9cz5TULo8E
6yaRJC9u7vnBknQvrjdZUE3r9Ep1a6CibDmy6kLJMgngBvKUcpYyWiV/gVBWUTjBEZP4YQUEfmoY
LBRgxpWZY+Yu2WOLqAnuE2v+XEgyOZOMckfLn7FffTZjE08uNwFlbtocxI16309xn9zkknkeJP2c
G9hv0AXCbBado+w1Khu/aexPtmZQ0o8u33sjeWondezHvJu1HfkQxabVxeLb40IgSyYhdUllD5LP
rubB3JuS2bYSLdvHCtbqjjRNSKAYl5jTL1lv+CCCQhiPsclY8keD5FbfVLWa0J8+02narI0l2fF+
ycSHmfHJGRnK+tKBmBP7DGye1nDnw4VAlyx6L6l0TClbL7e4yHh5fi0lux5Kit2SPDvvx+kwSsbd
xQrYtq56rUBfHuh5N3yrK/4r8v+pyDctiWP99dD0ltwFqdF+KxPm0F8uC9nD5//7v+m+5Q9+r/HF
OwpbKDvLsVGt8E//U+c7EsxzNcx8vgF2ki37PjrVGZ3i2wq0Z2gU4ib17G91vuG+o77HVUhzNCRo
kpf7N65Cl7rwp0IOiZhsGVRdUJ1S8f9cyOWs29eiVpc9wb/ZEjDApI81iQs5YyhOMqCrp8QTI/xs
i+3UWwiM9a5tD8KpgJbWhtecH+eqAhDf9TmZveyRYe4BVoPW/VSP/f9j78x621aSKPxXgnmnweYi
kg9zgdFiWfb1HsfxE8HICkmJi8RV5K+/HyUrEb0mlwLmYjBCgCCRVGy2ml3VVafOsS/LXq86Cysh
DzU/X4t+HRJDkFFLU+oTlTase4GCrrGaAnky6gqKewVxG2WUzL16LNHL9SVJK1Jp85V3AShRHhlS
Xd/Z8GT6MKIhJ5BYwP5HJKhWEAkm8OrICMSbQ7GWDaeeI8SD3k/cpIpQcSpBO1uLITUNe5h70Ylv
1P5MEsKdltB4nq/5zle9iuf5kGqb9qeHujYKSwYYF9gPLKhQct1VRrEEfsoy3eCsoAx76cdedl6U
qTQW9hz1c9nWgn5MH9yIdC661QaCFtD80N+/hgO1LyXAfYMwtNZ9a2nL/SLQ1TsTefgBngUpiRzA
9im0rPkoovXtRFFW7kixmHnN18RpWVvhVSapveOsV4fX9FzFV3NgipeeTTcTjXh0vXO8JCFn1qDk
Ss84RqVPzgYNwyj0na48qoweVdiEEBSif12+B82X/ZnH2ldkwbNbwZ5rjsE9oqGrSHN32Q8JIccR
mOIvyHwqx7gGcxwuXRigitq2z4nNCDpVeTGgr7KGT7BIbyhYmfCrI892irq2/J30VzTSQnFjFFeh
FaAgDAB8THbzSkM1NG4SgOqFkNL8QVRL9y6BEfSySOf6wAqJmpFrHaDPQIuzl4VjFdz/KVq7II+X
8+iaGqt2zr5975dab0gwsBhWvbw6jmiVua1yfTXqSXp4UlLplGORDRZUkW/sfCVf5lJqDO21Vk5A
9owXc8BMoQbXuZfL8dCGJd/vW0Vsn8wtW4dCKVx8t8pyKmxLOiYpZaOhkwXihkUObIWaGggDEZKh
t+iR5rxHk7qiQWOpX8estoEwrDNiMa8fmitaarz0ax1CplCvDenYA2jb1yuTUaZkQ92cQF3kwucg
5UlfqaO4k2XgrW70YLk8r6BZOTXMdEU91YMamdzPINAS70ItVqwbli1iy71KGS9BeMH55EGWJWvk
14GSAtwB2HNTlZlOv4OvxTCya2HlijuU+tb+MYfGssEfilrr5TRpeK5n3kDNAeMBLR6Wmd8qykIv
b3VyZxyVkX7wxBcBH8R8hJyhf9ZLZOM6Mz3bu19rNW0OOcJe6nFkxRzUAmh7uT6yURyxFVC9y1ju
B3MBOWxiqx6nHRFL+lfCwGg+KWMF9cYgrufczRyRkWgMYD4pbgvf18pbRNhz0H/uBgq4UOVi/rBY
ZEkdDeGCjeC98vRUGVTLnlUPixQ86JBl5roPofBdens8Qa57IcUo9aplXEGBVNWCyo3w19y+WVYG
MAS4ls3RKkRcwaXj0NQe8phmo6mxsMSi98AcWeTxgjyLTwHlqRSwI5vSEX/1oHCEdRn1AYLLPLM/
R4u8RyJ5RWVroGSJAsxZAqSxcT//99QfeGoUFZqC4Nue+i5zvH0P/fSFXXFThrVIJ8tFMIhjpTny
h4cWoqH9k+mohg+pqW6SBfnpoek0xAkb+k/XbDT0R7IKQskgE9cUPH/DNW88755nBuuE55dpCu2p
dAnjm9qeOV7FMKJW4EetqJYgjzDLZVUdg3ZFEqSRmQVmg9JY4brLs1TXkHStKn+8ppnoaqPxmaxK
GgyXMXprjfJu6Iv1jVdV+hV9tGnTqcfzblMOUqFHK+oTGuzI2EDtVq2j1SC3CiAjdx4Hg3B5ksNy
TpMPIGuahQJburRCjUobHGzI0A4UiG3M71CjVhzyS0iK1sXENdi97IltrKX5KRixVXG7LJjkWylC
qWW01GhwHNEcmqCRQM5OpUiHYA99dQBy3aWMomeouEC6tRpSQKBBKN6VgX+B9B3KuoZSq7B193iu
QoWKCeUUmihFDPN2Ln0rvdD/bM61BKX00Jtfr2MKLutkNakpSh17sZ07lpBJG6VAUkCzwDfcQzhp
YMVFFRgoDtaGEp3OqXrqhtunrgz6sgSovDpTjDqMBMgkc33huYtCmqxJzcBOAxtcdStVIq/loYzG
nntsa0geG2OFqmhO058cZysO5q4tGiWHRbFaNDSkEKSfL6n+oR/VD2EOCIvJ/9aO8LS1DZ3MAQEP
dcN1Pkuqm1maB1m6e3Sad69iP8o+x3/vQ+8beorcP9hjyKwSgre2mM2YNgN+z0TgcF/54+zf/1KN
I3LAiOMiDb95cRIIYuqV27eJMS2UGehcFhr0Dc1r/8d+bxbev8HtdL7/mdYdTOM8ypqfwfWfg0LY
Gn9lDp5Z2JsD60gnzUdRH9xo8+KgtD8HFluxoBdJRfhy89pecG+dvLUS3r+/354D5zEkueSnWeJP
s33fIaiIgH75lVl4ZuPnLGjyEY1OQtN19O6aFwb3Z8G0jrgMnYsQHWxf/6WV8OwOfp5xYVxrSiid
ZkExj/SGqgT5pGe33/DmGvg8Eyrrp0XClf5Bi4BD+QtA1e9uB7ADU/xSOHtDQvt0l/uLwNCP4NOA
55Devc1rG+L8g2ZBpQRJ8NNpEahQ6YAeg3YZrGLzerYpsiGozFCjJLOdhe2z90uz8Asf+uFkBp4f
PG7ciz9LX/NCb31gt++8fP9pT92khIgpWx9svM322ttnqvn3H62nbbPc997cLf/NdZ6+/nSDLy/d
utburnb/eeLPEocG7mrzRvU0zAsnxEf9J3C+OWErncXv0mSz3u43+PH7f2D4WZ8BwR4lys52afqM
o/aA0Rc7hOGFE6VOurPU/IygAlmeXYc8cAL/e5w8yxpuA4zOtpGnTpzHVjcw9ONsHd0tozI7zfxp
3nKHVPB5IrsaH84Cp3TaUAmwDweY7J0L/xR//zSgyzT81k7WWqJpre46fkgPEv+xvQq3HrKr5fEs
Rge+bRmvQFjU1fIJM+77Ozub5U1HzQFWyuTR8VoLUJBYPsAWMgkCP4r99hO5jca6zsUkevSf0SET
gDXNR50tx2X7xyONQBKhq9mzl3sTrekHeF7OGFk+XVS7IW7WBUWGAzwkf8YQtryYZmojB1gb544f
zVpjhkvvAGM+d+icdaLHfdOKTHS6+49Xj42/5BHPnTR1pl6ezrKstabhx9YOMSX+1PNdp43q54x5
gCf83G8Ux59paSgcWw/wwDRqh82f5bK1NyF4KB/I+ltaih0jHKCgb1Gqd7T8XpdmZ9OF0/ZbUI2o
BwifPkRAdh54+el0lqSz1k7FuUwc4NFsBn8+W/vTlhvDeHPm7bp1N8Yf4mSxs7Q5H2zPk51Nxwky
NwMHOg2/HRNDXSIO4B0uNhd4qaODeeUAIclbPDYd18rlIiAiaZ9qoMixDrDJvt041XHMVx+ACzqa
v/Hix9mnSfrCtxkoM+xW5t/3bbcbvaXXFiIpA3EAv7y9wMuF2Jg/wHnkM7M/S9NZK6SgFtOAtLs+
pJ9n6/ap8imN0tXuW0WujivlHTLkrpZ9TjbPTsGqjlRE9zm+d1LPj9ysnb4mn6odYBO8n6XZpy+v
DZ583QEW372fTmNguq3IDeqppj7YdZHc0z/GxOwMNb4H4i/lQ5/5WqbpR0b2Zf5pl25/7Wvt5Frz
iWkwc5I//gIAAP//AAAA//8=</cx:binary>
              </cx:geoCache>
            </cx:geography>
          </cx:layoutPr>
          <cx:valueColors>
            <cx:maxColor>
              <a:srgbClr val="7030A0"/>
            </cx:maxColor>
          </cx:valueColors>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Coffee Sales by State</cx:v>
        </cx:txData>
      </cx:tx>
      <cx:spPr>
        <a:solidFill>
          <a:schemeClr val="accent4"/>
        </a:solidFill>
      </cx:spPr>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65000"/>
                  <a:lumOff val="35000"/>
                </a:sysClr>
              </a:solidFill>
              <a:latin typeface="Calibri" panose="020F0502020204030204"/>
            </a:rPr>
            <a:t>Coffee Sales by State</a:t>
          </a:r>
        </a:p>
      </cx:txPr>
    </cx:title>
    <cx:plotArea>
      <cx:plotAreaRegion>
        <cx:series layoutId="regionMap" uniqueId="{3AFD04BC-0335-4200-A3F4-C2C37DB236AE}">
          <cx:dataLabels>
            <cx:visibility seriesName="0" categoryName="0" value="1"/>
          </cx:dataLabels>
          <cx:dataId val="0"/>
          <cx:layoutPr>
            <cx:geography cultureLanguage="en-US" cultureRegion="US" attribution="Powered by Bing">
              <cx:geoCache provider="{E9337A44-BEBE-4D9F-B70C-5C5E7DAFC167}">
                <cx:binary>7HvZbtxI0u6rGL4+dOe+DKYHOCRrUWm1rHbbviFkWeaWZJLJJJPk0/9Rsrtbkj32DM7gAAP8BUOy
iszKZKxffBH197v5b3fm/ta9mBvTDn+7m399WXjf/e2XX4a74r65HV415Z2zg/3sX93Z5hf7+XN5
d//LJ3cbyjb/hSDMfrkrbp2/n1/+4+/wafm9PbN3t7607evx3i3X98No/PCDa9+99OL2U1O2aTl4
V955/OvLrbGu/HT78sV960u/3Czd/a8vn9z08sUvzz/qm21fGDiZHz/BWqJecc05JlS/fGFsm399
P1LkFVOSMqIoenjRPza9uG1g4b9wkodz3H765O6HAZ7k4fejhU+ODe+fvXxxZ8fWH6WVg+B+fflb
W/r7Ty/e+Ft/P7x8UQ42+XJDYo9n/+3Nw8P+8lTe//j7szfg8Z+980glz2X1s0vfaCS5NeVn69ry
P6gUKl8RzoTQWH+RPX6qG4z1K4ElkZhh/fB6qpt/7UzfV8/jtc80lPzf/0oNnRhTtrYEA/pPOQ1D
rzBhmHGOvohfPdWP0q8wU4Jyxb9cB9/6svcX3/lXTvR97fy18pluTv47vefiPrx4b139h3z+3wMa
I6801YRRSv6MW4/jmuSvBFzhArMvuhF/7P1FN//Kib6vm79WPtPNxfv/Sr+5uZ9v/4NOQ/ErJqhi
CuPvBjWtX1FQmpaS/OlUj53mp8f5vla+Lnumkpt3/xUq+XE+fBzOntz5b2IAql9xRLlkVH7XZUAz
CCsqqP7qMuypyzxL0//8WN/X0LPlT57k/xMG+Of44E/slN76280D6HoEEX589eFxAQk+W/qjNPRF
dieffn1JhSbykSKPH/Ikify+WMCG+R+qeLTm/nbwv76MMGKvEKdECgQRDwNeePki3H+5hDFcklpR
qhWonb980Vrni19fMg66RoQqwSQTSFNIbYMdHy6hV+CYErz3CAmlwuRPrHtlzZLb9k9xfP37RTs2
V7Zs/QAf/PJF9+Wu40k5UogDaqYaoCdjTFM4Qnd3ew1PBDfj/5ONAZc868PF2HzKB5MW5uMjaXxn
AxDWDzeAOP94AzdT03QzbKAqEReqiUd9W04XpU6K5tOPt+Igyad7YaU4BRBNmeaMI/R0rwUP2HDD
8HnFzYKqLm4iQpFYYq1I3fMPQzXn6q6wmfJohzoyRGtiDV/K9oAo6vPmk+2tkvllPrICabnLXI52
i2rH+1IhVTZno2NDxE6R6NYTM+gqczeqQsupYJHNbpbebytS8sPgK3xV9bYq46XK+tYnpCV5rKjj
PiaTiMIQh4lqn3LT9EX9ptckn1wiWDtJm8IhGh+XYiFD3I7k4HBX/rbMZjw1WT/KZJ0WE7bNVBra
nErPq5TPYr1QuObhQ2SRiOsob8pYeeISJDmjlyyS3XpaeV1EbwKKStZu6JRnOuoSX1d+znbSuHLY
PWjkq59+1f4Xc7uz3eLKvPhaXf355z9ubAP/HrD/X28ei7O//jr/o6r74V27e3vEBsPzm46n+fOz
4DBfT3f01Cd/fBM2/klg+FIk/pOL/1rUAGcX4Gl/loDfRI3rAkqnFyeDuW3ByP8KN18Xfg0dEgPA
RQQLiEKCKI3Aeb6GDrikNGNIY6mFehw5yCtYccS9CgsGIQc8+o/IAR8HXoH10Uf4vxM1INA8dTWm
4EURBA7G4Fz0GNQeu3Xv8tE1Wtt9JIc2rpbCvtE18eUmV7rZlIS/C800nZuoK+Nq7N6ZnEcnKMgL
YkdTJ81a1Gk3sOa1npr2yozoLc9QXsad6autZUGl6xjRE4elSdgSyW21zCFWg7zozFTHZAb/moO7
1bQ5F8Gc0yjsMt9lqXdcJ2NoeGymUcWTKz+PaCwvGpBj0suujcfW9jGK1BrPnIS4ROup1ehK4IHG
2oVbO4c55rXbLGypY+fLz4Op6rSh+bKRVl1IOu9CKbuky9vPum7PA56us5kXMSvHLSP1+bisV6xa
TlEOd7kqiueivF06b1Pbr3fc1wcz4Tsrxbt+GbbWZCZxTUF/z3q2L50ScUCD3tghW+M2UhfY03f1
ZG4lWvEW5eEaufr8KAHfjCpltflcdW2UDLmvttQsNqVNqOMxl0U8hekmp+FatbNIFBH5iTP6LmS1
3uGC7fN8Oa1HYk9WKN4SiEogGIQSxssDKUaSzPV8I4rlOnTsXUHrQz6bW9dXt3blF7KgTsSCDRsG
DxQYlOd+uWIGdLVQv+1118cRqw8rG7N49kUTQwisYmJBUKRwWZxx52NNULEpa+2TMZrsqe/KZZNH
R1kWze2IlxCjZa1jH+wC0XHYdAxuiPr1KgzoypOwG4v1FKu8SaIJnXbSRslUF5+pgds4Ls/rej4l
oJy9slrEVQlPaNnyds18FhsvTFpqGqX1ABtNparSQrP1zPHqYJf1rWN9Fhd8vmkQT+elDUlbOJ9m
trxtp6A3hsx3yq6nE8nLpCpceVH38l05o4+qp5c6lDgRAW8X4vcrH92+n6ebtef7suw8GCrd5w3o
KELKJLWffDyO66mwS7EJAfSpKaYHLcES5tX7uCcNjbsBvW1zfKdp8HEzuzb2uTlgOd30brxhs/nc
oGpJkLA+HZv5hma4iOvSd1tDrN6sIioSjMsyeZA7bsWF1uyd7dtqKxi/6DiTW39cB88ZF7MEU6Ti
XSndshczmGOE54uORN2HKot0IqtiSV2UTa+pALMzc54lS894smg/7Xu5TIfe8ulkaIQ6macouqyL
xWz6tWsu26hbtqgw06Ep+iEhkaFAvQ0flsmJM6zqLgersWXPUlcXXZXqpqeprNdwm0nrojjviBG7
ivXt27rN3jZzJMZ0ZYMu44aUyVxkF6ytPzi6TEk9m81ciCVZaZl2fnGbns0FTp0QoorL2eUHZX0V
C9lfmKi4ai2zmxCxtzbCeTKMnG+mkd/O7eLu2paM4JVVsTGij5Vcqrhbtdg2ZTOmZLHZFfaQ5PMW
zH+tyJ3FtouHvuniYkKJmAneUmlBbwu4wLiCGfYZRulMmLpkSI67mYDRLbV8JyNxMZI+nGST+xwF
d8pEfXiUdL4Dzo7g6xH6gygO6FYDyATXl1ziZ+CsrAQbq1DbPZuiOqZj75NMzRcl78/XDIv4x7sd
seTz3TQkNMoZYliJZ/BMszC2YpHtPgdXT1tcH4ihRSwoBPQf7wTo+PlOFGgfCZshKGWfA8Eg5Uyr
rLN74utbnUE0PIbjCocloUM82BP4H9r+eE8gk77dU0ECpwoDnpTPZJnTVhdqyNr94nmx4cN0Y2dw
7IiyfYi4SY7Pa8x66gaIbj/emtLv7a0FR1JijiU7yuMRiu/qPKwV4NT90DiaVrZRV0smimO4OK1s
Ve+Rnu/CME/bOkzToZoG8Fvd0tgVy10hMjDX9XTMJ8i6lO+1bqKkGt2GqHAaBIRvJUiX1Axs1Vbn
rXDbhk/Xc5O/RbxoUjGzi1GZKJmt1TvObfc+51wkTEF4+PGTfseEKIPCiGOBESfkmQkRU+rGEtbu
CzJsmUVXSK9Xzer6n0iUf0+iDNMjtILKjKtnEtUBqxkugq1qw06Geb5acMk2yEAQboWu0kHV5z7H
zWszLVfSo+Z1kUMOZWv+uZ8gLh+hSlUDgMBkPs2jIYt1GG8iLS6om3aFgnDPu7JJ8rwQu34m87uc
k2XX5KTbzOVSno7IDddtPb+dHaT9kZTs4EvVbILw9pS15ees5CJuawNanJXdzVH1ObPrW5WP29UP
kLw7ui8Wvi+KtkzyZs1i2s2ntYxMQsb1Si49jQmBz9Yq+uB4vSQSA8b6scK+E2Eok+pYrypJuHqm
sFVGtmcRbfdrwA9wYobIxjsi4ijQ/Y/3AoT9jQdyBHlKKSk1J8frj7zAkaWUhi3tntfTNRvKQ2N/
FjAfPOlZDJPiWCsff2qinu1RFn3tDULt3uqp2w7lTBKWrXfHSF+udNl5lx1qwvY6Ihch08VGtuYQ
zdnvQ1V9VGJqY9JMLlamovupgiReaIhO3dKcY5x/XkWgG5mV9d5QscYVpyEe0TqcmVJsJtX9pjy8
LQaVn7ClXBKoXUOMMfVJr/tuSxwpYqp7shvnzseIlJ95CybYl/X5NNeHmudLokQFABUHQL+4S9q2
KJMJ+WvbkmLD6Hr6E518x2NBF5opqJcRYw81+yOltKTzs12ado8NFApT0ZQJ9L4AwUc1PHMBEigB
bqVmURcNF12SDQ7FK24ufQW2nNXtJhLtuA3ZGmIvsE3HAr0LVUdTheQa15O4yEYpkjHjF4UmUAo7
iESdDTaV1fIWkXC3DiguZflmpoAOdQ8P7KJ5Vxfo7QJALO6yottRE3a6C9c5F2NcObBP1kHgG8QU
Yh2xKm0yo3eEr29156bzHwvpO04COeP4wlRD9UaeGm7Ie2l8mNp9UG0KEGeOZYDjMDTGWZf/RCMY
Q9vquZ8oyMIQ1jAm6huf7BldKGFju3dkaDdYDDZVWXXIIFNpDPpZLZjkukCBNBEIU1UFCDA356IG
ADjaTMS21V1SNlO/0WJt4tIMPm4X9XGo8Vk0qUujmyEpNKD9ubU0pd1w11Tr9WyW00YekzGYWU7r
2ywcUWogSbWi835s02q2JAG4upl8pbYeVPpQXq5spmnJ4Ubt6oOIPKzowrTtstHHZvXFyazmq4ci
KGtnmwZf20M7hpvSQyGp6nxM1h5KPb6GG+dzFC9Mx5pON6TGV31UHigFtIblmJZtvaTH/0QNvJNN
R4PsxmmLmRs2RzcaZn5hZbgR+bGA4HUE/tRFiekBLaGsOp/7WqWyg7tdxN/1FQcX81l/pvl857xP
wwgCrkx5XlKoWfQMUJwZ9q4qputAmUio5fupbQ7RVB3Wpu9jl4MDe28OUBTvmgwyS5lPYJjgHSL4
c4P5h2II7aHG/GIappQStyTHwmheXbkLvbOnCpC98ewdceXP8rH4jnsD1uFcQysHLAo9y5NmoVVP
GG/2g1zu2mG6HhDkvQnKrIyDWx/x10Opbb3GW68B6T34fFv47RKGEPcVLOsbmta+rTa61qmaHJWp
8XmfEKLajZ7HZW/wEEGBVjd9nLNy07cmv+sjo887p4t0zSEv+rXQZy3E8mSV9IJEEGMqv7ydKMAt
5GiXCFSOyZz7OjYKkHUOhSHkw4JaUEgOMFtW442fIII64q+dgpJUj+Z8GsdrxsdyZ42YN6WradqH
9bQpwk2VNSptcLTG3C53Yli7rev8tYTqYF+X4mKCJAJF5nhDxXx1RPNe/pFf/5dh+24L8i+iDLit
I5b45wzbKdw73tXLY3bt66Kv7JrCr7SEeoRrKfgDT/aVW4O+MdRCwIZDbSQVxxzi9VdeHno0mBF9
bJ1RIQhGUAV8ZdeoeMW0gqYnh3EAgY6r/uAQr74giB/x8vgbMAO9AuD8uIbeAECN50gX2kCFU2uW
Hyac+SKhFMvXAefrlobW78pe6sOEPlZRmE+6nrEQV1bp68lOfu9kM+1oj/sd8iXQOY/E+PWkjzsG
nHxT6RB4uGPrgAhovyPyzOfngS+8JkqcyIl39lLrGl2qVYxwhijj4OGjfVNiFjFwlwwICqrjqJuG
pJn1mH1SbYtfD5ir3m26RTby97WL8oul6INPWDHg901ReOE2ZurW7QpkuUoNrwi6bAauhihlwkdq
HyAbpQzVrS9SbAKr59QyWbvfimXK93aOmiokmpv+WmWDWVImB9rEUd3qg3Ij3liyVJvZ6ZtejYUb
NzooerViMf6mbWfi4PpmirUhJo/HUPUfm6VB1yyjtoon5roqKQuLlljVfMbbKSOFOXhqTb0tgZw3
wHlS9rrth7QOedi2Lns7Z3m0c+XqDn1e4d040uGuRIW71A2fU1ENpzi3h86K4Ua25XyF9bzs5DD6
0ywrpsMcTVFayrV3sdGVuDhm8bM2L7ZRWdVALozYXkdMv0e0GuIIZnhsutameEeyrJMxGnk4j3Ib
vV7HWs+JLJZhE8ppPsvl+gaNubl0y1jG86pbGQ9B4Hyr6oh9dENTxborBoCLnK3JSFEprhHwM9dT
2dKkyVRzxadVFlNCHa7PaWsG+luVuyKecVRermu/YUtGgBA04WZBaI7bgrYns+j4zpim3XbSF3WC
nRiTAbo1m7WVeD/TrNvIVUcxXVG/mVFnT9jqQ4L7XLwGqfenStRuW0mDDjnAqoPGQh0KjEyeZi0y
7zpgk26stNXnPmDJk3qMujf9UK4XtCXzGZ2Q/AQUqdiyzPebpoendwB3EgMM1IaU1osY5M62ax/m
Pu7qrritwexjSLBz4sHS4nU4crFyChcwCDGd8jCMG8NKvWN9YTY+WgHsh5LCA3l6XfjGbQHLkzh3
ZQEm7RqZbcME1COAEybecfiQJJpNFGdKjxsOJegtEKZF0lTLck/6PDvvm4Klap7dnnVsCokHaPZ+
IMvqkkwW+AQ6S5VLbaBLkaxetstusoRUseTDoGLSN5IkXPfGxojqJTW5yY/VRBbd8Bnydswi40/0
7PCp7rjlmxnkeDLJ1Q1xg01xlteiPZ2LANIDUndN2FRtqmEqtmYhvIpblbG7JrAgABIGd7OGrj3T
RmsQ39rX5wAIsi21OksI9NLAuwrVszg3LJt2kzDUAFzQ4bVsUcl3srbipPbuN12E9aOc1nmThYGd
aFHZY2tMN2mHI3sBkTC8n4pFubhTYkFxk68tTmvI1DrJQxuW2A5OfmgzqceU926uYouxmi5o07GT
Ga/Bxo1WsorxBCz12WKlJ7FepunE5sLydIAg0iRVpswlt1Y4wCE5uRwMC6+Fm/AQr20xzfHSDuaS
gWPsAlFFFQc72WjrBtxNaedWcSEgHABu0KaMx8w0bzPf9tflSL3dzIbQc+jC9mdR7+2QStqjS6Cj
7Y20wIymeCxZiixcF2CjeuPwUhymlbvzQIriqiSh/q1rcHujuMdJvoxN2nSh3kB4huDLh7q+q3If
AXZkgHDjCJj7q6FcTPSuo/kakrnv9TWhQZUbiZoclNI5YHkYavS9W2l/WBoc3ueqMMm0QLcD+6nf
z7ZL10hELs5HW+wRqSYU+75gp4Weqq0Mk3vDqV2rGKjE4jUGOud3OzXltVzmBu8HN+RX0JPuunha
fA2khCyGD3ZBbRMz3EJ0cEtlNpkY69sCylscczxP5141k41zHADWLVTVJq4XX1xGs4/qlE8DbGdy
P32G+K6vdVSEbS/F8EFEGrbINVrPGMRmaCfR6sTVZN70gfcbiA3zSSXr7N1UTxh+gNFBnAcnrymt
4wXZ1gBbW0D9iBrSJhXv5RnOuc5juZCijtGA+4OeQ5mdTL4fT70S4kFt+0gVpw1yURGPFB5ywnIz
FOKuoiikQTHg1fqZvi2x706qTsorTQsMuzZ3pB80GCKv6eUcdWfQR4aQw81ZvqjsbgYSU8uxiQWP
5gR4qAjq4bbbdB2rLhZu5Y7ZqIMF60wuW3B0FodShQs+EgS4eiRpUywkHh38gN529AFo4P61I3Q+
ZbxnJhm6on3PuJ7uJmqG0xoGV1LX2Hl3xCUfTVTbO7BSTqE7J0sIHZWc1GYpsuJssNNUxJBO3SlV
/TzEnBaSJnhYJduMS7SwNDRO0+3iotKm8wrNP1F532560dcfmZd5vVmAnZwB6+ckS6shWtbYG2hM
xKqQ4bYdlFl3XV1OUTJOyL0vh6J+CxAO1FXcQrU+XUaI1dcLEm/qOeO7qmryZkOZk2vSDgU9H0qg
0WIgGcklUAzsBCCW/QDkvd/6MWpS6xHoK4NWigVnqdoPlPcNfGY5fSK4rTdIZOyYRF1zrvoBnw0Q
zsCLhmVN8hWK5hhwF+mgzvAZGIgk9S3W8v0QYZHyBVOWhEp3h0plkYzB6yIW02XOimQ0WQDCw/bN
dSiQv7BVtbxmAgN3YSZEUzFgmsfOkGg7DsN1rgMkaxh/PC+4LdLZgoudlURgnup5GIYEunK0jXnD
8o02xZRm1SLvQjX3HxXwRVPs1kgfJBvCEWBy4jZNBV2iBa+exS649QSGNqSNtR3FmW/QyuKuNCOJ
52iVfSyrajrr8cq7OEAcqRLXMsETgCfud1LJJXo9Udaw3QhJ/zV4LTA4CGwg22iopQ5T5SATsLJs
+33dgzzTOWRFBqmVAf6yhqo384wZtExlNBz5e3GqXA2BttC02ykrTHUO9HU9JxDam4uqVfNbR3R/
jWmQH/pMVTsrcmhj1WUd3TGcRdDkkX276wc3Q7swbxCNC7xCyuhlMe7KpsNXBCYcmoPqSg0zILL7
rFvEysSgHJ10qjIoae0UxQMdBbRsxr6g/lSohVjxBWT/b1n3pax7Mlz2uEIDYvVRNfLN2MSzGbW/
ysGHdV/rOiGgrqNUcAnDchrDDMQfUxMwe/UKBp00gjIN0Ko4svpfCzuYp4C2lISyiqjjcMQfVR1W
MMcK7Qag5mDOW8Ow979T1T1r1Bx3hJYU1HPHcTAY6npeOhlcuRaHmt8rqOpGvSEd64CPR91Urm85
H7v6lkWOD9sWJgMgUHoCcwVzAsNF6GPeOgZtYUuAQj/ogi9jWusIvCfoxgznhjddBGCnnnn3kdce
uLQ0EuAlNMmlZPheAg87Xhvo6ppbmKPqsjva0F5c5KLsOwoIrxzgKKzjrrkEHO1Dm+aGOygubOBN
c4ahYwBHzpsGL6fQjG6rz9EAGMf8pMB8OjHGhEaAdDUXTB9H7wl6RrFLoCDHQhTqPgu2rfq9b4Ah
2xs2AYzbA+b2ZUjWsoPvAxiUlSTbPrKo79S3D2zrXxQ/7C8llUCAUnWsvOEwT9nYtaJqgFm+8lOF
a1qXibcUMlisNYlgNsXNAYJK6gqfM+jds2jt2qsAxRh0XDA7EvgHL4p2qGNre6iILjRUunDtx4d8
yhgziSjMuCkwoeP89NEsn54R5kkimKGg0SeAXxMiab7KXPZbo5inKG6dF+JDzVHmT3687zPdHPdl
mklCOPRV1TdjP90I6NhGVH3KF7A5EU+oM8O7gmWkzeNQlWN52WbwnR7oaxRQevysg/yUeTg+NvQ2
YbaJaGjykG97rHwqIzQX9FMkjexpwgMS/BYcKfIndoXuz0UZYYvPad0v45t6QGgt4qGAOTn0k77W
U94TTsIJMFCcqyN1RGC886kCvCgBHMDgwV2m15a7ne27JoPJlKwZ9AIjg24GrfxY9t8+vJLQqhdA
2MPEFbD/T7csZJGZakHuExMBvHy7YLHiestdGAegWqD4Eh/cCFLvoW0hpfgA/MTk9GYqLerCTwwB
U9jtkZeAADSMfz04KoVw+ryxl+u14rrz0ceiBL4p2sOEz9EhmtkW8P0hoEzYyqBHMCyAg2ZNKJyK
A90xvmk6ARMqbYRd+0Y3RePatOfWkWuYZ2yHjz+W2ZGKenxK6H1B0wkxaIpDDKfHobzHLcExZMqh
fp0/zg7mbRDwIDUCYaE5UA5jWY5O0ZsOZkOPTgMzRsdfZZeP/66wMBYwxgvkxXHMl0Foe3oM1ZPB
L4OwH1vDI4jhFUQvQEPTgvzCT2nGIe4PMFFX3zYVbyGiuq5xGIaWoioCyrwvINoeI/9SwKq2XM10
yua6s81Pwgp+bmPwlSYqJAyDAKkPjL54Tu0BudjpdqUfh4yIqNlUfujMeNWvvuzaJPQLkO5JBPwi
XLNL39gF2ivrAjOlXZedDNqZKofhvhVGYmGsBzofcQtTjRlMd3EUmWvR6HxtEvgW3AwhkUTVgmH0
dtUGPrUuswD9jh/r/1mvS0Ji0wKajwQmGCHvwtjAU8m3yBdZNXf6DlWEiw8Mmu/RGyJqDup3FLrt
+ykoaLgkqGGOyFg6M0joEKwID4mn7Sx/qwIaozc/OdeXNPaXacJ3lgg0xDWAi4egBuOaT0+GUN9a
WRbDzq0wAzdsCJ+PkXxEjIz28wAsmBKJHfIuDDpusrWADpPnucfNKSR8IKXzxNbQXKVnhM1tha6a
jOe53S9AI3B7kc1ljeclyQiI+v3Q902fb1wFsxNAdplxJT5BMCk8NKlyHJXmjM7YUnGll4dMUgs1
RfQyaxvcz+d1XkzAntTjJEqsY1RBmtv3q5Blk5qo6sCHjZm4dokEmhKSZd0ECb9yYxU4voBxJvGB
aFeMJ/WDNEPRkIonOpoXsKQwkQhCiCX/Q9iZLceNa0v7iRgBkOB0S7KqNFuWLLWtG4Rle3MmMRAT
n/4krT7x/+0TsfumFZZKqiIIAguZX64uiukBfBWGm6IyMflDoqcUfyAa4uMRFZhYuG9EFHTvq1Fv
MwUhqUGy9E0m8mkw1dpDCwRILTcI6BXxHre7HFr8FyWNw/juEsIzP+fSJvI6J9GYxSdRrHjLefRD
Ym+Ii3nf1pOfte4vk5fTML0kqxnK5CELW8lwTs9IFNsbMD4K0zj0CTxb4B1BJ7LpRjOXMPMGnydQ
MoZuK1ZeR2ZtHZkrmaDyih9L0JG5O7USMIP8kobS7usXQsKxGHI6Qnh/WDft1uxLL0jG2gbzHEvx
uVOS0qGeaaHVf0IeS13cpJl38RtNfdiKBzY7Lj4vZTmM8WlYdESmShCS+a1G7gDr0GlZA+5t43y8
qwAM1ovV1hLTPS1qAK/c3Y2l3vSOU+bg+pslKgsFsqfviL4wApv6PSPzGLqGMy6WpZrzZVZfFymL
yFRAknOM/j6r465JrCVtdlfMfY7CaemmLDY1Tw3FnZ8ZtHQoOMtW4MvH1Jh61OxvSz6NGbmoEtUE
pCFFsplW0IrWHB8jHqHAujGyJYxctRbPYimjCfBd2qZV17buGTQ/fMfQO37pmU2uepLs17Py9sqo
dn3KVQYypky7h7wHyFFLZtUXjkl9xdp01RWevu59UGL62pJDnCgpn0BrJNuFAsWuXbykt4Ugb+uI
x3FxIrvLXC+anHUAXCWJDkXas9Ow9ubTPkwbOWHmbqcikARKlc7mH50wzzFl4laxqL2drd4Ai0FN
wCbeXtnVlGBQXfE5F53Emij6n2BWeTN1ooVtvSxNykt5U+zxfA584aqCUsbwp4uw1GxY8rPDn7wu
otC9K7+aC/YM/lNC/LqMnk57FcohPXcDWZ8Fy+IdYhmRMAyStX1xfi++T9GSwhs38xdXxP2JxBu5
AYbe9dUaRckd29L9rDa9/NJDzj+TKO1R621J+ZNCN7RVTgV9svHQ9WcRluhE9bw9acu262MpaHTw
5ibRCp52OrsCsnXJu+Jrb+MyXONMYH7omA1wZ4zYVN32EKkqOLjFr2JL87mJeKRu5hLadMPoNnz2
NhnrNJ3X21RvVAJe7NbvZNDizueM3OqMHjOUp72oWGvdjVfG35N8tNfFvEY3/Zh0MXSzfvpJnYNS
su8FeNkNZ7JvTkj3S0YQ1+Ke7t+1HlaIcfBSbsp915i53QSZAtWmMo3Y3ehvMtPKtiLIajwEmmMh
Ru6lti6Zkht4mZO4UV6qcyxMfIvUh6+GJH1NXfhBDAerSvH4WLg9zZxL0letn20OsWhNTizflgfR
MfUtCBB8A4nN1urKAG0exzrvW+gvEeym79bIFfbEtFyAsIPtIvP22UOu+qw7CKxAjLf2RXZBflVe
zHElvfE1p/CyqgGfL6mAbPIRD57vIO37wj2WsYbiu+x2+D7MAvRvS2bIbD30fGHp53JlxbWIVVEb
RfgNpGX2XReZvxt2qmwlVmbwpnyruIlkHVrT3mVFtPbVRMfyu4rAbTaFFHKo0kHLx8xlI+IzMsvq
st/zq42u3SNqHHlKXKde4nURF2s8vQzCZt9Vwl/csA8vu5z34iIFC9Ug5/ZXwIBcui035rSmJDxv
qkx5BZQ73NKxBRXVQdnPSuj08FBTWrUgrF/KZSvfExBzXwbF13e72/2XwQRvEMeJ7xkfkgvBTtFI
L7fnGRxRlbrF3kVKj287xGHwQ5SjqjU7e+gCYdjLPFYkMvRFhF17zK4AR/Fa6GW4jEDBX1AXJ/j8
Nr6hZIEcnSX62yS4fCyBmF/RMJXP86yAyegB7hdEedAMy9w/LIxsN8ow97hohI9UUbAfyWixOMQy
2AcGof6Ec6f7BCjM3HqVu+veAXyqVlMsF57NrOlkhtMp4PTyeo8Uv4O9qD7v8CxeCqzb3+RebF+w
4bdXeNjy+51GG+q/rD9PJU/vejfRpN7mcmqKPYAgJajjz3sbrY/jWHSPLVwBWZdiImcF2/Sb2Axr
wYLsoOpLZm5R5I1VG80rYgl7OWPNnv0pycfiiq6+rWH5sk+FbZNLZ1T0M+Ix6ve7AOcRgbEwe/BM
TW7EXBR3Y5rYfDsRxJonUECl4HcuEu1jaej0EAEDfJ029R2/01Z66+mrnlHBDCYfHnw54OiaCtrf
wOuN30yEGFw9dY7cB5ublz62Vl46wMmsLjua3zK+quIM5R/m8dwVolm9ZvAHAIE0RbnPeTXsYFuq
OeHLwxppQm9DJHOMdUbcpu5kad10pjDW3PXCoCQnnkXwucoeVIpX3XrqQJU9DW1v55OakAC4nftx
7ZtILSlOk5zT6JJbrfcnQL7KdJej9CBNKf06rSNGbXXtgfcVmZpqmqNyqdPZcHs/TmbQdWJo+8Xl
OzIUK5myOxx1OG0cRYl4u+GAu72mfbcXCusIAJYU4DBpl6jlV3bL8ps09mQZvoBu5FC2g5ekNDcx
FjtyXbDOhoucwqKazurUPJdRO8L7itupVBWiAS3CPrCl/XOfgH1F8INNn9cAZubisiQMSKfJmNy5
cvBLHStJ8vt8wnLa4HCxN+uy9zdDvPV1RvPxZouC18OnKURZuScY/oX4uQGgMI84JAURp6AGNzYU
WxOyIZtihOf0iueh2LWsDQ3xfGLUwMg8EgVZNS/C7zBKvVyqZA77c5YbsNJLz9L11Do45mMPiRFU
Wu+vkhZIe5MVpIPkDpuVXo+tEkA3TZoH+Lw+fMm2eHuI0tLn8Gw501XOxkTVIbTZKxWR+mlLlCaJ
EiG+rCunyam1HayYGiVcF631piOjM1fBlH4KEVtzFGamCP1UYyXd8IIVwT3f/8AiJIvs1IlJVGkr
qS9P45zTvDuJGB5Aek8jm5mXoVhmfjXIgn1vrX3b9659aTvx1sLcHSocE+Zn5/LhxAuuLgSbB8Ei
kalnYM/7LRzd6UElCDTZTpW1kGIXFdh3glDlnM7PapmyRilkK03RAwxXdpt/bC3fz/kK/EG2nt+L
EftKTb12stmx2bDHEt7Lc54qpZreFvwIAmHCVL7t3U/kJMbPQsLbOek8b2EjLeuzkXprT8YDebvO
lrnNqwgUyfW8DrKJFzmd4Rykz8tI6KmEhXM78jS6j0fPwHZltl5bTeqxxLGoiWNuvy8GAQs4YvFU
IRY5zQ0prUSoiGbrgx4Lt10L5UBqa0d8LUdYGizTVlTAIjnO33O0mGud4eJOAdGQ552jSwyP9SQv
QwR7ReGhdCAnR/WAXR6bf5+NSBgNqC/wEfgTdp3+bI4gmllE9zr0LX0DaOPPfqTlZSXlfM5FPjxG
A1G1nbPuK8zQl2kgOEnh4HbOYz58W128rfDU1vVbQri6MXHCfcXhaxc1zBl2wwUsvrEl/Mx6b+uC
xcmnAceSG4us74+xS/K3kbf06wij5M7SJWlSIdfrJLThdc2neDzWNC+qZCDyPuM8Qd2KxfGYhOwH
G2ccxMIyH7u2j/X7aouoRxam77FDzTiyXC/p0q+1Vr1HyGnaEbaDRT/QOpmwjlQZeJX0fhI6fu/A
+QAERhYOCcIp74p6xN+tlyzDnOiCSK/nzMR5gyO8nRRqrbG9mcW6/SVwauvqUSQJecPG6xQQ3cLZ
q2gbs2YTQ3TVyzR+yQbWneluR1P1IRKf0tQP7wYYNbYHnDzPq4FsWa08Te5goqlbEXY6AbhESXPn
tRHvCDT6vtZMobDt7eR/bFvAs4KHEuc0I9KE/UQMDD8sB2tPy2CTG0gYCC653u8o5vPU/kKE0vIz
cl7bLQs4v1URypGtQZA3ShFkm6GXkN2mr5uepm+5sL4edaKbiUSSPBiX0+cNp7zyzDfUcFW2uW66
OBRVN1j9FnfysgNrIH2J0lPtGkBE0jkKW5QnEFPALKXipISFOiu1wCQCYTV3AxvtuQXcKst5rIcR
RRrSjjjG2poH2ceoqZOF718XbZbxU7xSpxucKviIJa3M1h2hRgpkKFwimP4L+5SZhBfVSGWffJ+Q
UYmW2kaFB+2Bjj2jJ/djt2ZrWeO07Zk4fPRZG9injqSh6ZBaLmCuQwljoVls4PN4C4sbkg6iVziA
icfJwu5JKg+JrDRnZYTsv7btyNa2cXhUcovlO0kWkBlertl2blGrLdemg5X7Hy0Re0lP3Tj283JK
ZaDjMydxlNuLiIZ+WxoVWESGxwHmC+4Dgty6NwOyeIvzFhIhLv/XHAFuxzjqYQkNaCiffk1xxO2e
pcdsfYtEBv1gm0rIDFFMuRe3YL0JTsIp1nGchPEc7qCNGCc+u0At3fG8SYqs2jcjXAereSlc2COc
bPngMmwRWI63V9NBUCjuNhSU/oEMJQmsNq02crzs8Jdxt7DlId7znhRmsTOy5JsJy21icHl7hdZO
cazrLAX3xp+TDWmT7JStwN+TG2KMhNvdJP2GGgdnh1aeBQxOrMcRUqpjOrX3AEsCSndRYsUMSNXp
rWCXfsvnEMS5YzZOZI/4gDKA707t4lk/nYRzbC2hHSxrcbej9CtOPJoyDkPc8lKYijJZslMe9oRd
VKzmV1GY6SXaVxDkCCiSomIGzw6gdHQHIMuIKgvKYafGE7g4kL5WxUvuqz2W22eYLSb8VihvSjDR
jylJ7VUCjutuJTypxzgz9wMNYT6JZN6uN1uSSwK37XkAp5FfS5RwcN8XERgwdTcuF7WRuN58IRyC
CsSOP8VO+Iillc28yrCPmmZL9vCke1CXKBCi6YQKFCdEPogUuErGtrkBE+zfo537ICraOkmfChjQ
aYMOZssPhZCEArttcTRY9ghwPVED7U4oJ5S+Mh2CKz/byB+KCypqcCb72LVneFyWR+fZ0KJ8MbEs
l5oTtq7g6oi+onrNv00WbQ90nfO4XWsIiv1Bx+RBP8xFRpBLJKnZvurdKQBfSvC5QxytlBYFEo1v
GUKA5UOLkzfIG4k6/N4Lwzyin2N+yscMAZZWr5XeTQphGuSUmAPg7GB0Uyzgyao82roLNF/cmNy3
QPZ8Ia/kEeWuDQSz930AUicQh/lsIrLiOkFKZ1QgU4Wb3bASwNtpMKv7FQGJgHg4iPYuwjKs33C4
dN3nfJjVUXUlcX+FCia7USxP+3cskUjcJJYNT2De+L2fo/ZnCzZKVIXb/dXGuYEysu+9B7dA3Evh
U/PoFEiIBwELUFYun1espvkMWHFMyycK+TBvymF11xSiRd+4pO3/ApgPDzYdNbta2DDU0qn0WfJ2
PW/xQr5mYLyqMvd706lpf2aJ3kMF7yg8wI+O+yY22sIQmxahq7K3pb1uM7VimV92wDEtR9yjcMAz
KqdwGq7FAqLoDGo5AbaZwJRtWouEJDSamUOF2UTOTZW0WqIoWIK+T4wwd21MEd4jaSuQlN8m8cX5
fEPyeFtwlfOY5W9MdUWLaGzHPsnoqHg1egQhhhqF0FeIdpQwFkbZdw029MFBFrLucZ+hAFR7JkR2
Gi0Shk1C5v60S4/fQcRPX7eezKKxifiP091yirn2tdvS8C3HamFv/bYo0UzSFk86VZvB26WpxIGg
hwo0x+t9MvH4FljZmL+XEQ9zpSgvb6Ooi9/D1I+gXoV+TGY91LQv4u9wFMxyWnRehrpP9QC9GYhL
aIwLoF4nBd7mZLq+mLD+qmRC4jMO6XnLXPoaIeXjH6BcjcjLsXUO1QRi7ltfLm2ogH6oh5WXmpxy
l4Li2ctYYcvkJJ1PMx26L8B8lauxb6KqQ33edImSxTFu2SeXOMjQSbzyhwLxQGT6FW0ra6ZviZ7X
r2pb16pDa7SnfMNjU5StxZSf1Lc2cqRFbeWjGnwTvVcG1oiG7vK2tCa6VgMe6kb1Y/5pM9t6swFB
qnEiH++gC+RXESfFKxRjsFft0mbvIt6Tk2dEP1kwXdejXo+UjC3cUa2R+TotF0g8udbFlU66JWvA
1qJwmvvSX5Y0ttMTSIO+URC3kLjWjNUySQ0SYSW9XcLancFT068dD/5ryTeKaKkhsJ3T8TQXE/8P
0AHSsJRtLwXK/QtlnL6vrR2/EvxKWkUeAxcn0Vc1swIhmai/CNCWlS/M93Vet0dhSEDOdFsJxXOw
P5ZtNKKioWy+YD9A6sUUGpGvPL2FihbdORmrvwaIHcBhcVCR6H6Ddg4dXV+jYmLPQwfwqGZQ9a+F
WGi6VoObQPL9CAbqvzqNAnqQescGNc62gdHNQ/4VJ9p1Fk+K6ZWliJ8BSPcnjQi1hN0vwY6ACPNh
mCW8BuTP1k8shMPsdbE/zN5kJfBAr4npkHW6RqAqbC+89y79kS5sHa/A588bqzlTZAOsZ1PmFBav
scze8nmGgT2UtAdWBHyQ7igbCxIQVBszRfy1ATHJ0yoDDXJmbHHFW7Ysh8suxTh50Op52qFFAeq8
ZYZKGrK2PUnJ2tVe+xFl/HD2ARwJHhqEeFhaBduJ9ReRUch1k0HWz9uTFi6MXVftfTsCcED+nsLc
wBwEM31ph3Yn8rNNig1HmD7xmVKva+G4HRq3pwXOfXGW9H54GIZVm7UBQl5k9EREYrR8N+Nuaajw
V9DfoXYrQ0lW7aLDynDFwYIMZQ3F+rgSlrWknC5d620u/zJRu8dp1fMCEf4K/eXyzN9Gm8aB+XYI
mk9Z7QnYXfsvDMg/3X24hmjClcHfR6cUmHTwZP7pzfVpQOap7fOf4yoOQ2PGbcLtn0fQzKh6V9hS
/2JU/hOsON4RqAnMyoNvOBqr/OEQQ5xDT6KuXX7NH+9o+1TgoJWki4JfrfOOGVVvlvgorrse6Tf9
L5f8h1MKpiND+YA+M4QmSHdAa//nNaMqXaRdrHjLIa/DoREEThViXNxgLa0pkrzHA/DhDk44Z+Jn
5jd4ISg/PBzvtiSTZ+OSf0cf2PHm/88sPT4cWtIBOUBgMSmgSP0xPFC6NXa/VbwJBd4AijBO6+w+
pl0SbhNtAs46JQ6J++uMWR7yCpEOJzsEW2OXPbVy59EVVh5k5tQhsTwUPTotwU5idkaqczTpYWSv
Gkc16EjHse1JqGHcX/cpG6FXkmk68J4ePjWs7BVBf3wzQTskJFRn7+FyJyked6TydtJuRSNQc+sz
1CSP3xqhbgDFkr/fvizaCJHdYvXgbasVniQ+eR8tB0W1iXQev3sNTlycS6uoRS2x7tudUiN8HmQl
VHxwi3z2Vy0DhvRtKRbOXlGqUpioedGCyLJwlQFz/Xe3+p+Pw+/Rz3Fsw8REYg3Ng/6YGlgd0XME
mu4bcrka+6KPSY5ixq3DOl2ja4TDFP3v7/gntxHnoDZiGA7g90A5/fmOWhHduTlx3xIUnZiMzrDD
G43hzQNzyqyElw9RHucAaI1m0+19/mE9/vePcYB//5h3CRo54VFHOiwm6MCR/HHlewJZDLrl/Dqz
Zd6SaltNGv3CIUqC2+hQwtGT4vnaP1pksmECC4C4LXogbTEgdaTU3YSjT9xKNO4qMgSQ1VQExGto
Zp+2AjxxLdPdr7eYRNB4BlgEh1PFM3pgEVjR7dNqO2xP13wYt4ORsCxNPsVxnItQJaNKvP3o2PXR
m/fx45H6/9NdfxIgaEVXEIBZuGpcbQJ68p/LwJjxbnFS5y/WLAS4H8S6GLif3Y95CxSZsauOIhEj
UTGXh8YA2P6YvRE2xeOpQD+RmD9znx3fjGUPL/iqF9j6AZNIJLHpWSLYhS1lT8OIp467+aAPaShm
PJ05lXiM/uUm/jPvzBBvLQCAAO9IcQfR9vKP1VzCh9/XYYmRnu8SPFubaI8PsEWJOR7d388xGokE
fDbe+eMRx1p5LClKSCA5UUcBPFKfHt9a5ajH70Ccc7RqcqADoG4FqF4PXHq8qu+S4xJDO2f6PEa5
Ss6iUDbRdQBZg8v9l0v757ZxXFoJXByJcVqQFK1w/7i0DcJhPpk1vCSotTD8m5KYWvu09+uPjRQj
9K2woenUax4vB0k0RyvFDfHZPLXhtM8Z3dozOiAZ9wKeT2E4oAgnmH2J3bGaLH1UYooxN4ljdTNY
Nq/6GJsPzslgt/CG/cYJ/gUalWIoYAFjKLYth4xQp/Ae8EgcoXz862N8jqVw/P7fB+GPZ7QAWAUO
LUdzCQC65P9AgdTtLAuZjL7YOQfgff4AAeOu8HasweBiV/0XTCr+Yzs63pIlKYkJtiXwF38iqmRY
AdsJn3/RhmKGQJrbMKFASWF82CAYslPcRXCJKsSaQHVcTZYvgLuw6GGUnPLT9ohUCopE6HqswGKA
B9I+wfrBq3CMxYO/+QUb1d+3DfHkBUPpp2LBs4Kn6Lgd7eiPGwER6yjUyjAAOyEopvFJUqhd++uY
wVH4NzoXPSH/uSbi4o9NAIsERdD1/7KnAOc0jGD4HRCIsgkBTzMiXc0d4u8PIAqYCifZqUwUaO4V
lwPy1Er28oZMJvFpJcCFRbeqnSN2Dx0CwRDp4Pz9gAlPrhw3LGvGHDHun2yYdvU0r9mM9u8QZt0n
ZinBKbsYlhKxegQgmUZjCJdCkVCy436tspnM9C4hipYNpKmS1oPfDEKoaMUjkQzqFquAWrR+tHgY
7K5cmBBmSAc2nMuYGvacTVtgkGQ9Nc5cROk6ykG68RYCUgdcaKrzfXL7DgAYU1GgvA44jkNbHbKz
LfMWYvoc+f2Ly9a4fzVsaqGysS2mdQDJu4YKjQN02ZRHZKtuobNdof7c0PGRIFTOETcgF+poF5/R
MqboyEmM68xeQmrbMUIyFUDTFw/ma7uP9LZET9gxcvMzVVmmXvbctssK232lnf5c+n0aL7wHB37e
YdTPiHGMaxJ3dQ6dWBbvdIZB9LOLwf/4BlMlyF+l2ZyDdzA5TQfIJ4tMiwbEZIpOW3yG6P4ABiYa
xwukY7ge3a+uWBIE+2tPk0Kx+z1ZLaY03H+kh9ATjGwZOS0LIl75tSl53013S+pHgGiDbTdn71zK
274/c2BLJn3iCzTF60O1b4sz5kqG5JWw+6GjTrroXQnjmGU4jXVcQYy4dq2OOvQ46GfsNrB5oD2G
xorepF/XyED4vMbkcBGvHRQEkNhGoOoq0XkrQW+fT1Oc5/iyfXwz6hFZBNlWgn8GwLRqJt93g7ac
9mbIFJTzK+qjKM/rMKSjyS8g7ug8VSmzx74IKq3H5bRJik3lu+cBLV2REevKtP0UnHAif0TDNJxB
z/mYRLG4Hk0oC/spAwPSl5Usy4PezhU6R42vect5tEOVmzRGKgoSS/Y9Vm3ZpbdRwlU+3dFe9nR6
HAYHwewE1szp9vS/6FsSHx8pWJzI4xNpu9DLhsCLU0WzINeULl/jFiqqxIke2cwX0xZS1grEMEY2
LkyPHaSG/nr8EXx+lCwV0oFHTY9wNq6+Fh08o+w8dO4YsWTaRnxZdbdFz8ucH0s+s1tb5HXpthUT
YIcOnV22Us14nfi41A4YEYZPDsfJCHuJ5ni3qaMQ0BcoPbgvVLAuTv+ikz/GeWEIFW1NZCKFWxEt
QA3YL7igJU4cqu9RadWuoCGXdV90qYlwB5mR5nUbFtMvGK+o21cwBTuj/r5A0A8fpcedFjB9MbPw
Dgl+JN955I8JlqnouPNQ7/E9dDM5hsZaBIxhcm2FdPgMdtF42/rv61EqSeQ7ogkdvpeCqUPwLGW8
RDzOlUDlK4F8Lsbi79nDd32oCvkQHRcHa+f3YCBUhLn3d41bpvvBU8aJThGqJr2Knv8e6ujj5f87
yB+vA1ONxpN5DDQir+kCN/IdLShEry5IaQdctIx3/F834CNC0STPQJXbFcnQjxu17hAdoABsAYzc
NZThALGBjvD2M6TTzYpRsvE84SWxKCk+FYBwbstqJOEoets5BcBXQ0QgEjLe7xFc0dwTVyg/rqmL
e5zR0JVnyRy9gghzcMzk49Z+TA+QRxPGJ4MyiC9pPh0X77PQYZ62FLI1CgnWZfhmWEEJdC87etia
DXxilxzD+zGRdhMMPiUu8vgrtFeQvHE2yxPMLr11x0f/GNBodzv+gZQZmgacIpIu43ANqSH34tKS
NMZvux6KtL37gEeFdri/vQVy+U6zdsH0gWU4HxevLIrdTxr08fEHEcHGF2bRBhUjspDjcZj39Pj8
i8nazr2YI3bdn5cWgO1zJxPaJlejDjndbpOPudIPutzyy99DDm9R4eP4D8oUO8CKNx9EP2KftxRk
DnlB5TYUSBnLaEOrL6LR1xfW09DBfYMDK5ACmeBLQk744CzzFbItSGPsr/jeGEyGZjsjikUfbpJS
T3692tBbbZ4R5WMTgtpct9CnAEAi/Q/YT2p8QdGYTg+IzeO/AbRv9pYSR0HnSqSepgcLTxGigFMD
3p12UKJes4WjK8OJh/2Y+/BNs0OXSqDkgbBU3WSK0zRji51PPlqgxUKyxFblv4FeHbDegCVex/Hq
7+ANRO5ODWfTTTjv/ghMsyS5EkOH4bgkv58ZNFGeMOoawBHfX5OuWN32AjKqc9kVbOnj0n3ZagwR
2qLtI64IXfR0esp2cgCqG0Ri/Ix6ccwakP3HFP9ImhR6dPhtauLjerce3W4Bk2OC4/WyR2gkQv59
hy9YohnsUqLJXh+y+T6ByIxXZHAgMaltajSyBx8iy07TCVCyWYAmx9ctlzv+xv4RUuA4lgOOlikb
oT2BDsbRd55xdlrqbYIwkd5C3z+ep425HnGldiw2LJVJxqFDP2hIlBhmnPWOwTN9ckgFsUFMfXkc
JmjfEFTDhKv85lCeISPp0IALjUzLZDjiHMCesfwgF51kMNwA/Ad+8nwAXXrOnEgn3UC6oBkD94kD
7htr0XkYFjf2atz8PWI7rgrcxrFtzCk/xhyuH8Xk+xjJYQNw8JD0pAd4DR1x5vnncTcuelYopqEq
7LCoszest5hfkUOjzXAZGDmuAfBxhMUfx8tDpZrghx5aALoDOvGWlegmQt/RDjWbHrJMigAWIobH
GP0H2NvgOcTRMpnSSk9ICqGF00Rz9Yrshhu3L6SVQ9uCUw5J559cjtpG/ixtbyUweg7wGmwyQPi5
rKN41+PrzkzM1spgd4BfvFG6oqbM8xQcmsEsn4cyri2+CccZbb2Q4fPN31fycS+lAMWYgmJNDhSe
/2bV/4bpS5BDmHWo/o+Ht9fz8QowURgzPvwm4lNKIrwC6MbxQp5AnZhPOLkfKbB+4gKPcotqkT/s
W6DiBEDjkLHxqY6f/D1l/4bk0/z4kUYdkL0dy2nU1soH9GKqaKxI8Wi6vEWrBEcQ8n1jYedlfO3k
cjzlbbQfcqBGog5fGMqy7RpIOeY3I0hqPSDhcXzy8TffXX68UapKbGkwAnCzP05sSz/s+YE5wnz8
PH4sWODXjr8sC3rEdqJJHiKkRm8CxhpEuuWK/rwICkTP5kMv3Rzyjvamj9ujjOuYx3vkdjo+lvn9
wEXriH0EQOJvCl3ERyCzgdN/zMn8f9g7s93IsbPLvkq/AA0ezrwNxqzQFJpSuiGUKYkzecjD+el7
UVllV6r8V6HQNw1024AND5kxkYffsPfa4WxkycqOFVP0TZzmi1Hg5xeCY2Y59DLPWdwFlhJaehEb
Zu56fzP4+tLQM8vhfOAKZr/HRPhPBhzANxSnmTTuYlATvGs3ikbuhqHimK01a7mD4F8vd1ef1Mt7
/+teepmj/mHOurw8c280R0sYFa//Zc6KPLrSBuUyqvp5NKbMgJfvH2VhfvXXL/XFasTdpCPw5bUY
WfGvztLW/wEMOHhZzbJXlL9fI3oGPjSoZWhZ13CZlived+JlCN4lKb9whQyH++S3w/Gv38uvIwRb
17l+PMGw33FNk+vc+PW9hL1pML5No7tlPu+8JLZY6nF2ZS70lorS+e++5z+/INYfBgeO5wNRsv0v
c8UsbnSRF3p4/ikgiTKe+Af30ybz25391x9QLGO7//ywyydkdkvWBAJZqFVsN379hGOeWlHZ5s75
txNjQO/JRTQhwrTt7WgpD2W5DOfmthvQZa6LrlzO80+7lKZmi+fR37yjX6903hGtlOfz8EJlzc7p
q4Fw8nVtcCezPkNjW26qgbqOe3zs2KnW28TrE34C1h4Td6Zv8nCgtNDi5Y2wfKu7OehrOvutjRrb
5lGOdQRCOGpy/u/cH6G4SqAcmnUw/HT+yZ/H7F9/iK8/Iz+cpZuke5BjBDPmK/OX527dGpCZrmKV
LSfT/FkISWWX3e2keZ1FXNS/EWb/ZTr7317P1vkhl38Ap/4ynHVHqhHD07ur3x57YxSjw9MrTtYK
j0wS/aPRmq0z8idSg8/HSgpk89fjwEQmLMo+SXncLBYqiuTl13CznPuiVPXywPjrD/jr+cN81mf9
ZHEH4ty3mGh+mWcighqThqXyHohek9kBm1HXfHFAgP/tLfjnl+KnY7vneBadvvv1sxWhUUxd5ET7
n6VIbzMd4TqCksS/fX6qf0Rz+J/SK/4YXvF/lJWxvJv/y2IwWB8sB9G/r/A/8Rzulkib/xW8NhXZ
cFyb/wE6/PZHfw/CIB6Rv4plDOvJZRvzO9FB80y4DTyvGMj+TvH7HdVn/wtZE7Y14mAci9aNa0n9
jNAxycjAcmPDrYSFYrDy/idQB0Bcvx6ubG3RlnFb8neyMuFW+fVw7VBMlk2aVHuW1mLY+HFmEhVQ
QgKLl12eU0JbDcoo9W79xJz7lZGUydXgsBXs89jz1o3ZCWiSifnkYNW54cFf3vXKCWkgxHgjZ3OQ
e5cTcC8btHwr7iH7IlkY6m5WVghuxswp1gjR0MCg7vXNEzDu+CoTFVD3nMfvsZvrvN7UyOSQf00T
KOasc+JxjbOn/FBFx9YJSY3FxkJZsB/S8SaLQ2hkFfbJDTIB89iwAywQgNtluuakM+JDPyrsedXk
XBq4SIiRMULz0KHDpJBnYwXaVC8BW9X9s17wpliAhu07ryLAzlglQ8OwK5W58hBzxvzF+bTxJ9s8
jCF88YB5ZJVt0NkRlgDNw91AgSs+En7wvR3a441T2kO0wQUavs2OzUw9Q6P6JGfN5e/lnT2BsVBP
5aBnZ+iE4w1u2Ph66MLyXiqvum5V008XY41HZ035zu4tjF0PBVGBjSfQBePY1RxL73bMeF81hFfq
UhGGBYqsBLW1lY7u7ZzM8kVEnncT5uCGYefxUF+HlBDl2s+Haut6BfCj2T2MspDXyGP9GxsYQXxK
kTzsFd/ftq9q/4R4ut7NcTyc4s43tmPc03onNvJ3IWrvVgP2DUo8Bhc7efa+EIBjAcGK+7DKrAPK
ZvOo5Qkos86trrOm5qCerWLaOG4qjrB9hqDOs84CoGvYaj9rRctnFubWLJP6+wBk9nmhBjxJ5KVm
4JNP4QS4KdUbXZa3wTUKCA91qn87yoiCAXTuHSDZ6HY05xGsEBW2H9i9+ULKhlJYJTWb7i7Whldv
zlB0K+GfJGq7aMuTPDpaY1om+5CB2nzougnieYI77GSEGgClwXChNOmjV1Lkm37aHlBE2sxYBtmd
XXJtslNsjv6N9DTBypCp90MpJusyxuc6RAjMEfKuPBQos41jBHDZLhon3Q/xD6cDG1ONL6LZT3ZS
ec81qMyVBm+uDlAUmiG/jzb0K9Yh7LM3kBi8LVLC2ej2mH+09tg6SJQOeV1PyZMhKdeONv/Afsnl
882F7Xg3DQ05Fll4yUOrv0j6Vj3FdXHFEDA65WB//R+preH4WhlmUVnaEQCRW65dI9cfWLegqpkn
jDdzO29C/JFbneHXij4up5WKhsekRUqo+XF1qVAmodZpz2kn4nWSSzAbbsqGEPhVPDw6Thg5e25v
7b6MzHAHFWtu6H7MQgYUwRI/goGECVnCFpCyit7skvewn/RkxIHYGd16akdUNp6eHqoOVREornM1
o0NOVXhIe2SmPvqF40BVvnFHVL9Wi2yoBg1GZIb2ZgN8rPOwCepw3o2eSHdTYgjsOa3LNGK8a0G4
rGkld16b2o+MRPDtdV2HbaKrrgdPh99kGqu+gVevLZLfyELa3tPLclQ40TYsVaCAJFxAO1Pv8Kzo
Lo3wmUXtsB+HOr8rHQjUaV+xcl3kw1au+huBHH5bs5FGmR9PO4uwrKT2pl2Omy6IY5UD08gEmyD+
lADaHyRNA90u8+bnKoQdOeXu9Syby5ZZUiANWJeZWWEECEv8vo6mXzZNOFw7Kvfo0qvvIBbrXZkI
b5OEjB6IfEuBVNkqqJiO7OcK4nDe99oxLRKcYgAnV50bvVSJgdZTgCfP3Amtg99V0IOr5gkf3bAH
y9c+pF3TcmEM2i5qxo+ucfLdFKfTpm0Gcd8LI3wxMyYAK1hi1rJIgd1JwrB+6ByQ3nuzsOyLsk5Q
l9B7k7UUVcjwusw6AiLLg2W/cdvJ2N8laBLWabHsyG2r4KpwZvdqUjVm2j6bk3Tj1Ul79vElP/o1
CkmTwc2GZ298Nfte/b2ssgqAOO6yb5jyi63oIN5D6vG2hWrxucy9fEYNrD/5TaRtWsYVQcV+86r0
jOoCX1KzL8zCu0V7UV4qZ9Su0VawFakLzER+3W0jBU2xMUIxrrqxzcQRX0d08rPCY0NUoi/N24SU
tMwA7byqnQRO7IDe02aoGfSGMK9MLI/U6vGIqUSWyc4lEW7nSixmrBfQXEIAodfotMdW6uqJK66s
10k3yAvdbM5OmFa3JPLoV2aalWuv5Zvuci4Da9jqOGJYhpGsZBhsHXtloeMM3fTdVFbx3hUNYRnM
q+ld2nCweQ4607F0eWIH6VTba8dOxEMVd/059jPvDXFktJE+FoA6NF40v/sAlhZ9cwxnXGmIOnGm
2A8lHdEl91TGZDvrV73gnJunOnyIGmtHCsoLAMUfQBjsHSuRdjWHM6DWZPo29ZPPcLiinHeb17rI
2Yea+iGLx2zTCEO+RyEDqyzVsE55Zrrvja6sAmOeGMo5objJFYjeTA3ZbSmcqzJqyxM5HN2maA0d
P1zUJ22AbXeQGyWK+Sqiv97IQr11iGnJCqKUor5IZhO5p9nne1ekM9Z2nWGDvxyuAF6XYqb2ghb0
+gpMhLmJyzB5hQBwrxlOtTaHWn+JDTfZVyxi3hvRnLtefIQgwr0mwYOquc9lTrRObbfJbsx0nNtT
OJ+k3jGuNOvnKkKGPuNlHMos5OyUctOXNe4n9Nb7dJyKg9nLg03Hs0od8ZAgjzyxkgNpkjhiy46T
PIAUNLPU013T4++u2vHOmmOF5yguGdPYQRen81tL/QlKBCgy2Tp9kCgWs6uwMAGwTmW/sZ2qRaKr
iu3YVQigNe9HGBnf4NyGzzqAxWvTJwOt8OzbWrRcV/aPwijEIZk7jGtxIi9kSXBWVxvvbjEE1AVv
itFKvO54S2yC1LD3ZJiuFMjYTVJjFuo9J95RsbhnoU0RiY9DukWSOl6zFAxvsD8fG370Kmd1FOu4
mZUV2K7kEhVetJ7i0Vg3IhVXpkwfmFQ5RJ9Bz5NDYncr5ArVuYu7Kkjhtbu9w6eLqpXFIx2yqXLW
ypnZySW7pdisRXkNazVaVmTY9aoPO4n2NXumVazp18Ber2dQqXncqqBRWGxl8dLkPiZ9Nd4PqruR
or2GaXpJtYZJy5mJw2jDEbtll1EDgkchejFe4S3CmWebpFyugALYpzLFPOwUdRnEsFyNybWR1mfF
fGPgVfqZtfCPGr//J/MPaa+Y9/zPjd/lK1uFr9mHP//Q7y0fCagMAphy6JYO7uo/FD/N9SGtM5Rg
Rqm73iet7/eez/8XlgqiCVke2ZQJOtqV33s+918e4zpBi+IyQAEl9k96vl8FQDYvz+iOoRokLrhv
zle5Lsq4lMS+bN67kbBngiKs8hSN0fRQCG7xCG/E30iOvk4reEHXdOlZ4TKZSHC+DEbwlrFfn51p
P45pc6trfR84kEd2f/gR/st86deZ7OfHoplaGmIktn+Gzre20pFWxuN+amuEFcZY32ZVw5kFk3PD
vC5fCdUMa6tOtbNiNfLw1y+PeO1rJ62zBV/IciCb+JK/svfoCDz46W67hxCa44tlTLnFGarvET56
pxHm3XFMx0bhiXfBwsjQDBUyvUTjBNBN+64C5x9h6fSmSzVwOAIKBo7iwecghS/j/4u5nubKzDXa
8BHRDnTUUE2s+7xp+qjbKTubqZdhV/bmPcNGDJGuUx8LesxvYVKzf+uLz8pJ4FWBs0DniZJy3uuo
/+4d05BXzZCJewO7ww1HfngcHCVfvaJIeFpX/fQRKz5RX+b9Y97B5yaRtjzh7of4FSaeYAhqlKc4
1KsXdobyWQCh0envE/+kyIjCFueEZ793aeF6JfXqwFcFuypaptvATyzL3PHk5WPqrjI27pwYPGsn
kAlQ2a7tei5PFXsRlPQRDmjpJs1thbeS8tqFvZ+2rsf+J57R8Yz0aHoxrM0waY4ZnrNbVbThce7c
cefUgp6knXk7Zts/pnrRP9bp7Nzx6xgbxGlAhgwCzzpnrH9M7NDhTwquoaGcHuI2rJ6hoPPL1LLU
987gcw8NhCaZbemfHIjx+xpGycfQyelBb/gjEO/Uk1NxaIdjZB3qqBX3rK7VUwqh8rREjp2KAmsF
tq3aSldIiSiAnW5mW5PnVB+SdE1YHcamqo3sLJ3YZ1cXOUFqVM0PK+Q/RhkYuSBKDTy7mO/I3EU7
AmGZ29lDbLFzki4/QK+RV5MrB7ivaR6vFX7TcqNT8x8YKXirlqklGCCChTQRZudoAM3neHF9xRpk
YeJG/TtyiQUz12bbgggpDg1RvSRj3T+GfjVfYsfjrzJpTyAJeisx8ol9iBZXIWK1wNFq+xrZXR9Y
Pp/FsVKETD4zgT7LuBR7lG3vIkuARSSGdR3BMtug0MBOib9xXRBCB6gLeuPHkEXy1c19OxiHME3X
7agl5bqKQ9zpelj/gPo3X5ZDPD0YQ5Hs8HFmoOrrbEtyQvumUwjdwxAf1oSdzVuh8d2qiN8x7Zav
erlE83Ls39k8Z9s5m8g8rmd+Ccup6LoE1z8EX/mcR254zFX2PGiqO8ZJU1xH3gdqYx2ftYbvna19
YRxiZb/oBrwaMgy6x8jg2lxio5KdoVfknlr5C+q3/r21XHkliXw+8Po9yY/8UA6WxG1YW/JaFqZ1
7beDfd1NobgvEyWfO2quF621uFpJlNzSSlQvZmGTEIio4W70Jg8SRuphSimH6hUpkyqDhPXsym/8
bP354byYm0BVSjtj9Czb9cjy8nLwJoZQSsvOU9XSjxOwDI6jFeGR/UsROIOe7NvKYEY1MpDa2cy6
f0hkL/xMBaKyYIq9+psgDfWU6hMjdof9xVXrGJFnPHmZLzLnua/Kof2RQIB5TkRZZLjMzblEldvO
GpHOuj50l7RQoX0cIrOzzmY2TavaGqcH4U14F5yO0hRYWLOukY5suQ5ZnrToNDHCjy1HU1dedRXc
cTga/tHSspuWPe4t2JCzZnfwxWSxhcFt386NzdlJzuJVY0d3oR1eFdgx12RyRfvImONDYWQPiqnu
Bqh1t+ms6TvpdRjK+u4ti43ioJURdiwrPqDZiFal6OSpgqK9yW2sYgrB5Rvex3oTJQobYR1uSRQQ
R4Qa/lpMjYvayI7WkYySK0CT06Xmy37C+RoeEbMctUzSseU1pjDph/XBMnTCBbQRU5se2ZjeMuT5
RZ5/RHJuPRRCpbuDvzUFvlWep9JNNgaW74s0jiQdaDpsnZgbtk4LcZFM4bjp8HEcZjQ7Ab5L/aCj
rd4jPp4C2Zrephow6UjT47YsGX/EOinAAO70iwGx376LxB1TXH/rWK46iRIhwsbgu/+BAWtg9Fb7
mLeLmd8QfB4xqoZMXNyyuAKrsDl1yoDIZOjdIRp8QQPnO6C02Jitp1D9MCtEq5Ed8czjAe7B7uAx
FxtjCwvOqc/LGmsl2kxh/u9iSNqZRriHN754dg+0xSQrtwS1wRAvy57xY1YueBpn2uFahbnrIuld
Q7NFQdpbJqBns76lOvO2FsMl9yA5X/X1xCHCMChDH7qS3FeXzF/kxUDbSeKKbhyMUaq1GcfcVWqD
h79elcv6bmqFfZROMz7MgwlIPC0AVygC0fK12WvVkVnf/ApUyD4YUzHf47+rogAD/X5EJXcAdTPd
APOa133Y1ceMYIfAMfKCy52WOIeNs0EfZN26ysJ0E06iQ7Y1MMyV3rbWYO5oPmS0AQXGmvlf+s11
SKLGfzeQDbIMZ/D1b4n0QOQRkfcoNJ7l2IkPCT44E7Fjv460yH/MvUjsGMSKjWNW8cHr0Zn4Q2hd
VoCywBUO2rnAXX6FZms6QojtcbvZfmwxX26Kdyz4V3E4uyd/bA2yMwe82ivgh/a6sOLsUqpZHGSM
EpHgGae5yOfQfIZQhXndtdHsr4wBSn88of6hUUv1d1kURU7qTemMaz3V+8OM5iWQhdbsACTZz0Pe
JQkRMUkK0y0ioM2EangplNXP0UqUZBs8+72OJBuXS8KKsVTMksYy27qx3X+vUgGvBlUZdYGsb/FA
5WsH+1i18Uh4uCDGZOlxJzd1ufyK+ABotTn5taosRCUK9xyChmQ/khiiAhYn9vUEdHFP2yy/G0x3
6fgkI1B+Gx23PCVSmpo8h3Ix71NbESpihDaHs2zfPIBSkpwPo2JimikeOJJT+KPMc2xYkxaeZeYu
90BGmeCGOgHhkU1othsTvVnH0r6ek0Q7a5WUfNzEjLcdbn1vHaHLArM4FTFxQ6P8jiF+lpsY2s6V
mHk6o5kjFOOz+IKXwfJGTOoN1UzqrQ30I9TJ5AXScE6TsaEMRU8BqEatloIRlzTBEusUvtTBdJ3y
lOO53WPcHdaIlziMm5TgvEISA7yObcXDHVGTdi4jv3tMUG9eI7fM1iVZiVfR/Pku/PqbSQ5Hsgrr
ejmU52L6ID+PWSTp0fnBr2txwzFYvpnSqfq1FiHwVZSJRyda1klFw9uZlJx2MRC6xzjR+e1ErXll
oBfNtMPLMl3ofcrn7/phDclm2lUUW89SsYlAuUj5CxXk2W3H/GCAzlktrKR7nHHThzdJZi9zWEFH
QegskkFNq2mZ86ywqeWHDGD/7d80EV+cjEsXg4LDo2lkM2Q67le/D/JfU+ZM4/djzVlCPIVMN3Xh
T9tqGrkqknJY++zJPnpj6veJZzIIF8arl8qngYn5JgGdtdHYL4F4KapLkBPWc4+N+JJpVXahs816
MSzmZJfYiMr+oolj74BlK1vrVjJvk5EvEqpLSnJsYl/rIgbAgqWD9MPCP/HgnrfliGvRiqmimroD
dbX8smwItXMfNc6dBk/qo/BQoa6M0rKgKSiubUQ71BsDfruu48KJw4paiSaFehAQCmJBiAgl7JqC
O+CzRhrLub4tczYeK+Ev5VJGIUXUFFEKJDjhLMzkxhhDeZWZwjulXc2zH2pfAJKqf4xmjV2Pbxv5
C7vJzDkimHTJegiHiC8pSSKOAtWOGzsiRTPopBnm2t40CVZBd2q0bBHXfKDSeMQnI0i/NmV2cJ05
jw5kdiTrcF7+i0WfGK51BTQ0CBmpeT00K8+4gDut3twcGh+nILVUo8cpWNQw5hNHpU9aDhd/vMpH
SijUeTqzUIor2hh9T9fDpe1Z6klPKfENrN+BsrUKB68v50tQa0WAclx+n9IuQzjOYLDrearp2TDv
w7mlkMMaj2w8yV/chrp9HoV89oac3PBmSuDrLd+dnxGUc5xnvnxudu0MVdc8CG7Y28zsk12YxW4Z
kMSTH1rbq16ZXVav1gRaqDVyAygZFqit2XrNDR2Ad5pqGK3dQLPl5CU7y4IakuAL84CdvHppl5q6
jP08iIuWFZk156gMp3zomDJGxaFRKdVi6ZoYSxL3tjCb7lFHmboxSqN6taEw7XSLylYKupZ1U87c
eW0l1JOR0sjXdS5JJUxIoSeAo3rF8uGt8XhTkSLDat2gsmfuEaV3JdsRwf/Y6nP9oyrRi6J+zleK
qhyutzXvy5izCPkN0xBj4FYf/eXoWrzwW3tyl9WqUX8bJtc7iYH2FoOIf4qEbI4JieAnh3nxruHg
2pW6YQeVV/aPHnF7q3aYkp23dN6+R5lfsJLZQ02mM2Nj8OFxl86gz2f5zAr8ph9diam/pc0BhXEt
ShhsxRA7gUAfAHJ8KViWdz1aPsMDL6m4MKp8+Q3MIT+I5VYd6WR5kGQDUM9Evtj12G3Hpkgd3JmD
sen6hI50aRqSUadxikervtXLhl+mwpD+9nkGyjIqCQeN8E1mSM7QRzYD/bTp8FUtzWCVu9PFHDnT
5dgz1fi8DI2R1pfLu9b3Y6dNl1ZEp2mqqb797LRLk8sHcVHOXpOOtSaO65DjlCAWgQcZCirv1IVk
r3y2ZVqk8TVYNR0Fgx6++mWAMifetM0kjfgQxx8N8MZLZOmc8SNmRWx/IzMIL2JqoMsxO4PTHIHB
xBk5qRCLg65yx5u66xmKlFg32MiylxxnPtGijKZ5nrkFKyLL7g1yxxm7YBoKZKdVG3wbtJEyQheB
DZPzZSzsayNz7DseNDowHKdXT23aMImZraz+BhmIAYXdDvWPiGXpRoFIf4AWT7+MUPwA+Xep1y2O
NTqp8PjZIWsejbWn3LIBVprwNxXkjm7rmSPOFLz8Z9/sYv++HDNmZmXFdkzTtXfiAZYyBWY1+MeC
h1St9Gz789JMGBlJi5a8rER4Rq1XnmQFGw0dtnfyWlV/qwSzC6EiZhndUqPgV46ve4sKN4j0lsNd
M9RblfvVyxjhvWl0Vv2DyzlbDTFfYWzXzQ+9NPlBsoxAQkXZulGsgPbEuvmn5Xqum+UYVmGlLnKF
xBkuqkutkTX8cb+tsZuaPGjjZdo41OnyFKAwfhEel4Q1d+xa6rB6xcAWXcPMpF3HOhQ4mUXhxUm0
AsecrcNl6vBZVng+k6koK7NzQSrddgYzsXbQE95/PhtEy+it86L42uXIp99neNVrNlLNSIM15A8+
Wyqfb7ieMuN+aKY+8AuLuUVFBWLRhjBtT8U9m3a1Sjp+SIzf+WHK9fI0m115sg2Kh2L5DWLqpWel
hoY01bmiKBoEpxn43sdpoDyRGXMRvcqNe61gdRdyjn2rlCefY7yIR/pGJ/gcxeBssQ6eIcNjVILp
TEcGGYrTREKaUNk2QmXLRnic911LkVlwY+9a02T6VGGyDCa9r16IWWIwiIX7EdEHJVpLwQLiYFgb
DPU2POy5eD6P2dHl26Bjny6ayoqe6KYmuYI2udRxaqT7b8zxpqFZfpAu1RLmE1rFXvV8mUA+dnHP
fYRmkaeW00tqa5NrTUMcOuIifDEgkSdgQ+36OEB8fHWXo9JEQbxpiCe5nj0DkY+T2EwbNLUxsWpR
7tKqck82TAXL1p0uXcAK92btdu8uJoxdy1tfserixk18ij+ZV/K7KhpKjprt1AGDJcWjRDJjuOVL
39t8awv/4QAkllulz/gOgGdThfZD/Y2qJLXYxE5sW3K98qlbOht9k4YXcwWFoX8EdomyhI3juu/4
wSciAy7Bc4Xnz//4eWNORcojRhNd88OGiHaWPFQO5dyONyN2ti3MumSHyIYbOrHqYwTvBPER7sFr
S7ozLBE7mS+lM1MJIyrdjir76Ky5ApKpaBw+B3Suki+WQUcwLFUAGFNKYaA53Y4Gjk9M/i/A833n
Wc9zE5EpvEzAWxrZDYBPXiwDoHuEu1f9jeJRLJP7PyhzqVYhExiL7tgWaI+/SoG7yoQ6k9bt3iIM
IA4cgAfXLijRDQ7J8DjB+MJCTfFNbvV440YVPnplm/uZ4iAKsYBqJfl8ykTPBI68/tZ16Kf7xBgf
OBLm7V/X1uJX7+9SWmNjIL3IdEimdZAw/6p0QxaTuQD+1V5LUEn2qnTuJkkvhmWGDL6OxoRpBYWo
YM9+n7WK0opRxjGj5nlNJaPVzx/7r9/UZxTur9+gabufdAaP3c6fdiMRQDwDaZvaF+QZcaGh/l0r
r6tP86D1uwZe7prufd5MePQodEAAfUtRne0IVKGTs/rsnA5cVGbucBqEdvVGyJl76zmRBCpaUxhq
TYUGvrW19V+/8//SqSwi++XXd8EtMCz59etsDCy5Ed6qfaQZ9THEbbVM7qke67RubiGms4lgB77u
ORNf1LQ4OIeSvrBr7d92L/9/Vfl3QdKWu1zl//Oq8vD2Gld/lKaKn3/itz0lum8WlSb/FBauSdZm
/9amCuH+yzBNYZMYDTQX0epva0rL/xf6bVZ6iI9xezgLX+i3NaVFKLXPraUbpg2Eh2XfP1lTetZX
lf3yNyxScVZqiHH/FNOTiRCHnhs6V3aMFoUDY6wvAMwxltDwy9ruAnMpMrM8wlFy8jtqXtv/Lgz3
PUZEd2dhV7YDckHuHUeMT5mrJRfM+kZodpj8wpUsHaacPm5WssbMeWrPWg7tZBVHw1A/6Fyq2gr9
eG4WF5mfqF3f52kK1CAGGohWy9sS3FgeCE4yA9LX66CYRLQui9xao7YnpiBhR7lJ/e42k37bLCV4
eMpNKU+qM9rdBAfmiC1veAMP8GIVrfdmgXB7Rnvp7nTJLdMUmR6QTu8cqDteTViLfF4vnojENZr4
AsHduNfh1AOv8rSrkvjqETlMv43ZpzVh0Phs02DMyU4U/dZW8DXR7g7ptRbHxlM/jSerM+Va0PMz
EYz186TQP7RdXa77Vn/KGfc+jPY4XY+0/Dtp+DR2gJt7nVgWsy9urVSr91bXGFcNsPdDB4csABmf
nAhLHA40uckl6RavHEJoKyTpnrZ0sosaDBX6Da3/rjI3PODVNbdZKfL3Ik+azZx64h0XngdqTjXV
3jeSd0YGDaPIZPxmC/qmVZSkLGakFwXofrwXw+iIinUhNYxe9VQkxRNGi+QS6fIMLX/on0OwfRsA
qxAnswR/s3SLcoWXrV/auh6Gvpn4xZ07jxaZyXosD8sV+VAjYd6Sc4e8Fw4jkn6jq5NV7Lot755w
A4bmPVj93nQmKpBx6MDpiehsZSK7gaw2IwFhuBDPVo3q0yADMtFHm1cxaSoAeO0ARKAdZLeV3LFl
zU/k300nkBTmpQFyhJF9OAB7JHKhVAp0r2flPJd0kyyiTCPZkUQHxsCDJXaY1ocTqwPqYrtUpzb0
ZtS8zhBBR8i1IJfShnnTwtCdOuleCIkKE/CJq1+x0tRXTuNTTjUM5Tm3HWzRjLa7R3OcuoGBHyxH
yrR6AlTmwoIkSIepPN1oRuINScSF4V8g9x1TwI5MTDC1VM3WH8YT7q7h5CI9Pqp5Uqi5yFlBfWfE
H1U3M2b1cp9GOHNOjU0K3MwMnal6yoyWCnhlNtpASicDgsCUpty6qe4/sVhH49W4FzIskxsQ+uQ2
R7b+vXdEviXkwvnBjHI+YhPvKUP62NkNjYZITbTDNybY5o2WhS4LHg+jalv5UVBmw3TBssNqA89D
NkQg9yDXkLLjzdQZ841rW9VmXnCljjPiRB5N46CMrDkzx7d3HjOMRxte0i2qNmI+0jBDMuRHTI+l
iVqPTGaGNT4fyQFfgXc594mQd4d6NSPeRvvdpzvQW9MmGbz5AfLvuKIaFdvY1j0iVDBhNq0VXsYA
82/wgK4xqDb3RIE6ZyS++6Y0ZwThOn37COK+47aGQW2MhyQsUExReN+khUF+ySAUfE7pTXdQsOVl
oXrj3jDq9CVBJk7AItKxbmiGA5z2ODyUAF7vxrSGx4KUlBGWflm4SOjLarhFyNqcppToeA5P/UpB
GGa+UoJiLQgJ72kP15E56AzqBXEktnMlrbo8sGAyDuCSydQWqgjGkriy5UcGnxsSwpPIew0YVEi7
YbZ3sx9P74UuKdc1d9ozF2PpgWuXaHOBCgrFTAxI0852oMkQAocc5Loxt2CLuvGhzHVEWQwvArKf
nEt9LDUyDDmIfGzr6zDzvWcYh/F+kgO4pzEnhtpqJ414Xtt55iFIh+T72rtIa5LVhtgMJsfqPuBe
VFcWkuuzqh0RSBizAIn012guYBSKnL0cecE7r1daExCAET+zhm9PTZGfybBnO+w7ZWA2jbwwyHW+
IWyv2g4MPm90QUirAg1cr1rCyDcWVNVdYaEFM0zGvADi+nUHN+89WlR2iFV+QP5HuMuZCXIhI/K2
cWztFGtWzSzaHp7k6CeBJeR8drwBbaRZOc+QCrg3TIeka4RkB3az42UZdxoHVjSwMUqslyzvS1Bf
dXIlwrIEg1uJ1wEQ0pp16kMIGTswhsnY270j2Thp4OqTRIxrqc/egRiN86yLA9UDbscGDtoGkQA/
MAIKf+0m/e0gs+hJ+9/sndly3EqWZf+lnxvXMA9m3f0ABGIiIziTol5glChhBhxwDA58fS/czCrT
VVbl/YF6SLNMS4pEBAD34+fsvbZyCCAfcRMsbpPh25ZLg5gdVbie0nUDw+WdCeeGuLOBXI+sm1ok
B/1WcmZ7XNfxfkxJ6ekqvboBjAfdm2fvGWBEfU5QyPJK0BMJDLpwa5qdAl97LIlXRyBAwFJoWQkK
PWgFx1y5aG/9oYrJvyUwzU9ui1KUB8jM44msZD+kuwgyV9T2iReKUUqNvjgdgGlzuCfFxE/q29Tp
Wb7nZP6g/SMODHjcm3WS3nc4VtU3uDHalablg2Qc/7T69gumBHktmeHezjNDxh4R1MGH4h93jje9
yDobz45bf2ChxixQ4DLoyrw9TOOC2X2tPBdNdyrxAzOCtvPUfkSt0N7jcUDmyc41hUXxYKTCfNdI
ir8N2JWz0DKS6c1gLHSs1sm5rUVenAEq71ur6CKYUHela78qbbZD3a+rGL5Ggk13qp4ZCovDCB/k
TvjEsOPvsPZ6l/zwSwhUsB+ygy8DspKZDx1lW623mW3PN8Ip0y9TwJDNk1h6xFp1zJyc9afTVc9Z
3ZCLURbeU5lwCYNRDhHXB0aosC4TqyoSUONrgs44xFOQ3TEXva1m+ofKVbfoHeyXqiubc1dYdmxr
/XTI+yygd1kmX3F/q4ONBOEruAU3ZAgRxO1kTidg/eO+IjN9NlhXSD0x9inOiNImQrsaydceobb3
C+c/zy/WcxAsoVemFVP6G6/FiRVC16VTXjGhzXy9jZh/Vy+F5jZPFFUlAnSfrd4xEi+kx+YXdy1a
iQPoJHElpXxfu1u6s9KJtrcw0jTK0Q4A6+u9npnprUdrIu7NYjymSbH1PObCve8coU6ZXRl7FNP9
bimwCc/2/FUarLWt1zviMIPovRPMSaPSQUbQroTWOP6sPkY/8Wljd+SEgrd3HURDKXBkd+nsndOu
6nuDMPirSztLp8z9qNOAqZyZ/qzHutsXBMK0ETFX/WmRuk/qR6kdabuUbuR1JeJ7wy6biyC1LLJK
243nqQZKqdnpZzL08HRgerGluWRUI7tRj2VZ3FH3RoSHV/vZdGlEJ4IdFBfmeWUdiNiExS7DsEkz
WdN/chp3oBmBGITbhGLXJSrDyOuesePYx7IqHxxvBXcsIXPfJAlRGF1jFiedW/2VEUB6ZP6TxF4z
wnJMF1meeznKKM00uesYD9th5yXely7T+wANvweHddUfPFrIRLAtaXE15sH4rpD4361KsSBMSBOs
pDTxaKw0p598lYxFsksmUrm+52M9wYmoG3A6z56Cx09ShQNQ54aZeNA+z8vEt9YOn9gQljBoqJRD
usLGijwNPMMUNXPh7JwAHjIi5LTZaRi2B5pei/ohXJF9zgFXSI3gfOHfIO9J5wTNHwpuLBgI/Y3J
ZxAORupMAkR36QQ/3RLJCaQ5B6W49Hv+onYpg6DbjSkJLfQxRBumQjWffaIblzZX/sk1DXJQZg5z
V290nzFtIWTrHffTJtEiCVdvFTeJE8yxA17msa87C+143Z81dDMPOp33HdqABYViNo9Hu0J7wmpA
W6xDh9/alDDmLOswTfPySJQPpHwUADhdpH3u9Z4SwNGtGEGz2jnuUoNzJn34RicI9EXlk/0mgYOo
UOaCRCJpaER8McqNiIkoHme4A8SDDMs7zK07rIh8rXoVqCc1B+luInqI5HVEc5cF1hVSQAkFmsAO
oA5Y/8cwSYV/57MLIx9X3XgqpEGNLEVTn1VdFM+pXw3vhN27nJnkdF2aNX2qnVXu/e3LhvNWHLRg
4PTloAa4askEepop0hS7o9BPSyG7J9x1+rDLW350XAMHgnXfPA4pMUJpZ3SvfdYbXwxB76Zp09cE
UMytbaI6D9dGZ/ZoCtIFyBqlFz/pNx6Ai6cpU3KbGwJUv4wqsx+arPvw1p6urcC6Rnhzpq8RgGy2
/XxN7Y1IBM4bx1/1Vuio2/2CEEHfDAyk5HDyDxyFhpeyH+fPCf8ZPiA7vZF1KmCgpM2+6AteQsWI
LezdwVlCjh7UOqDvzF2SOfO3laqPil9jItO3arnvaKZluyao8sc+DajEurXvwqlgeCcxuMXoSoPT
TLsehdRa3DrZlJ9qzABXMmQ5wCqXh0nXvlV+u75kZEvAhzZcPpy1sGjoTrm80Spn3GdMMN3Wwlvv
tKVdd9UokgN80uqx2eoka+W56lesIQbaqHMCAQOViKlFeR60x6ZIYOhxLIMr12yFrOH0t+hkqjBv
sIaxgmEBRG/GAFHmoLG/tMPs13dGWUgrrhaXw1hnsAtgFJXku5DrLUnIoSWyfm4OlvneCLTi6GYY
H/IGlNrbwGhRPdO4oyWHPY8D73A/6pIk6ngcaaQJwEO9mm/4Snosem3aMd6zpNGOZfi/GTjIzMbK
cF1TdUg0r3uGmqtef2n/3P+jsfgXROpvHVtU39ALHHqNVGV0d34nJYtOzUVlGfOVhruDJ8/MQKQA
d1GI2nDzJulXs7YOU2GecWPtgXbsnczAUkgi0rjikxpiPuqBAOUdwP2/UXD/Tgj489pcUzds16M/
a2468l+oGrUBAFhPzPkqRH/1BLVicmRu/e+/gf/qjwB6tdGjb2KL378ApxgUh95pvmLIDbf/uGRw
Nl77j27z/7Qk/6YlSeMPYf5/35GMPsi2Bz6V/8Ux/49/9Z9dSfsPun02xngcQTyr/ML5hxz+7/9C
ymL/AVqBFoyt/8lXpmH5H31JfPEGscLcVoNnx/ilL2mZf2CooL/o676PEQHl/v/7P3+hCsvf/vdf
XiH+xq9DD50OJ8xaEPCepcOvtbcn7JfHdGCHFt04qmszWySUz4QzhNTXHimV3jw9uJqznAs1NWWs
6yU7S2tPL6Utt/0oaLq3X769/+qF/pcm6YbxCDYKhI0HBbjvX6/GbhZRBoibrmbXGNe0XBnfY6Ym
Y0pNdDqoMu3x3ZsEE/q+9oeO9nxPOgEUP8+mReE1n8EwcC4IsoysFWRqL9BKfIMGpZP8MIAIqr+Z
w/z5Gv8y8ti+v+0Fhx6z9YixcP52xSg2uLfLcAWTmaY7F9jny4Rewtoz7mupixdlFLvcY8Cxei5p
HUupW4eaaAhj109UWeyN0ohyTThMRXOs0EOdoa+hWC7h57VFdl+OhB1iwJU7cCTBq8y6G8Cgjopz
qbkXzhFT/Tdr17/eBo8WuseNoIzCLPHb2uUt1GyaqOSV3PDgtU2Zl4Q2HS/B3jOq+1n1wZNIjOrL
v7/9v69mnrGhzT0LnQI+I9PaLuuXZ9HRsRUgZWvwn67GFezheCVTGpBkkv3NzvH7xrH9pYATogdE
CHCu/9tzJhqwWR1xj1cShO0PuLd9dUhwnphhKbJY77A1RJa++NjnLGeu/+6h2R6KXx8aPiUSW8dk
VkG7nnHTXz8o1JWcwpkQUQ4nDknzo/NRVts1oBiUMZk0bbjo3PrDXHW0D7uy9X4gMAajil3vVrlW
r0fWXBA4WdCMfLF6YVocR5blh9AmsdO1taY5TKuwPzoWc8y/m5T+643yvW3ZgA0D79mzN/fSLzdK
d0encZxEu2Dnrj/yHux7aGjl0NjUPCDqzzh+ym+QF4n/XTsIdeRM0A0yJu/n4K0rJ7UsRRLTFtOP
HK7Z5+SIzDv/+4fJdv7lJjML4iFi80XCwNu5jVB/uUq393MdSKF1KWxgVgGSKYQVdCqVFezxOo8I
YDv9YaoXevok4HlRbzQHafYCN7ogLqDq6kdRObUKPZTLmL9rbD5yGELhdOKF6FYqDLBrSHKKIqcN
bRVzmBSyuc5Ck2T7EAOTpkZAJ3glvT0yp6w+EvFZPZpFek8vzFJhNXr4CpLueUDmbu3cCdGgkS8m
a4M9rjT9Z7+4rTLHf08wy54zRsK3VFRTEM16RrAKD11OqdMj8JoXf93RrdR2a6G+C0k87gjzDcZc
PXj7RHJWsBPTfO4yYwZH7GkGFXtWJt8CKM24PZpO+zrWRDsLIUmtIeP3BCej+swnDnWhsOryKQ8S
5YUTcSZQSPoxWvgeDii6grtuJjzWpse/NwxlTFgHPGr1aYZoi9E7S+JaWj0qzuAuS9AAMVRqhyNb
jQmdBSsLcTNe9UXVenZj9oF4cghJO4xBoZl76dbrh++2HKN1xRh9Kn1UolD6P+Aezz9lykwgWs1B
59CRmlO6V0PR8nLMc7ygrff3fUt3thqs+tjwo5DM7L7liybUOSxkUWhEdc1e6LWOAlEwVElkYWWt
yRAr49SGlPEwM8/b5bJHHFjwJA0oBudA4uj21K1LplWVPIxzN9R1SEAo+aufWZKZ5vouZ01teVZB
z1LefkcuXwwW/Idh5KR1HcqBmPtzkHfrYQL3nJxq8LkiLMyqfdI3iUfBlHyMRu4BPWWiXhW3i1nB
rkkQdiH5Lucups+f6lFf4Wy5yzrdJey6XLw52y10hYdbVw4WT9Sc0GSYo5G9cO9qWZHcTbw6LkMn
2uk8cBaZHvuGmVUQQokhBSxWBGZGWgJiloiaBNBg1GIEqqMsGDnMzxUwgVgmVAV7p0lx0furw4rZ
mCV4nTrrwTtMcknlPQFtAPzaNPd/auPk5fpOb5kX5rY/+leH5nlybixv8BywDIrez4LCkdWN/NQ0
g0CSyGnt9kEvm3y/VG69HHWJzB1lK5lUkaecpTrgMM+1iNtqvmmiXg16626Ju7+sde2OxE7GVePQ
NG9FXQcYyfuAtmkJSuVxHZEZ7bHVm8ZNxuHfY5IGTmc4JP0kmic2Y+tM2I5Z7kfBFcTtUCFx9A21
Ykcq6L1fap9I91jjVel38LnGc88oudqliZWOO49xqwhzT1KfNCsJGT/IPQrcnc8F1DtY9Fl3MvTc
PqIWpU2Fmx7TTt7myW4dk5KgprkXAbDqubDBBKAgQYlerNqNnlT23hBJ6nC5gSdiY4GofGJCC4en
DOyM7At+LjQCErV4fFLIa2rOsbIMKte+YuSDgBnmvEcmCvomXzFYTLaGjaSazfHqigAoQBN0w8UZ
G7aklKSPzXAFT8jaM0I0mneGvE127qApq72cnTW/IbxgeLYL0/lwVIKIkYk2Pz02Cu8UhvCciwfz
iPPNIrWBk34S55CzmQ8jKQuRaE9PjC7mb2TKWIR1zmkS+6XDiRlbAr/HqVrY6Wg7jetKMrj9IAfH
eDYGQi/D2QXPHg0Qp1UMp7fIj70yTdKdPSSUd7nmBa+N3m0PZ1F08uBVMpP3arEHP9I7PHhhNjdc
WEsMuHHDDha8Mrrn6a5ZJfudbwSqPQ0ySMz7oifo/dH0mwDCj11g7xpgXlB8Zou6d+jdK/xGNX+6
bREkb9P8YT3opbd9+O3SkbRv1yVqgylMw6cYIXZAzQTRsUZBOfHqMMso84cGdSA5viNVQcr/x5pq
Dk121xn2QvyWJTLsptncq/FSaxkdw1wfOxy6m9M6XoCjbosGL1PEJ2IBIbdzq5Nxp76S5Bmcwfnl
fgibu+S5AGv6MTeb90D1xfJoDUqXN1guzOKmFUDmnnDXzQfZ6Ma1C9LunagYF1EBknnz3Pq0L2/I
AiJGDR9YR94uFEGG63ytke51y/eyKp17NUqSBjt9mcq32a03cVBCGijs4W0NyTscnJwDfNT+5gKx
Qbh18Ibkrt7Xs0DA4Nksc0s/Z495O8gbYlK35qPZm0BRK8dmO8rM4LUvtCmNK7PhNVm1xApONmrR
jkH80ixn3+CRiudtxY4Lh8zPPSmgU8wmM3c3Rj/i8kkCHF7stBYSRK9nqMipOnjWFsr084riwfgc
ZLMgYkZqMhHkbvKrVG1kK8p40HUnZrsE82pkiMH4n6bhohaveiomCQPDk0e7RmB8XGeXm0NEslwP
oirb9oInyL7VBp3xbNY1wIpSIPUZknXmKc9UIvJTDxqWEZZOSeM/kzPJhTOdPHaBpXuiQ27kX4x2
tfwpXKnAlhd8b1rALyOTPs6ICEjPWiLmb1mKUx2rnnTLU4627EFJDSpQP3YyjyFY8JDm5lBY93C2
Vudau2LLjhYMhS42FBVgDlQ3Mp6Juq7j2W8wHvSrxzjTx0MUG8rCxzgxTe0PK/kO24xCpbSHk0WX
USKk273NBJM8F1nPs8ZOF7zyrNfyvgkaDKqjKQLQyHXmEq0xvqcLo3STxA6jenQIl553s5MO9sVO
Kn96xL4TEJIL54Q8UShu3Z6DAwqQ3BrK9tbrRWbdm4p09RNBFESg5orJ06XsNXTctdwML1Rj43Cp
qmQbxwKb3tMRowE4K50OaGfz3tMv83LyfzLv8mdV+j+dlL/ppCC+2loL/30r5fmH+pC/irv++S/+
2UYJrD9A4bI+GQHcY28DBf5nG0V3/+CMCo6BYygaeJNzwH9QKFz4FPRdvA0MoVOIcqL8p7zLdP7w
2Y0J7gEeQRcFqsVvbZN/20bhZPHXMx15aKjLaDGYtkGJwt/662kDbovG8KDVQTGb/duksTTJavn+
Zyoir2YXZ5oBPqduy0dv9i9SiumLOxXdk2ihL2OtP48LDoXO99aL3ZKXuOBTSA7T1gEAR659jJ5H
cojb6iiV/ITC3nFMSqzGg4/9YNt5adahBmfHOxH7weYe2EzAX2TFhsARpFxb1uZyEOLii15n/qZP
M9Mi5M4Extuky5WFvV/XVAc2JOa+716QX6NuDDlhVgbTf+VyEjWTYIhxMdhyn1W0/c+DneYVezhB
EBhzlbksQZzjNTHOuHDNV5sqsANB1RotCm47UT59fG9xTiNeQx3Yz5J7xXOyaJSHoeGVU7fLWgeJ
apP4n6lbsIisJoC+Lua0rjOYwlyQ608Q/goB3K6y5QFasXnj69Yqo9ENspukQJESzRSVcj/pRTEB
Di5AL/htcazTVryrJh9qUmCt4VhAGYhnLIbvCzGQIbOY7JjL/CkFWMDNGgvSGpr2WJjza9Hm1gHS
AbPEOkiPFN7Ziv0jzd5ylbO9LAwFPF9dOHRTTo7jG5486q9K3lu1yqgBJybOU+p+H1Qys7vP78DG
wdThBS2VRX5r+UqPi5SowCjOvm9/S3MOPUzxRsbvIygEeIEHOH2vGvKvEA4Q+7KXeXvfbA4gjh+n
NX91K/MngM/hZpUtmSFlel2zzotY7d7bWp4RszXHcsgFggZrp9baDOUi3BshSMqC836fpYTTlGb5
KnQt343Qh2JiOX+4eeNeandN7uegdZliKurBcSSHCn0vqQUlym3cZWqd7kwCAnbThHE8NbDc2/OU
3aI56y/+gGkHHZJ+IqSN0AWFVpxQySxaJRE4+WhONMWIEgbUoJDpL0uMg0l7TLdQ6KZIf8AXae8c
bXiCIaWIN6Hy1wXrN7tjfmxK1wVOraO3ahe4xI0z7gffsU+sC9m+R927x6sJPSnTgsPkzj9ap6yJ
ESJhO2HtCMuUbJIIEsC31trQZA5bS5r26TZzl7u2tepQNsMSOavm4hya2PE0hpW+qZ4NpwGlX5Wv
WpWc1rUhZEKKDtuM9uZwcmKgqYpz1jlA6oWd/4QL338dVw9r8BAW5YwNWk4d41hOmuTJTuV447oD
b/xIBPHOslftZzu4jQUrCmx22NIVTnd9McFYWmqlHc1SHx8hec7eU2WX4h45K4rALiE4QNBf3QNe
I/mb6TE4PVLAnjlOD9Gg41g75EVrnpsx7dHgY4JDQmU1JQQdqAZjhXpbT6bpniQ5I5omHos0mCqs
Wkotn3iSdD1OPXs5j0PeHE3cHHNw4EibKxJ0XV1xsjQcHN5yHn4aXcdwkCEw/FU1jtlPhowB79oc
dJy49U7MV5OC5x1EwcxAm+ISg8yEST9rgppMIV9EBFWZB91s+WQl9oClILsdLPsHcTtm1Oqw6xxr
IotZ4JjWRWfFCULAA9yuPDT99YuiPfSK+VRdq0L74JV6M4ltDxtKsLjuIEpqnX0tyHHf9RWVb6Pl
n4n0+12O4/+1Jv6XPCtsEBcTM43BSWa1dqtRG/eAVF+6yizJ1wos4JooLc5GQIPAs6bbCZbro20F
2hPtcu/DrJ18l5ZBF5Hl3JNqn2a8xjNnlThh/srxdtEvJEW0MdYG6IPDMFw5q7RkCOTNvtX05dBv
b21JKOED9i3OYh0tYECaGYea6b7KbAq5RR5nA30GSTboKDp/RVafuA09jOW9GVvnaE918L035YOn
tpMiGcwktfvDFxeFGgcJXYtNazqh4PB3WKEschYNMfxMWtuOyY7TbpbRyRglj8auIUsgFq2io53S
ksFeynrgL1dEgHhhNH26LDm9r2YZvV3eKESQksbMhPY0hveRHrKAYHOcfH6EshBRrdEfaDv3rMHD
JRhZtVZaiSFtd55EIthOQ0lcrjv3DiSh+XH0V3q1PmjaFmIH7M82OHYK5MvSBadenxIIj4pS3g3q
70xhp1jXNr2poSEYk2UHU7HljBX4pnwO8iLAalkuu86uAprw3SnQAupbtKmq814Idkb6EeDz1KXI
IwCsK8qRrWJvFNKqsVZQLrpPeIwXsGcj+YSUzuu80Q8x7dyZVCa3puLGNvpS7Od8QFjIKPOIvRj/
IKcs4BSExfhpWcGI5DOPZVGFaMFZ7zr3K9SWhXOwZ8RZOXzFXV/eOCJJQmNpUM9Z8xKKpTBueQbk
QeZ2tpnYfo5uFeyVWL+mxBITvA7fMSxwe1/oBCUwPVFUsvGn32phzJFeDThgSzOJMpii19mGQJ9V
pghdPX1vDecn5MMfNk7cfeVQMEzKfquxckR1KTtYC/yqtbf7UICA/AkOBdGCLModZ1wwxbCf7klM
KB4Cs0WN7JvrLYE0fA1eSbcxoR808XaxSk1v/tKyYQwWqjyEhlMKBBWvGOu6m1ffzIYQ7dpc2tNo
10ReTd4SNYHW7GWx1remYc4xYUw25uPlmyToOpwIigjngGuAm8DwCnjjK0Ck9b7Exc0XirDBRQI9
qoYvTHD501AW77z25QBctPGfO8/h3zIEeOrH5AQDi+Md8KCHkbbjvYPk5d0r3CfHdRGuVul1SzU5
WvjyLLg3mIQcmfBFwxi2X6DlzhEhaj1wDT+218Q1o056pJ3j4l92K1kuYY5c2YjS1vx0GlzVu4X7
HJrCaO8mYx2O+qq8I/0u/+tcoqsfdfWdjIDhbtUtrYgnnOLHgpPfHQL7CUEuJkhWVjHg485AqZhT
gKhqSxcQev3YEbb8OHMw0yNWTY0Sw6Tb7diy+il7Bo/bi5pyTxk2MYbwevcghOHwyjSgoI/AFlca
DCbb/JJaT6RIj5GHwhGBQ/FFuoH+rUm7czVD0NgVbUaPMbU+0bA54GBz87uRFlodrbYboJ3NR3US
zF4I3i2zYtzRz1Pf9cqvdqId5dNKP/mUsHhepkyrDkHj3q9ucwMMZfB2E9uBOhraWvA4u5P3maQe
/UlTejCGnPzNEcTgGYSR7Pp6rmInJxlRkJ+F9bqjs9giKn3scbjmYAp1eVUljrpQT5jYeYMY0x2i
hqHeAbBe7ho/pw1mEHKUQOfaG1gxY8Ix5GHoXe1QOEVSHzqvyt9Yzco3trjxS8VZ8qkshuSoF15+
0p2Zijfp3HOH4KAArSQT8o3duQKmlBfLDYKLzb2BszPQaACHmT6XHG6r4Gx2oACyWhklZulG0LlO
CXLTUWYOqxredH8ldVDM09GXbXDDJGK4s9Osf2ktpy95/9qCBKKOKMd6M+pRXa2vQT/UbcHxQc7P
zCdMqNGOPQbk0AvLBdMrlinOC96HG6JDaN/6pHu/zGjx3S9kHwJxRcDFzkqoQsCL2CNdXnoXArWN
su5KVGD2TgvPRbLsjU/V2jDoxFuiXeBR5e9J7TT7PvFrUmNWjKZIr/Vd4Rcp5CW71PxQ1nP9picq
eZj40aNCkX/u6+CJKUZDEdaN35q6weOSeRgLhjW96RtK0qqZuoHJ6VQ/G/RyQ4ab5gH9S3lLCHq3
X+ohg+7QVZHQ1grzdy+c/Ww08wNQ9r7fOStA8WLKy3gqjPG2bhiZ2WbRHKGspfcmVIXl0feKvr1D
raScXZAqvXPLiCmZSbFQY6FfpB/i7jBp2VBu5gBjw5KemP3UDqmLnpECr/W9Xh4LWGFBOBfLtN5U
ytYiVxZGXK2i6bGZZ6yjyq8UpZNrHYfMdd5MXMTjbgX44B37knfxGx4ncA1akaS3+UT6DCxwvS9i
008xCptwFPA0eMwNs6Fvb6dBE8dRBsaj6gbOAvBEDiuOFowxi3aG8StOPc8kTjYrvwXelUeJOXo/
awy03/VmAzf3DPhQ+NfiWaL/zd8NY+vy28EM7RaLty/XFWIu6LUfrS/SozvWlODYlLWoy3vvdS1m
Pc5dVueYSDNc3aZcP4B3yBs8wAgFzeraekI/tPza82p2w4PAMfQFQ3/9SH/YOa8C5pFZ22KHescS
oZHVTNZKOYStjp1Vp6V8IEfUiPq+QOFud7TXucYXSRUZQ9AOohX6U5yy11Gcd0uszH4AhuWdYA5P
u5aDO/K2PNj3pW5+OLayj3XZC2SorEwYcv3QQwx3yFNr2vUtnAArrwFllQRjf6sCjI0VoDdLZcEn
/IG7iSvB8KADnjLN5YiwvqOUGtPbkiOtoi1vb1BzglVEoJwYkzbnGx5KUsyKPItnFHpxULGNE9FW
fgWThBwj8GpsnolFXBU7STO7DQ3cChor1vklsgta5OA9alR3nnY34P56FHN2HGnlYbPH2+CkDYMn
RvoVSrAs+yGEa1+ShKDNnehSsOoa765k4R+R6S5VVkVo82pczUCvPDUvD9mgB9dJQW+CGe8eS0zO
MbR0FkycAWf8F/c+Iu5QSqlaICTpB8OUAjHeMqDwMzr/WmodIYK1XsZGldj4OwLrPSXCNLRmIp6i
Os/qd03I984idyqb/IPtbDyRVkyfumJjZZK7npYaHoHBwTPHcIwBTDVpBVocRjlyc3cH1eTDCaws
nrhb2MHVF+FziEj9HbP+z6aovshi2p63UW9jRkIl1iLLitHgmKSWBcm5yCVzeGziYZ3qbkTNbOiR
1qiiQujMnpfaqrtt3WITQ0rvYNDbj8zezm8r8Fn39B90fTfaivS8SejTVQ7U2/CezF23tX/AGYqN
AFQhI4begPBT/zE3HNGKoYBZZg9klGmd+VAMHh0B0X8fMjWcabESK4PX90xfa5dlizgBX+/YgLXy
bHr19LCWWbpP8+4b5zVKsaXJYWcBgTihJiZ2OWUQ9wbkGj7ENF8sWv2vlFLPuUbUqNcP3k3mWuQS
qJXCEVZWMq8b7nnUeizl49fA6C4zs5wwK8xXYt4QHEy2TZO+9yMoXf5bRihoaG15e4HuQ2HBtftM
TpMD+6g0b5olu8215n0Q9MAXmT0hI/5JFAz130J11KTM2bLWfLc2hp81NfandKp+p6e9tRNa/arw
6v4UoLLgIZCCNIR0PSi+YUBBDXfrR0B6OhLetIC/Jvzk66SPYMbUNPU0KJb5sTM2cWzlJ1DFaUDM
OAftJaf4B9tsV8o5lKMVPDYsWAz1LaeFRTkl3riFIA4ab0Idu3rZn8Exh/Oap4qjTgIFjI9zYQwh
7tBRU1gbpdaGJgAvIyR1uWriiRg7GY/4766b9OrEf+H/Khv/J3mvj3bRsnj4eXYOhF6eF4fN1bDm
70kpxu5Q0rKP8XdAE/OYSzmVOhMzV/KqG6/I7ZuoMgaktebWC9wcQkswMr02XIDjzkCVlxvOwXSo
hBl/sSS4qp/mY9GOR2/qvqb+elY88FGVI/YtU+1CuiO1TuV0ZMJ7ZxTlwx76nBczkqzOwqH91wW0
8BtK/YjK1IwSTIB9Oj0EBbMJYKo7iG8O4RPNA4xHXAL14oFIKE0U0UOGB2ehgbjW2t1s2m+5Ycub
IdHEbu5d8hErqzlkukjjvK2Noyo4nPXOKE8NDns6Fzj89dL5BFAfPIwaQySGoXmUtcvXMiX7wCQ+
mBTfPg+Zq39LnMl4mn3sJK6COIVJp51/ONKbnlj7mCW4DvZRhD1nxMAXH5d8ZCQEX1e9r9FnITky
7oHNHPE4XVABMLQAf4KELJ8DshVSAx13oWfluWN/hDbS7kuosB+oXdt3x7eteldq6/odiRTca2Mp
tY8WsTlQCWhMBRteH+I7V0efALNbr+SI5AV+kcGqREmBCyG26mX5Rp3Fq5UKFDUQvu/a2Uou65CN
37Xc/Zn2xoLkFkvAuaMN/YDFM4mcHO9nJEDgvfjKGe9NM7PXa495FGm8V7cHuqCbAmHArbCuzKYM
ook9ZuM5ticzh9JC1IXY5wQpcF5ItKuR984UOWwGxzyZnpfUeaFCcJ66JG33abcMR96DBYWSBCgR
+K8zTsNQZI35lOpAzmVm3fmGTD5qLGtRAT01MjyTuIyKQ7p2M5sUNbcVcRF4+KfshhpiUHvcYi2c
wdwdz3bD+hO6A5rvQ5rMamsSVVt2qd9R09SuAZ1yxR1rwZ8gkgpVyGuPN++m63wGYFmL5itE9BIc
FlEkZDEWxrvbqsC6wkTXnyd+AfN3EsvexnIAAiU8EsMtGtSAgRjuXf4/e2fS3DaQbem/0tF7vMCQ
iQQWvSFBUqTmwZKsDUKyLcxzYvz1/cE1tC277ai3fouqcFXYBIkhcfPec77j9HV/obh7cBfVoz6M
TZlcLDUC3oAXFpjXto+omOYRibatC81rfq2EWGU+k/ypXkQbI6fI+lSf1TgtNo0x4WDpPOHh9DVy
CGGeM93LvtY0nzALuIh2sEjWtgGz8HsASByl2K6jMJoCemrz3ZwNE5YVHjTsmxPqQdWx8Ya+nIPv
MYs6GJz6faS83jEiIOiMsn7pXPNUE9sTyLofD9gJmltQkvZTSsoodgXBgg0y1LrpiLOG6t4M3l0n
W96nrGXVTb4Yw5Mhkv7kwC7p4V/63mU7G/opg4RyBYp4PgAGtGD3Dp1ziylB3QGoZPsCQ8w/N4zY
fkOckZ105w33tu3QDJ3snqe0KllWN4X0SpuaEQNGIruUh3IUvLH6ka7gBnUGbhY6/Jr3CS68/Dy1
7Bm3lTtKrnSR7rDrRGkwZd3NEnVAht25tncObagHc1HRKcUnvy1zsMU5c/bPodVRqC2u9gI6He1V
7EOn2ERp0jz17mpfNHjrRphaedljGWCzk5DT3aWH2hiRytMaPW+RPB2H0dQ7ppjZRW2VJYgYZZkX
FUycT8Ra64lVNikCknaAXbYiZDnRxm2dNfWVnEfvrIgtIp2HBfNTR9YCxDXuEqMd9aWXF84z3VuD
l9hYP5jUdxcQLkZsvVT/tDMVXRojviNaBAon5GKa9lW6jequuOy1/8UYLGvH4hQi3JeEcs+LdekP
PBpOasdkDDjHKra8mxIP2nGc5XByDUU+rRvCo9TsOnoqRizBuj11KHsujVZlF6hZ30pvsnYDw9t9
6s2vEVqVLaA9dgbYzJDYhwW9snZ+BD0S7hWG1l1tI3YzuNEP8VB326GdkZChr6c7m5WoKn20abEz
WYFLtthGy4pa1lzaz0kO6pWtwnI2t5O78CLr+htP4X6j0MORWsrVHjHJOMFqxMsmRUmV0c8asgs8
BYyFGd/QY7WoNKp4b8Ek20BwvpLZwv9vhrgX8fyPZDFv7CF79Dv72YG0GEgIvYmAUkqn5NUv8V34
EQOPcYyjoCOtPcBhUe1tKxNnoygOIkrvFq9mqyAAPPlQszEGLddOnDibPG2eENulN25EQJFBJHrT
6MOwiOHFgD2OBdZ4hhFk7s2FCnlqjORQD7yoMci9FrAbb8e+uSX1KZ83sJR5tVvrRjDOjWvP8aET
mAR8YSSwL8i3/yoM1V8CJm8Zvk+CyTbuuY3wxTNUZSz0xXQBHnE6tvk/hdn/M7b+y9jaAkPAoPf/
P7beI8tNvr7+OLj+57/55+DaM/+LjzAl4HckaPK71Pif+n9PrXNrF48BUlpCOBUD8n8Nri24JGwF
fYcvYEKlYdz9r8G1+C9Jd41BN3I+EmZ8+Z8Mrj9oZJmOOxIVMt4ZtGfchx+4NxF9Ku5sykPb7iO9
zTMflZ8AC7ICNXwoQbItIaAxg4DUOXjBD+fqN3r/DzpiFFyI/FeKESN4yZx+/XY/KHSbJlr8gTbW
YWT+t1Nz4WKbtPMAUmhx9t84lO9J0hsEkIKPsQ2tk7JWUucfxMqhy216AXRboFh5wAP+80NxKn0H
KBsX/WPC62JNGVNLAVxjBWOSztYELaz5rZ5Uf/zzoVZRwQ9C8u8n0OE3EaDJTSFXm8iPJ5CBcZ/R
lNeAoUPcEbONeKx336fBDSAfptg4HcJame1vazRG2z8fnHvwNwd3iHvkLkYJ6v58cD3BqndqrQ9G
JVzaF1O8Ky22B38+yq/3iMREZRPzJlybveGHo3SR5zAhDftDS9QIic92SeNHMpgZdgTR0Dz48+E+
WB84o3K125j2SmbBmbP+6B9uSdkMNrtRDbx7Zr8ZZ+03ELfvHrSvDTnB52RO1X9R0/96GkluBoSC
FsVatSMfHCRhnKWj51T9IQXGQToZhNHaBK7659+1nqaf7xSOgioFOKfpkzS5nuYffpfoQ6vMmqw/
ONBHNo5hXESI1GewPvBQCvmX3/S7s/jj0T5cNEw+URPJvIcmMVqblW0QDdTLNZgC2llYLNsse/vz
D7RX08THX4iSh7gZShRuyA9L2Rxn0CJGHjsrdsW1qATNdXMd3RCZd9ZXURb0zZ0aZm/bIBv5yi7D
Y4frnDEBXzkF/rDrJxtlxqjqL9PkIMBxhb+xQ93cL+BtYHcCOs+gkP35e1u/uf6OKRQ8N2rlVaj0
85Xxusi1K8a9h2TskQMIikC1mSY57AwDa3/SWc229uAvOpw92m6TeKHWnW56y6uvFAYu6sHIv7YQ
r/zlWZC//Wqsz+sTLvnPh6+W+jkCd5lrTBPxDsqJDHAbrcN9V5MxEXWYneE6m6Pr58RULbCrSja4
KMWHLCgmxk+DWSIFBFje4DGF5wD1G7Atux87ms+j3m6vMNcbxyWj+m4GrYNRyRqxaus/9miWH/Xg
hVsf+fO2pfbZg02h9+e03q4n91Bn5JHR1Oy3Gqf3ZsrleSyyT/3oAaoQNK1mZ4Et7PRUdoa+po26
nDWJWiDN5c5mAgt+Ycaz+WS0zXBAwGRsQzm/Z7Nzpz0al4AQsjPtxvqaTy73f77qvz4gHplJqNak
4B2s1Iebdeoi2ctxvegdLuyMTV3imVBNpod+CSEd9hAb/xtHRBBLRC+MPtabn28zv50Gz18yfWjD
8Ahdfpdb0Re/FBetg7wf4erzn4/367qNL5fVxkKyt6rvPyxrHXqRkmujD+mc15TfYjxGtDR2HiqK
4M+H+vU29SRiFtvE6mMi7/9wm0Y9oQkjXrqD7w3yvDIa60j8gvrLCfztUUDEUaYgdecc/nwCyYg3
CmIned25IAA2jfKNM+T13s2ff4z16zrGr/EsLGKYZBSvo5+PkyHVt9x6dZhMFiwJq2PQNRVYC0Ga
IUml8zw53Pig12keeU8ooQ8Vm7O/LUsOh/l5OcWr6riWRKmzjks+XL+mqcSSDKo7iClXuxEbyh4v
gt6LUSfeFmWSOFrlBAPErL59z7BjrE+7AXXUZbEszomdWviXK2D/9jsp5Xj4J/1f/d6RMAwjjJ3u
UEZ9eTRbGo8mbK+l1M1V2NX9loE+oTaI8bd5Y8zXPePprZuQlO57DA1VmX/LrWm4yiBQLMv40uMw
Ykil6/u5ZKpQ64RUYxhLp3LOrwxT/624+P0P8AkxQgKEJdj5YPwLrdYvZm/kpMbzXdSqet+PIvoU
s4pt60alQdgxcyiUq3ljtcUJa8erl6iHrnX9I7iAcDsRV7HDAeDfVouqHjyxfFtkWJ4cD5wMivk5
GImK5F2hc7DqtM3+cneul/2X2+KHX/Dh7hyJmhDkDpD7ZaRACha/PCESLYPUMAOdtCzyvQtCLDWP
SPFAwNc0of/8FZzf3gU+clLJw0iM3IfH3ZtZS/DsdYfUiNdeeO7JN8qqGyU6wh59E9TzMD0p24q/
4B7V/RBtkbrFQeaQuDNE3d5mbBW0LgrdEdcMKhW7R2PGAQ+TTFMGapH1bS4ti6VS3SsHJJ+Z4hkz
/KfaS9sza5DmhSGtfA2QfVWDee/OHCgSFg4OrGF/S5z7tXTzXHaDQlAhkLr+XXn8Q+kmbU9lYcqC
0KT5Uxke1ABA3lgYv0GGdP5SJ/5m2Xapgdl5CsUHf4xsYEDrli2LzqGOynfm2CFvbSJpBK6nvxxp
3Zt8uJM40mqcFjiozY+FPS1lGH5k8R7mNnrILCd6SslSAa4+s5uQM5lhG9M1vBOJDvFfbqHfvH0J
M0QB5Di8mCi8f15iGfYiZE7N7tCrGaaidzOp5s4U4Xuu9BtbXjf48y37vfb85bdK1OmWzYbb/bim
E1vTTUnCLcs2vLwjnOHKRt4dzCUcNGdYvuF3eaiSfAqiuaa4EV4ClTpiEka18uev8tubSQJHVbaD
yf7jaznp9QC/hOd39CodmLVC8YFhETEOlCgZp+9/PtxvXpoucnguM5jQXwEVrp9mUdFPXGQafAdG
8OF2AeX2lz3ib8+vRSeDO4nTi6j/5wsKBCdCPlB3B/bI7ZbAH+QNZepv3dAzjiPeU+agjHNQB+aM
2IEx0g3IcTka58vi/m2N/HVTjqmcXSGbcgH46ePzOqKRJHsWUYIzaHOH0xmDSbtcQt2OtlFhGVva
twy+lCZ6JevNvzxW1u+eYKohTjZ1O+CJDyu0Jk/GdkoTOaUl4rdarejIsY30dcdsEEmbW7nutur5
API6fEgKg9vkMjDTmqld0ag428ItGxFdOVG4sbXurX/E0P/5zvjN1/R813VZY3D9M6H8+ZLFhpfM
kiysgzuF7b4XGLJE1/jIX2Xyl1Pym0NhaRJMf+jLe1A1fj4U0zQk2TjUDhqdz7twZnW7lDF4LsM1
u6//8c+iBkXH7q4ttV9WNdiwC6No0RykTaijLy2XsBsVnqetpov470bjzT9Wjx/RHb9ZxDgSbRFK
RDz4H/eN9hJGzHU5UuKgCQ91Wd8XUQOh3+wwjk94OkQFzfPPB/3tqWR/LRiV4ej5iB2PIrPERS+b
A+bCYVvIadxAGyKI2CR+5M+H8uVvXvRUGuS6KhANDivWz9fNy/DBRIvFLSLIbNi786yZWMZiJKC6
CEsiFNrODlxq8nzbOMNINhgjummHWNIpbglq5uFKHHqMR5JF80e7HjAbki3s9VAjczfZ4LyPXys8
85fEg2AXieKcpICOOI94U/KTgCGveZeBP8jRYjBuEhckjTWXHcMjOWoM/FISNmISR8GsWow5J2nv
U6uY3J3j17H9TBBHUnxzU5olBGKxg4nPp7jFNtEmWRvjzqmsec0P8eUBB28hdoZZWyekcZNx6BAz
dFeyKHuPmTShibduh/N2z/82RuyRbZeRuy58ss9L7KPRpadKqYJeOlW674EW3g+G74antjSqM4B/
sFTmqLVbpsjI2hnFroofIAxHFSEu23p9RRzOzGA72gHwLdsLtB6KOb3rwxk9dN1I5CI2xnkKyE8N
zfMCFaNJ36Go7aBGXkhxlWDPelV4DyERhnraAo6s2nu084Y6YN9M55uRoMj7MhEosGaj8dWdWRGx
tOvnIeqPFLHTvvHAf+4BXYIdEHW0LFsAwf6hbHlF7XIy4AF0GfDaNw3Dx09pjKpvyovK2XYC/TLp
1ECCC6+/pc+77yFLPIW1nT/nhmfe6dIF0VCk0xlJRfmOiIbrPp/3ZdPtJ6KC7kIU2YOI8VFjjD4w
8hqDjDT7fdQPJ7j+qNDq7jWFOrkBqwn8PZ2cPb7or8IxRiLL547v0KqD26F480XiHgRSAWLvENGB
S4RRJurpTWkMjZAF0Mar4XVpXElyJPCBYYK1m+SP8IJ2ruE2N9Iv2p1lggjOHGQvvZlY53Au40vo
BrgbFNCJLgkfp8WRB2lY0HtReGJGDo/w67PtlGY9RUVHQiNviaDr1HKb5ROBsSDGmPuvFMHsOqO7
NI2iPWUTeeKLmaFU0uis0jgE0aqy4nx0GNVyZW+Itb3DcTztrBFiMdivZctcuA9CG0gfkkLzLozy
+qX0OvOijBW6K43wdDJ1+05oark1NGwSj4b1QVWVZEqFOXNNwTg6ZgKPeFbejibFyQbSk8ja2mdy
fi7wNj+XSXiGdeg+6edn/OXlDlLcaqEKnwt3tQxEWeEdh16V+8GAyb9I4wFG7ppBQloUsefezkzh
chKSh+Ek9RlFsm+4S1pjuGmilvF3T8TO6ACcJsx4k09Y4mej/NY1Y32GHSHBElaAjyi84V10DMrn
ZGQCGWQDWZ8z+A/SLR225rbZYlyvEl8/ZJWHO8zm5nkqbNOBZd6wj+BlyiKRRni/as79VTNyl6Vz
iIYys44msENgAroiY3LxzvkDAVs8ELtQ2nLuLrx5jMbu8xy3qkPyaYdiJJQAXslnGHh7YrbWqTLm
6/qgDLv6MkGcrM+cDL1bUHgtrr65sgh9MgxXp0ywPZRLOa43Y0XPmh1N2iY5a1vO1EZnZR4sKPoe
Yrr6N3ae2g9hUWbJEchnuwP9SPgezo09sn30GgR4TGTHduYbwbXUk/R3ayKPYdwSk4iOrfMiF+Fh
BEwHTq9zMU2de0/YQ/ju09zv0RW5GLnqcDCDZfamT8yZive2XoOI5qKzXqAItAFbNHntl3b9GazB
iKK4mw+aiuXBm0X6GSkCOBIjx4Kv7ea0VOynk6nEACYIc6ELxxgkXQOf4b5wJ8SO3zyjDGy+NLXI
9tlkNM+qsZOztA0JC3Pw9e8TZOFPsoJyABxkRFgbSqKN+6Xj4fieR5OZBLZEriu3KQXXETc/scO0
kHfsSv0W1jjy07OiBuuz0Uk0PK6ZbfAjZEIerY8dKsG5JHD/FYwGj3UZ5+s9aIynyE/je7OIcwTU
bQ8BhdNpPEId4CeqFY91TqorX5VEzcfBnvrxMgqJX0k84ikqk3C1ShPMI2LBpzqE/n1PShs0orAN
lUhzAtEJnnYkhIXWnQ0KldDHqOVR3ZVVsewXdKP7sUJ9e8CIG13jhBzUtoYPfs1DRMBJyNWlCb+m
e/qkDgHefGvJy7sVS2s9dAnnO0mz+bDgvD94MSfVaMWMMMRubmuE129y3WFuS3dhoJ41pMlwZpMz
ib6YZQ+6lNUSAVJbJC8tQ0d81ly3zxAk14hgReKZFaHKXaAn408vC0KF1hTE3tfdV3/s5LVYGmME
cuhH11Misc7DHCjmrwA4BOpbgDMO0R7OCLn3wuK1jBTNT6OtQd5vgwhozbfzcDYiUKpM66EmmOE6
kVX4qXbj6MqVffXiIucOdB8jhLAB+1g48ygiZe+sOTEeWZStSbQldtbztuDHC5+wIc8gDQpZT4Km
g3+NuzK67v0GwUPsSSrw0vSYWDhNfmyzFZ+hfZo4QZIRO0PYHH/he4J0FI25DtKFce1m4TmnjUVM
3TzTtPbUQORZJOQ2DGfo2AiTuMv7GBRnDZXjPini4VFUmiCyseJL5tLM7jzd1q9OGpN06C8NMeSk
TV/PbkH8TyfK9jlvlunGgyn9aK5JZMl6uW20+xcyJYirWSO5kD7OezIAkNBSZMTXouOsoWybbzDl
ze/mAneasF9yaGjah3fwOcgNN2MA187IJ1YLZmjLnD59TxpEFyuM09LSEt8ZBRoeVdPm24Y9GYsb
+i2o6EoXPDQR3BWwFlLECuCYBulFImbLhQEJcfexGAZs1HHPnbSgOmbpdQV3GmtWfJ1naWUhgV+q
G8NJaeIOc74qYzvSlI7wYMmb8jv9XnkGe6bBLFJiGcbmHVmV9fg9B24YO+sbrm3gUTx6zS2rxfJe
2Wndbl27nDN0bLL/Znugdrhminu/rjktuNDa7oCnw2o3LiXvw0KcwZ2vTVYz5Q7fptprbon8o/Hf
2PWVJrXq85Qi3LK0F12TKUwAkk9YatJ5cIHQ6sA/QHV4LI1IPzVQ+83b1sAZPbChLOSxAvHyTkWt
LtkTh/u6D+GfoiVQ9E210zMQdryXpfP0VVjU0WHI8+FMuMDCG16bF04rMrDQKkpuXNHVe2Bp3ae2
HkCSLPG7xkG9rztEceCEa+dN+pHcixrASi0Ax0B8R29OksQBmDccV5wlQaZbnkMITPOdVbTTDUXI
uClFGj4Ckhfb3KjutS8uB8WSCIKBVEqNJ2OE/3RF9unJ7OPhlBZ1y2Ez99ocAagAB2LdcBbG62Zi
wNg26usSf9u9G9rV0Z8S7Bc6KRbycxk2NpY0jzLRp2Ge8yDh2bw0o7G9KCNVnvBhIr2xHUpAn/Ef
LdRXX8LmyVQJCLoanK9DLk4NIneWNFCCi4MZvXStejtpcT5NqXii3iY4GaH6mz+uc6ZK72M6y0dC
3xTTMsJtz4a0mp+8aYzuTELQ9mqqz9wKZwCpeSjSkqYi6WB5pf9XfM4Khe5LVZwkG20oCz07nK2a
Z0wBaZZ1x8ww8QOHBpxDTBH7DlDMeRH2UyByu7jlD4qmfGg89A1uZQeq8F3fcZBehuqmhyeyoTFN
9qsKxSuMIPcRSlR+liTqcUpNLObDmrllUsptimSuNlUyxpcJ6SE4Ku1j6CzWW2yG437wDPOgoTAH
XtI7AURtUPd1rDcjdsNdNM/uOcWFeEqFPJRyqvY8TizAVcruFFa+f/Bz33/H8Gw/TbWwrvzCX1At
FOKhjqeUXHZf7CVrFz+tyx8tqdTtPHCV5AB8cq+oC5FftiASp6n+tjBqwnAR6eSqSbkNkjInOJqU
5JplrZ5RtxZpt51q9IYMEHBaoUzrFdY9yMHpazpP2SkayzOdNTnGKGFcVHM63S6m/aQhWO15FPeQ
RlIKNSTR+Kn7q0LI8BMGYsoMMewzlsB0A2w+ufPMdgmywvHOu3k1lZsxacXAgDOnlddFLSs47ASG
M7TIsTTM1XBJ+AGvncIzMh44tzzV0ZRCrnJWBWkKXmzTtiXb0txIeYyYoQ2XfqjT58IW7kFaNOBp
rVW8sZaalkafGNONHzrNxUwzm12dwta06ds0O5E7Y95JBcE6RYscDno7eF12mXOVz7sSCFonqpzh
KPLWcuz0BX1f8PZdemZNhv/sMzNln/PaVuXK+JLLtqmJLwZAGHsbiDfWM1Sl9ljZ6s1a3G8hOsYX
Ktb8Je/g5qVdZ3yCoW3sMWpHO6364nZ2qVhysmcZevt6QdEKEY5yaDoD5DQkJ4MQdREMyuzwPmYA
OFg03OraIEUcnMKsqmvaNxV5JNjHSATPcxYh7KrpS0GE3a3deMWtm9BH3iQzC2gaj/pr3tkYFLs0
/tqE5rKGwfOBDSqAk8Q7dD9D+BifWyoerlvCJgciTc5bwnCdY157vFF88lZ5W9I7W3ILU0hEQ/JY
hYn9QH3MzjQrYnGKsqn7in9Xf+36jiZCN/fFeyZKugrdosMXE8fXW/YdhVMJ4FFdM4UvxLGwCRdh
YhAOvoTdV0NigcBXMPhqt2SyvM9xaXCR4mms9irSQ7UX/khHA6Q2t0ds9xQ4VQk+LnZ7HBh+VIUv
0pL8G7+esFWo1M9WUrTJbVQ6eHOCoeNbgkRCLhWUqLQUm5iJg6aJKLvzZJGafaNZDhbmEAjf0Z7i
lU9eDG+qjmKk/RjEwp8NbNdrCYC0n+KFzRRBuCBCysBtC4pWWN5cJQMbg7vNpx6bRjvESK77BKYd
HLPi3e57jto3OG6CET3nyz9OpkQYi0Cb8WQCJsJEmaasZao27Ceqg+PLaIuzscu29II49RBoynuJ
fqwk+z2l3YOyAMF0mU3ZWW3RBbq2ccxbe1JT5fnc6upejigquITMW7dj2PD7MiXph7T4MlKA4li5
DoAmVIyoVg/vg0tvdNPbwCovXcOKH7J5sA9lD1yuADJ6mym/Cbc1rqMHOEndfDbRhg+vRc+PPrMH
k+9IVc63TsqQi+fOiOSZ/2GPBoKY8OzS+4/ngL4MZ3EwNH9/Ke3ua8LuJdnwZf2LuRu6bwn+auyw
fQvPrPcxCEEZI2Zwm5s8PzgLpUkIMP2/0wgg1iQvUVPRkTpWkzjgtjRRWmYrKYtLguybZ4oNNy9h
3l+AQkx8qaXXr7jKBZTtdTw4hBWsJWSuSpu0MbSBnyxYCbsmr8wTM+n2bCx657aIvOkCLVPyuCzx
+Am7x/CP0eP/aFD/pkFFrkjH+t+t4eBVv/6vb6VO9Hz1Wnz7P//7mOdJSSPnJxHqP/7Rv0SoCg4S
Ax9G+ZjqsIfyef8UofoWYCUGqetMHQ3ad33q/4NQ8+Tj22LwCCgXjdK/RaiO+1+raoVeuu8y2zFd
+z8RoSL/opP7w3wM5RsaVx8hoy/WscXKafpRnZa4CRliVhefpsYCvDXW+LBlSgnBUByAIwxlQcss
9e9R1bNTWWcEBLQNnmRihs+uOWsRwYdbr8pd4sCVCHf5UKF016Y53fY8UOJgpWCNbzNSkJ8a3iNy
S/UaYXfE3AyXx+6gv42Fh+EzpLe36QtzAYrEmOTCT8FqbojBXQArLRq7Zlr5OyJtnHY3rKpHaKMV
zaYurIeNwE705qez+kI4xBBoRPu7CJd+uYGchmNz9mjmBFY0CvvCt3Eld37hXo6CpbcY+ruOzsJe
dQxDSRYfTId0CSu5r9N0vp1iU1+1kV3cFVCLyp2aKoOC0JsAQZbSxEDtpvVdLuuB0htmHpuc+SxC
mnWy6xZCY+wdpsTGGBdXSQW2U8Kc7GLejoB5MgvvPTWO0Mp+yn3mQInT5veWTR/bj8VLxIbkWlaz
H9Dpcm56on6PQzWLILbsm9hduoAejtoZc0LMT23kN44y8iunHO+kSbCKzHN26/Wk4i/U5/VBIEvd
tqzM51ZRUJC7U3M3tI7itMdJdMlLU1yNcenw3fqlvzDHXWNX1VVYt8V7Orj+fkDete8kOpSIZtgd
IukvMgyrwAopUyGcNpQt/BdFypMvDOy4xOQBV5SnYax4idBBuk/bzrlzJn86d2o13tC9oj2RxW8p
8s9XnIBjAGf3nHy0OZBUTzj78K22bm3cDtVU3OdtVuCKA5FtY3jfas4IDMHsts1TfWXgut2C8uw+
ZdMSbkRnT1czPcSgZjywsyTf1GArAPsijB4WT/Huy72GaiItK+KeIFW2OxOj9zkWHPM0m/3XnL9/
HfUiv1UD9hbwrqF/p+iS3nostPh5wpQMSHrlV5A89TatB+OQsSE5LEZf3pk2d7Rye30BoFWcz/C6
atgHUHbs7rJCoPyZMDqmbobW8UmksRXQFcsbEqcGETREsB9Ij4G62wAnQhR+MmP3cgBtSBHkAiFp
Ki+FiAqNyCnzAaAR9yBtXxpnfWhocnT1o0EsQdwtd8z8TCgK52Lg1d815fM89ulN7LTXhqbIn1s/
wPx8ZxGXsiu9+ktXK3Us0upxXrUbeKReCtXmmO9saExFYp/DDOLtuV6p+asRhahLV3vk0ptPEA2m
7TD74Rl0BONy9Hx/F+JNDlJTfGYx7K7tupj2BtGMyN4jCfmvE4+CBgOdc9WRnoeYxcBc7KbGSaF9
xFtpQzYIm12vivaQ0zCkrD0tOrnQ8AWwtKEsLJOrMgQNBeACi48okEGmABPHOtlnYzptBXkcd0BN
89vak9ERJQetXKKBjmjopttiypdDqTPmKZjODks2gV9sBwp8Zzy2swizYITkezsK/diDs8dsMkuA
LVYMqRVkgBjNe7IzV4xNY+EWvZnD0SkuKDGuitZ7q5pK7lx38R9Sokn2SKkxW3tJeDM7XnIt4+61
FDWRYU1Bhy2xXt0aT+kmbk390rX8ZJqSddDWuX0e5SU5ULbkljYxYQ+F+G4tz29mlt1NPLHeYZxg
q6PK+WXpfYbMIevz0HMPJvM0v/gz3kc2mGZzT4/mvjTBikZeWVxXFNAMYXzCUW4iGVpHBy87ahQ4
5PUml4NJCZ1WxzobaAolpUZ4Wpf+nU7Ve10RIhjZlHhj7OW0MDwYs8x4yfap3bKowq2ApDCR3tTL
lTiUuMbeWmgKe7Yu9nNMFc7izqxr6h/jfO4scTYPpT4VpRn3vFuM5ktmsI8HUZUyWZzi0SakpvVo
x6XV5J1lPfaoi0m07u3EC/veaUMekWzk1ju2epDPHfbKU7wUcESR7co3zd2PnRQRIWGARqgEzcpa
3TXMqkiqscz2VOGcODVzaOy1n5ZY9Rt9nBlpXsd5n9/TVnTUph0YrgHy5sb1lzH+zPS52w22KM6s
JIpfPcTu/oYJAMqmaNbiInJafH9K1LTqlxGB9FATtzQ6wzBsmEPhXGNpf4f8YGKREDaUh6HrbubJ
bkx6aTMJTotV1vCE6HlOqzCoh9fhNK9NayafeSdHJcjx/rJzluI6HKT/bk5xz8wlD507g5L6yQAx
elWY6ogogKzUwnGB3vgShHrsND19CvhqEeOzo6yGY8Fqu+2oH+ZgxqwLJSXkLCIwi73HfpjlBWyZ
/KuRmml4KnqbKbQLLuI2bIT7yHsERBXhm/uenF2DBDJVh2i4rTg6tmBBv2QJqessRlH4yBR1WGVA
+MmLOTZuktTtkK06RfuZCU125eR1FHEXa4Hp3y+WI4yq7KvQTQZsgb0ZVCAbN20ZHklNLQLCC3hY
60o310vjsC2A3OrNG5uBXbGbbd+8rPN4/Cwxk34LobK8eII2QuLYfrsJfcLNmKqA52itdLhhqMvm
wOla44swZ0T7tAOQZdHwg09Cd/xMGWP9ApOk9LbzEvbH2tLOGKRJ2gDQUkX61HiJgLhWOfouFeD4
6Iw4zZWr6/zIM8cGorfNGqIcgAPc7LG/c1Rrfgb1GIpdmZjZFFiDAZE9F8ldiGv9wE5NbUvgLSi7
PZEeWJ5TbyOZeJCvZqsLLLLNyYKyHbiw4oJ56LsAGpYLSb9eVg2j2DUmhCw68HrH5BgeHBqNW6vv
dNBJ6V/kxtDTswzRKE0qrY+dEljdirxsP2ctiIRNEvXEZqAsqp6z2a5LoGL+3NDtbpZvjMmdy9Ak
AhXjyhs4HP+TisvitYq6au/E+ZAHLPEgX2ASV8aWuTYropxm85ggVrn0F6FeBtnmZ3Vco9mxI7kw
inJm502NhBXr0HIefR3HMHAKBx8eiB74jJVdnbEJ4o/Z0mfeGQ0cqDFZ2AyrYdd6HfyBFlUp65dI
hPpW+ho+dzrZ4JwWCshdZI4995LZwR8olfXVb+wGwyuoEeMEuzJ8ZrBYfpoX7XZ7p4yn877rZ8KN
sNwGS4s/v2DEeExBUZjwfJ+bUl1FM57FuBho9Bi70UNlXs7avxXaN696JaIg8guycKVf29c0Ogy4
3ZE6NOA9ahg5g3hDMg8eUVR19EhkhkLYWYxMFizDsfBtdolJFy+KrjptL7sRRcrRTvPhsAjMqEvt
5PveNPsLixhat2+Lb0AkegQcvatQROAkABJfIsvEf/opIhr7zRVVuB8qk0kpVxOeJwyn/jK2p+wY
UWYxowylCVMdC7Bg6CvSrxhlyPyE1VxuaiPOWVqc8fL/sncmzXEjaZr+K2N9RxocOw59mIhgMLhT
FMUUdYFRooR9cwccy6+fx0m1pRjKoazubVZVaSoxCcDXb3mXFlTH31UyV/ewvrNTO/ct8oNkvJTd
jCKdgCdyUco63qY2MWI9pecRnQS1b2Q/ojQSQweHn1B+VoDb5QbzYqwosxzJr5Ouc4ITrHnXi9IS
3flEfn/JF1aXjpfn35I1H/Z1Pgx0/Xq9T2O3Oeur1N055fp3t8zTuIUIKJ9QZA9v3b63vgs7l6+M
sP/Nkv+UJcOBey9J/r/VkypBWL0mzmfP//1f4uXf+Jkhoxz8Fxky+WwUwsb5JUMGdvSX58HQJTuG
NREHwP1+Jsih+IuuIT9OdgyjShgGnGrHIfvv//L5KwSL+Vug3sAsIXD+B/LCL7jwf/Jj8zqsDKj5
CKHz1tExpZAi7lJTnPG+Y5TXFT+qek1cG76yY/XDbhgKZ3koqHgPe7W4FfelWnz/GwyXrrlEeLft
nX1nmapS2UcWBOomTqgVoSFUZvMnaeN/vUCw6YIVY8MEsQALHT1sPsCmVuOC2mVeUMe8wVOnC0Fb
2LDjP2VY/cqTqoA1Gu28Jc4d05XFrO3UVcBr/c2cF34styihWfhUN7pQiCcuaPOhDPHLRP4LEE68
rR4QStMhN0Iq/BcyK+TYt9UDpLKwE1Gr/71TE5Ej8j1hRsVdeq5bXtGfinnkLPKm/tFT/1ruQT6j
LrB1slHyPQ3GCfOn91/pBUb764TR84SgEGJKA28K8OvRK4WFg9KzkumzIIUsr5B+Tcvz1RuRWz/N
sPmdyg0nL/AKRN27aNyUxdxB+8LtsC2fWlTnaEeHI42B88rWih4CaL8VFbBqZipOBtQ914dMBok1
nwRr2QfX61oi/HlCj1b5/QYRgxEs0/sf9RbLC0ONQfZxjo5gM1P2OWYQUdzDQKKsmu82+FCkD5vc
au/qKmnX2/cfdDShwAqYS/aM8Bw2ju8cg5SFFarZi5b12RuN+j08++yUJlt1mNf5CbBc9YjI/bwb
YZGRfkorOHh0/5rd+6/hv11XvAaoSnCjqIAKPhq29dt1JejFY+qVhc8pDsblluADET7DetqpvFqH
nUbW/xDWA0qV+HdRmGnb+oA7aXylaY1QLA1T62YVqXdAk4u2m0yobKNt4W9laV3lS0Og5C6n+C+4
97iZVjetNVYD8gxIfWzXYS6v8HhSCagPcHKx41I0Rizjx8Llee2GQDtKKDCHnI7sDcxmsAFtokbU
N7Lxk+075QeridwMcQox7V00eimlyzy9n6o4K7ZUFvgA5JtItoaUZl9Y9EVGvjY3Hz3fii7zbPH+
FkigJFy1JUJA7w+uGbt/Nsjr2EL+dkIaJJy5x9RCCs0x8x4mz33u+ddW7xYPiPkvC5CQxgZdZJol
7z/xiFj18kg2NrG1oBLKqXwEAxa2U8m674rvRVd456vlUndJxsW6iLsVRSpkUDGP8VP53Ll29YDc
E7kqXgkfLB27+/ff5YXU+/bzjdIFNGPUzjnVjzkscqp9YFFN8z2dvRAga0KvpqW/rneogfqbHjHi
niJkCx8CrxO6AsA0/EPG0boj04hBtrdAJJCjC8LP+UBEu80XzoLGUtkV8mzq0LvufB2MZDqEVqkH
lsh0txWEXzovnV2P6LVgbxbVq4/5N8OyL8rBusItkGgnnUIL8yBgHEQt9HFQBeywns4wEkEzBp3q
tifDt9xagyHrqwbk51QsJ5oi7oOPEfAJKjHq4+Ag25vVlYtcRYhNLCsRaXbDx0ITPc4xtQ+LtqVn
NQ8JEi9VlW5VG3ZXE+Q3Rd+5g+7N+LXUACIC71M7SOnHyjb/PDboSnu5Q2dT6YKWxfuz8/v5EwIW
97m9IeUyPy/l6l8YN64zcZzOU/k9CkgIcNyIi68iAim6tkwZJMTweVWGWtxYXxe4h2QHgcZU/g+v
8ZYJ+LJgI3Odxfg9xp44XrCUflWt1rD6ThKwjBAAmZAA6FN1mVfBgKIIFiVIr417jAMITnHnesyg
h3Wsk1Xc/+Fl/mXDAimBEMTRAW/n+PRf6xGk2FwW39PQDj72gaDuWqHYRUkgv3BFPV6jGj6cd15T
n1WzK66GJqSDFVbDfGtMErncmkkjBze6P4jCiBCiPi8//uEtzR4+3leEYkYwIAa+dkxf0jVKRHHv
jd+XqejTT4aAi7G346G1q2xsJQNdgvFQK53LSPrtj4xWLvYEVKWnUzds1YNPQnNph1P5ySH5yJGM
LpO9LCg62mtaYFrX19af1ttbwoi5WOGTGh6wD0mb0qO5h35ZbktV92Af5uTZGNoJ96SrEqovG8cm
op3dsPBu8Ln2OcqxsayoqNLNDPVdmfvNn+g6b+H9L28CkxbxCp8Dkt6OCQF+eRP6DgtGY0XwrNE/
D659pKXxu5N404XueYqTE6LJ78/Y22VlnshB7CGWYehmeCY7b5+ICFlVdrnvPM8iRb76O85eQArP
km4k9knb3nw29sXj+Cf62W/RDM6HETG7C8AsNISNtw+2RGqFLU2cb9XYyxZBo6WjOgWab02W6Q8f
ecTJMV8Zw9tDAgbPRzII++hhHHOinEA1PCsEZ+vwgNxk86lyBgLl7RCi99XdzPGa2PVlm8smsE98
nZXrQ6HCrnMpexCVJxtKXHX8oaAd5XpIdTdOdVkCvIyWAyRSr5aH92fm9wFiqwfmP8jvkxkdXZc0
gJSEvqW+zTbYMxDsoXHfSRyLDPcP4/PbIjAkY1p/kFkER+5xAC9izMgohDTfKE9IPlhacVn80FS4
/c/EVAFyUWgKtMOfCMVH2gvMix/zgU7AQQ8DQxyH6YkF+LCTvvUVzLhwsOGiDTKqbRh1VL23wqXj
UKEJ6JXh0wI3ZEalQEocCre1NTv6HoTZRFkqi+Z1+JoiMhtTmQkcSCKQGNWf1HJYnqzJf043L+QF
Q1h0rFZi0kgcLyM/nWiBjbL9StUewYYN6lzDeqsQeWR+1sWm3nMaq04F15ab5Cxq1XgeyU8DdYbk
IC69dPnGXNbFjwC1Un5DnnglfVIt4IH8eE04vKTjdPHnMQ0+w+IHa0R9PyyZdE0Hk9lp5BCQdjYA
nJmRrE5MSkLggTLjzsF4MPoADmGYH6EYkDJvQK0gq75zioKax8Ze86Av9o7Xo4226bMpn2+7wCsg
yUyjyMXGRat0vWUXxj7AfxwpHiSaZ7yj6Iq4GUH0jeIz2mJdgehdQMPkYR3cUN9r2Qf6ThX8P9Mm
awo2Mq6eQcucOUBmeHSNYFe54OjaWRwqCYLZfEyLQwwCqkvWBI1Pl7dw+Elu3oQfyYNQ1WCsoBMO
H4YprEnelh6dymGrJCzh5aRIYx5t5VPMj6/0gXmaBYczuHbjEoM7Cq++PiSe7vOrymui5ZT+zdxc
YGixjOfjPM6spTkCLLUYjoVYLiKNrHCJEvlgcsQ+Shw2NvDQQaGlhgA4GpU/PwDz74xPbdB7CYqd
DeKPAfXthuWn5tQcmBVBl1Wf4AUW8I887LCgBKOHCOX//I6+6y1MZnL66biOOaiMzBs3W33GYHTz
hUfPXcZBvLgt35S+jqpHR5CR86Nu5AemaUAXs6nkCOZeZLF5omuFVCmWLgkYlg7QOZ/HeWuWS0sR
s/jh4i/KoimSoKjvcBmiMr9Hxtgslw7QH3tKN3HMqkkdvFWWrTsjCfmDMFAk4R6vwTJyzy08ZZdv
Pc5qjGE7Uwittj5nsEg+RpUdMCZrOEbVdIYBhka8Ll1Bv0a7ArMy/m5BBM98RBF3wXzVu5hZpiet
Jc28h47mFDiRK/L4SMU7iVm/0u09/gRjoXf1eay0x28BaeuxFcYCTZqCmR9CrhCJnAuvhPGGeRAN
TvMuXpxhBrwFVMEWXKIe16KduwaBd9CAM3i9os4jU6eABlHm18pDpf9zPnr8AQGUJeS1Ci82Y9zr
mhEcKScynHSPzZqrKHl4h2JAFDTcpzYty2FrSkn6vosa/rcnemUDh8XA2UCpZCXK8KacfY7D3WoO
D2ND+FT0rjRb2ovNL5U2WlmkrYo6SbMZOuHq+xCbKUYBqU0DcNLYBRb1FQBZwS/sJS0KtKOpPZhV
jaiqHHYQFlbhH9A097GIK+x72IN5rHci8kJzMmVVhqtrYFt7H0OKDtvscklpGbC26XOnGkLDrb8s
M8s/UtBeERFHz39puK+nFrl539clRVp7qHqbNKpw85tWZDmobmpTZoYb9I6wN4IMrrR1Rp8fvCNu
h/3QAgitgCVOFyWiGrxjYinmpod83fpPjRJgSpFjKiCufIzrPvGa61a18RxtA2w78RTgIOa4ORmA
kSw9IjwjykabkTrVrDeJg4vPIXGLEVdw6D0cs8G3dQIQS9UbI0e+OS7mciXLRVEny5AHb7NRhNfD
HCuzeDAlMStxmBZSs3JBaQu1bdodrCFYTX2ZXqA/ufJ3vaNHiTGm73JU0lJnlHY1aEkStNm2aC5e
qymgk7AvEM9nlpDocrgL2oVKfrCNe9ucgiODz8oFGZgMem8PHYrEaOGrnr8bZGLOpdLW9fwhHnAY
oCfsjSnHU+eBvJ4ukHrndNCMIntBOBB+YLP10sWtg9mnRX0RYTTpHaJKrbx4Nlsjj/ZENfP+HJdc
RwBMAIXQdEe0VJ1EXmUu2WEYe5bjHPg5bRoYSwvnwxJllncDvEDSg+SI8r1Dh7slnxTRcaY5WQOE
hACLjNLyDUAP1befdTdOfTM4E8lrG5+i8B5BN06zAtbN2VjAZ8MfARGlHUSdJjnx0I7qP1KK4eMR
FK847fUyhbxxWCAnpPd0qkM2djGuhNP0DVCQKjc/l3WdA47kkPFal4W7ItTIm5Oym+NeWRGXlgBw
xxjTaIslQO+lSm32p5Xm7Fzs3ZCGwbhEhChI5xy7OxWXciBhXsUSfLGaqZIfbdAC9xRRoAuBEO5z
mD0Nit+Ybeux+9bhL2tdyLRG5DjhTd0tNrV5/yXnzF3BOTZt9Uy6vkqqVkgVP02Yuk43a4z6pdFU
GtqLDufzDsQzzEWjyYSKoBr30+RH+lr26BxjilTbtbh0K67VkyQaUODvmSPJIT9H/QoktdES60is
zbSJrFc5Ua7zQvAnMQAUaxkeY0eM3segGhYPkQ6sF42zWIU2QrvpYr4fOt2SpANWXdxk1TZcKzJz
uBzVast94tA3u5jZHCOawRTLENHo9sBlabn4BGjrfYoMasvFFwzhuVqWMaKhDWR9CzM+po8fpIOK
dxgAGze8MHRQCfCr9ACQbtjB/5nWiyRubPtUTCJz9kk3iwaTibBaUaFOXN+67cq29j5BOwE8fIqW
wtL1J3Frz/P9PMz4GFlqaKw7z/LU+jA0rGpqgEEgP62hThHzqYYglN0p0s3piheSDrtgF4O6xJ47
H3C8XVGmxXkrLlvXoTQnV4VVmqiLqHnOnK7Vs+mdLf33uPBdGClj2LUhLWvlDyDzk6b3o91Y2n4V
nCYkrcE12ECrLE910BHWZt+zCAs8XGfaCBA+4CkfBx2opy4Ooum1dPiY4vZn9G3DkwnE3YQ/HEjz
Cd4f11JXu+DZP6HF0nXerksmmUBAsW3KhQAnQp9ojCYsG0bSWmX9N5YsiKCkO2tzrcQcJGzuPjLh
o+QCZztkXmBOuBpcIkdJbi0AuvYISIEjNx/WTdHF2qcWISkUDVyMrvysLrhlqKlCijtdwpDfCfe5
NdEf0GCTOYQUnXjbBeurKj4d+zoPPvuNangV0VlhGZ+m1kBtvYPBxzHpK0VkH5UWo3TqOT5RMKVB
E0WjKN9xlhURsNrpArxFgmqZWyvfBgcIn809xJ5TERI1UD45U2pAhHwocQl20Xis1NIciHXlcEdP
ETy0CVHeeGCAugaVhmob9dPMm0pKzjx7hAbSrh+15/f8XZvEM78MIZqEvaT8VvL+CjQjJ0pJCZEf
cQoR80YNfqt0GWOkhviRONGcNs4wyuDrRDUX3LEDZv8ybQvNtTh0qBG7500XmpAliwczRkPbBIP4
MVpqKePdVAkNZID7kLrBBgTFzNjGVJ4Zfs7wxYRIL+2NQNXmlvp5g3miZRzLFgl0MGDxZN5euInF
QHYpLNz2dMmxoflRjRYDyzFTmDcYlYVd0+F/RgIyHzWksUNDk35Ik/Eb23qAqrQrRbNEFRaCIM7y
bQ7RiJylnhP/cyUFvZbXaeTCFOKB9G8c7qM+mflit2hgIeGIounuXjdpqbGoWqeCgvSjBv9dlIes
C9J6OvMIR/X9GjomiqU+b5otUo46z846uzFBhT0UOSH45CwmJ46CnsVSU9ADUJ1PtgyHnVc6RCmp
k5hoXredpGCP4r3S0S3S7k6bXwZJaPM+2KOYfeC6KB30G40ZuL6vlGe2CHAs0+Bpip4fSLRnAjVR
kRrnPRghqHXJiJ7Nae+EFXF2+nq7ZlqnXJqo4BOobl23IwoMXESPDnoIzHpMqgKa5tZmBIofyQoa
czG25uaniUrkejtVUch1KXBm4g7LMtwiaCAGI3zLnXA787av26McfOalAsnOpErFwVdfurOr0y86
mtJcHnyMPcH+16D6WKY5BmrsM096Zu1WjRM3V/UkUj3s0gqkD8rjA6AggtqpRY1gO1q65lnNKvkE
u9O5qYsIE1rHuiXlS8M4l09ajrmxaSzHDqMgckvPvfQmAZUZ5yuHdVbbjkkCi84nY7MFnp1sI4/S
/y2JJ/M8LP66XLgTpi0XQQg+TZ/ODnblTzoTM4MC5cZEPiq1NbGGaiPJ19LrKQkMfmbE0QrbTO9n
VDLIvvDBcvlTSs4CXc+yrPkb3BdcNm1L2/bWzSBLRbRgZKqsQxR07niPhYk7WltrEow/OhMm6aZX
ZqIwOWPqCl8+liaQT7uW9ZGoJGXWBiAMhOtzZK3xNpe4VxKjxH67PjDq5sRFQoOc96wPYXgqkz+w
nAJYDPwimazmqOw4k4NDFyIli4gr3oBENCKi7/BtKSPiqNet1+jKhFaVVRtftaVvK9XvBpCgZmE0
kylV4b39YlJOHXlqbmxvnhvctlOaLfjVxtbAQE4CGkV5IFtOu6sgKOF+rVRr09MEQ73xQwBxXZ1F
44y+VgS7HWWtMbQ84gNo2bhz7ANYV/ya2EOmID4t+sZEog6IDc6Z6TVrnEt81LOzHpUfDikC/jHY
KopkTnWCiLrJAl8TiypZzUu3KyY3OJX1lLIhKkYrGa+nI6B+O5Ikm9UPGrlhSnMxmlcfG9C7NQDA
MRmGE8DYXnkVGng3P7gurKgFxAdrbWAawWjPpYKiuQmsXK10wjNsNp/cdjYZ+vJ6csQY3DKGtSjN
qny/jPcvNaOI8mPsAmAI/d96GTB1Igw0qunrnAwmzzReagh5Wh5aSPFGjZLv/cMjjyuHlKki0lPP
lPOciMDpbWl16Ro0Podg+OoHk0ErvC6NClYtV9f7X/f7o9BYJsaF2uBQPD+u9ztZ2q2a6sTX3EvM
+dQGHm3Si5nDmrPr/We9VAPflt8Q6UZmiqalG/yOwoDbTO+tKt2vs1uPJDJjZjh4W3/wMrYhfC7B
XbgGLYfG2Hg+Kg2jrvoIab8B54trqhCmkx+T8pqz5/Vk/tnrb2RqUgTMnBV3Qhj0E396//V/GyrU
UU03G0Vx0nHHNn//S21/lkk90Njzn4Yca0yspmxp0kIuV1Ko9x/125pzqUEjth2AfHC86Lh0TBgF
C4sA6inOEHhYDskSFdODWEOzRYIknf645I5bKGjUogRIN4dnAhg4VhKXvXKjlF7BUwcXnN8+zGy2
2xGsGReEAxVu2SUx8T7BxMKfvwNGtOUNpx106fe//XiYQQn5vmkpAAvyxW8dqAk/CA3n1v1CTYLU
Eb8tqlQA+kw6//6TjkcZ1Qqbr8XLjqdRHDNV9V8mtCQwjFxRiC9j04blFWhOc0HlBZnaQWeOiRrf
f+BbxSkaNOg9UXYG1ASNiKDpaAUNRbRymCzyCwBUU09Gx8gccxyKC/OayL6aBWCNdMnibVj6GTfj
+y/womn16w4k1AICa6O+Gkb/Iq1GlphVogubL31mL2mDmCwSvydUPbK4OH0NW7TMTGiMzrI5v38W
xS0f5RX3pA6wgsjOptfBqQvflHgo/S/s4hZJRLKFFddzrgSFInGkdpE7WBESV6IcOK3DyTeXpV7G
Vre7LLHZ+BtajKb+CqOV4pGY5IzZsS4p0Z1EBPPOcJYDpcL+oi0tE1tB4DNhlyUdBJK2Ku/NdQ5k
mdgmVIgkcBd3suO1wtcCvSK059QsS8cETUU0vER8jjDBclLU+DNvbIUuDOWxtJBUJh09a1NkaUrK
su8P/28LLvQQtQsgiQE2+X1pj2QWGbYdy2Ob9QCjD2k3mBQINrWJAH6WrN9/5Nt+LkuOo5Z+Oj0a
NPWi0CDsfl3j9JwQEVLR9BingakxwhkNyisjpF1a17ayeQMcK8Fid/tZJCYotKravM37r3H85S6i
wjYnpxFnYM8dA5KQqWsm5jJ7LFvKn+eQNYf6k1NOjrx01HD9/sOOTxD4b37oUikKcFtFmsl5+80A
R1KUnJT6ogGrrA9+EZplURSdiazef5RztKX57VGIXiLgJjpvrmsfNSaN/0OFeabzCQYtVkQJ5csB
OznKqGS6eTFxO8CCW2v+EVKwYV3OyN49EAr7EloFZV1KMKQ8Bq/WTW5FHCpWoOz3dp6SoWSIpi/f
srbITFlrtkwZIBqClk2oo8CUicua7si9RsKIj7NKn7soTS3TKQJMbs5rEoJy7s9AOedLtW9w+/au
3h+Eo/FmDJCLd232qRcCtjgeA99PB0h44/xprCGJl3wvrQrsaSckzR/ef5R7tJ7NnHJ4BeCQAq5F
tCrfzu3UdtRUhZfcI4z28qzRp3Ra6t6E+iNHPUfQa++9ApvGKIDHMlXSn3+SGnWenATBZnB9LzT1
THLBjpPOqVVCRcEqi9Fa0WDvMmRQ8q6GvbW4YOXdEwTgSI/zlUMNqsFr449ukWkiWUg8sXfWyF75
O93WZsJXv+Ap1ksnPnwtTWhBBRSjIT8zM1kIopZpg7OcmXdUPkxh+WcLjR3J2kV1xyTPCSL6/MJF
gAtq/3Dfvt2agGRoIrJ0fS4GDx3EY/AEekD4rOJw+UwjDOUDJ2nKk6Bq0bgKpB18en/+ordrhacZ
Hq1t7Fp8Ll4Iq2/nr2e4dGR3ybdKu+HnQmJQtHfoxR6CMuo8GgrZsE+9Ob5YMA1O4NElzaF2yupB
p7mtX6jVdGhTdxNbSwRXBUjVp4RkWd1Ws9LZNou0c8A3/UPN53zTHQIsfIeVLVsaR8GNhjt4kdm5
uuL6y1ZKAxlCZJYq3L9Xmtb6PJHwvzcdKsjejhJl+WCt1kAmUsFW2qpY3npcgeXeqyz3KlwkDNVu
gSsa84YZ2ITzqnJoSRTdQO2wLSf6hYOovoCUgDI/45G0GdfeBibXyfDeIRh46jIkFzaJDDLqJalS
p3gUNvdT6I4PuetC849sCwSZRZHwsRxjBZWxkx8RllHEYMl4KOax2NOTWLptQ3NqRowuzq3N6NX6
vGrak2GKNdWhrCj+HqMAqm6UjOgvTbK9X/H42xHrWuD1LcvbogH9wRsW+6uzDOqLCFfvE7pAiILP
QX1Rhio/8XKwSn9YEUz4PxHJ6/ILAYaba54Yzj06rJPVI7STcfOMnmoNJna272FHOWpT1+WV9lxj
14Z5yAdahFiTvf/s3xbjy8IHq0PLhkP8GDYx+ipuS0/Wzz0G8t0GilI5o0cIFfoP18TLbzr6SrC4
AA/wKuJCPgbLzLjROxpczrOYWpax+2LCgkC5yHdzVoV3jVMnd7nC2nFjV34M8UbjXn2qcx8BQHCV
qGTmQ3AjAxmfN1YffuK+hSVJXXF4qGuCF2doauhWg/A+2LpofiApEF02lGc/aGdx/o4L8tSNaIWN
XkOZ3rh1zNKywjqgelPSixNTTGFNxssz7poQYPtR7kXq20/2PLjblfl7jYX+l2dxv3RoCjw911g6
5YpD+9vwK2uCwC8Ap/j/VyO4/j79n8dWlv/yL/3kWkCbAHhFYYDygBEjCDnSf6oRhPFfIXgjnH4o
a3HX/0K28Py/DCyNIzcgBwd4yU77SbbwbOQNYpOUUADAtIBf+B+QLd5eKFQtQOyTunFPgw7iSDk6
4gVyyNTn0pYIxeKuLZvUv3Hl1F3TfPpTScFc9//sq9dnkSNjf2UAnuLYvwlkv7X2kWjOQiTprqlk
iOtiJL5aGIHLvv9PNdfNt3m22cm4YJmiydG3SfjMIfokPI9aU7qZ7I6zophXQd/Z6IkNYBZO3DkS
91OAps0v6+D29bPeESw2Dwe8FIBdYvZMGnl0d1o29tBKNmerHIbnmjgd43aho8sFVZe7GS+Bh8Sx
/4Tz+5ch9hktE2iYtXZcjCI1KeQUhfUZp5XRHsuGZw3nkRZGjhZZai//8QMD5MSgEPFEk6keh3iF
jT+xA3TukFlc1tzKCKFmQ3xSR671BZxJ8Pj+sIq3MTyLCEwYWEay85jBdV5ill/qABCVgaYms8Yy
Yu4RqAkSyDor97TeRKC36+0y5uI6qpDDDJdS3PVUiB+aDtmDbYa/D96koQrvhsVxAIVrf9SkoJm6
FIgjfF6c6A+rgFT9eNGbuojD3gdoELPZzbX2y/s2dUyqWg/jgSwo9e6t2vGTC5VWSDwD+AS90Kdi
OheIV1fpRgF/v2cPLndWXMkDEWYQnL/o4NW4x8OlUzLYoNLEWlJov13UaySuZ/zEs3MN4L+mNq/F
NSKsjENf+uivjo5CLskiWt1Mi7NG+86fxbUlQ5BQY2jT+LaW+U4MwXybgNOsUFdAIvNrpN0OcR6M
F/VJVPZOcSFdf74NOCWCXR7pMjZm3xYmBlmMOqJ0JEsuAVHTbEK1WChUOWsmxHdWqaG+izwv5ito
jtr7MDfLdAmCoUJr2S9A4+GYgKm5OQjkUrNPIZXOt9Y0EN+WPdbbc9J3jyPqlY+rtN0zQM0g82et
u8eodvWtrRQyF3Fv2p6zXcQnBOr+UyTt+Q41UnS0ap10j242zHdWb4l7fzDagmvuP/mx7zRnzRLP
GOcOKFLAcKThqxJ/vhs9iDbgebwJQKrigTG6vA8OknRyN0aT/1RRs7+OVs24SU/cjzGTtoKxeEB3
139C0ni+y1MVn/Tu5Lv7pc2HaBvPFppFSifz3etazYoUyajMzafxKjc6WigVEXaSJXePzqKR+Ifj
hdCXJZcSB200A+uzsrd63MWgLEXjyYBC0d8ZJbgH4mH0pIZyDOcT8JisE90E3lOrou6RujGbv0ep
KkZ04qGr6iLdoNDFysC9z9p6dFQupI06zMa4y96O49JNOx04DCm7G3lGdB3qbdpS6N8DwGGS4kyg
ApsZkbYJTNldPnlw0XCOA21nxt+bB4xZx8g7yZCLw5HGymjGNFBxX35mSJJmWy92wbmxZghU6+4D
HgF6N4HB3EMcYwFnZnsAdUCXGE3sJLkQCoDUVqtphDczR/EdGaSQYHYolY9E/ZFdXA89THbQ9oRw
80eEEFApJsUFZ7avCnvZJK7Fv9BUubDP6JeFesZI1Gqyc6XQvjtd7LGYdvTcl+Sug71coR/jQw9u
MuBnl84aL4+4sU3PGjVvvZ1Q98tvp8Vypr8Vw5+dqqbRp8rJGmx67BIdzwh2YQuqDUVP7TPO6r5z
k+wELB95YhMjJ+qCcct6HGvdHj/sqHCvfTQWthoj84S+3AUSlPN9UI8I6XVJzrRby7WHquxWhZn4
rGyn33XZEmwGZINuLFKsuynrFYKQqBF8GbwyBj3tqgnftDifL3RooX4ZtSlyJbaDAJ6NgWyE0/Mz
XD1xHdR5eE7RMLim5xujbrZ6KMc2U82Ez5ZqN2uR5qdG9f85zjOUvZU1QtJhccfn0Lxxxok9reIN
5MnkwaXK0uyE5X0ashTtUtnDZguL6wKSoHfoJ5cjW4Qui07aFPE2S+mr50zwhw3n8nxnaE3zCSlu
lh8CK+GWRi31dFFD9+hTEXxAuWAsNmEa1cgnaT3frXg0PpD6ievOE93jgmJ8RXVyeqIrlD4UfsCB
2TrlPe49xd+FXNlY8eK7Z4lNCTWn6nwWdTFGM6CAmx3XaHsf+LQ4cvQKFZ+R7oWLzP65Dx4n/ntV
nfhSS8tCKAmAWHRGjZAu31Z0at4jOiHL88Bx3a9rqv3gBB3+8yruksvJ6tJbiSbfWRrF9yQZ/UM1
yKelns3pn4sHVccjMCvGCfo25zza4Pl53HbOl9FKxmlLOwU5hXgKPwL0LkOAtNMZgBhL79ypF1v2
JYIzSSujPfrRzc08Ipq8Xz3noc6ibkcDBnl2XWeIsi8Ogh0WEH0NWDhprrEB9r5WwuXnO24s+cnP
KDB8jaMJCYq+75J2v0b4tmygi4+YqKnSugSsPzJ0NVo06+Cnn5E1bw/o6UVIJcPZLfik01B0stwi
4a0egUoRi5h8+9LF8W5bCs209vBTT3L6/xwWXpXKaxmp5WxxiwhxoYVrAeRETakzUM92hS6cnwAs
ojkPvG7Tj6wU2tQ0OWfLLKURXeNdSp5+TW2ds7THb1Btipjfo6EgnIJUjC/VxNRsqwo15E09AmvY
hAiOU0AC54wNZsMSnN00vgyqDq/r1Ck576UGt5BpzkHtm9Q/pjlzGXcV1u+RYa4VXCYIQoQIJ3Yu
jw/8qUf8HR2PQyt5MO0D72ldCg78lyMwpKEqTwDBmaUP6Ca7HaYmasB/TN7lNI72KQqSq0b301LP
DbpLuCW7khVBbdx/emEaqdznnK7R0Zc706DOdtVAPe48X8hrTl9fSzRoO5z2WUEkkVgW11eIgOZF
X0l5oLY/3w6a2LfGex4RrapZzp3JCXD9Hpfam68ELDR3S6rZPk5O32U3jq9567zu+NZJG9RqA8k4
vPP6rlLcFsHgYR5aZWmP2Ba24joMgcR5wflYqqLfQgFZPiZW6z8GmeBgXaRVXILzn/NNWY2olrqj
gLQZru3CuVkFl97qRopzMRQfq9bC633MrB+DRFE1GydklXhnohwcF+IHZ55YFlElucn7eBD3LjhB
NETlTA1IhkD/eZPcjGjfMuOVT7F9O6JMxIUpOao+JmZGAe4zTRRH612lmEZL9GQNSD7Y0t75qrPy
Eyy4EttgGj3fY5wILT8GLlSvjxqEPgY7aMimWXRXlVEccFV18epSyUn7JTeGE1YqPhUR0XJ6Ok+D
vwGMO99VNmJFuY3mEVCVOqfkgxLqFGA1UFsxMUjoZPY51Y/s2q0HjQ50hnp+tvS7mXrveYVM9hXT
398hTpWdlXS9P89WjKjogHYKGHuuniWqD6kTCOTlQmsPfsXnO3AsaAw33g7jC2+BfNvX7gek9fOd
K9NxT21e7OQqsLufqUq3cGc36VCJO4gWgBYJQ9Cm0bjdIwIDVjCoyx9W7vn7SLfJATOIGtORnuYR
O3Dacir8QHTih1UtN/GMQSLrmsBg7O0bNN/tG79Gv+P/sXdmy3VbWbb9lfsDcKBv7lsBOD0PycNO
ol4QpBp0G323ga+/A7SVV6Ir5XTVqzMyHBWVokGdBthrrjnHBEMd2N1c7CWVHhvOxtG9tId5m/EQ
DTMCFBtpmjcmu6iz1IfywrvNc7mU4siTj+7yIsc2ukLBXNqVY0+ch9zsoMck84061/FjrdjDc1vp
xnU1QtoKjFjlACmbnfAEBM/x1ii0O05+5UZHdv5mQWs/GsYI8MIv8J5S8Fk6kxm5eyVbvlqNzRti
DnyFtwioUxJCLRAVB21lrCmAiEZgfjiouIMAEQY2mwzcDfusOgG+VkBw43Y+d7ngQ1ok3G1Su+UT
uYx0dfoAPZLudgajhYmBY3f46zFqnTp+GsVd5igULoQFDQni/di/jHrm8cSr97X1dujH265jj+GT
+Ovr/Gn6AbjEpgotg7HfZHD7efrxIsgJWdXXewHMHD3VcbSHZjXO+yZ9jyfbXEeXt9vhr6/78+aB
KZH/OGumx2YyJYT2bupiJBcGmKp6LzNhv/QK+7uik0JuJyfh/lUV5Xxn2wn34mZcT7m/vvrP+/nf
r+7hOcARYPNLvN9Vzx0g40mzq/0E00snttDqD+561wW1xt2+j2v+qbL5fDbWkzemAm7ub7/CP4rd
Xyh2xMSMH96sP+FDIaO8vhTv0Cjrj3yHh5q/kUklfsyC1dXQj/jEfm+wd38zHdL0qweHyrM3/ep7
gz1yHRVkNMBiN7ExzPE9+EOuM9TfdH1d666fRaQLT/s7ct377+16qECvw9Ci428x3ktomVbrZmeY
yt5jB5Bhf5iX/QAF4+GH1+S/Ea/eq4LrZdD3V70SkfFPBpNF69p5XEZl3y3Mtvi+59AYVPemAC74
V8Hv95IV13pr2DR1ArG2+daL9YNAwnuRdd5oRPtZq7wb1W5XRrhmHM2FDVfNRPJXThKCVO/ufuvG
mWw/wWlYrKS81yj6D5fEomY1mtNGe5qtIubDpuqvKk6O8N+VorIClwz8E/lWQ9/SUzNisAchPO/s
agK3zPqNFpdx5Kk8SCptauBOeyJE3N5mrwW4LdP2qiHXsqP00du9DS0k2nXSNXKll2vFReR4+YTS
9o8IL+XRG1uSIVGRXkczTHcg7dA9DM6x5O/U4oCMMG+IxBUXCPkL/nc8oQlngScaI87qMKebyREl
Jxmh7hfIUWf0FNsNEk6aF70Dxr0YS3XDbJI96mpKERPPoq3VJGVAW9eIabac9moFprNZMNa6o1px
QpqnjZZIIIS90Z0cra+uSZCAmMUQ9qKKWNkLe2rCpVWmfUOIGTlBepEduAplPJ1bFFf2sgZoqiUZ
fLWZaOtpXXOrYnF8TnPFo8xHJtBM8Tn/XvSDFLPW/iRlnW0dlkwljGo+54Ga0PLiq0ZRvsKvqZ9B
8LgfQHvrd16sepC61c77krldDerKaynKKPQZ5g/0eLltWV5ynwULAn+cQxsoalPcqGJ0a6SeuLpy
hmk4zfAVnsCviCCPUqp3dMFnLyPX5ZtAfW5SQ7tLZKoGkczmu6Tx7A0SZPtcOBWpGKn2nHZsBQIQ
wZIvbVEku6RMPs9tVocxNWunGJmGk/uCd3/T8eIkZSTODUyjD6ahKxejTJcrdSGf6XdSy4EsjKoS
5gRX4HFWyr0JnuwQIXPvx6nEMT0DpKD9aPhCPr1/zbW12WuJIZPCM029Iy9Bh1fH/tzQEjdh0Lku
Qer40hFfVENOPgZUvPy9xGITP3qdkvIhrcVOgcUN6LyQQSepHKkwxgReBN/WqftTBtqTBvE+nsmC
udmL5apE8RQHeXcwwqSy543Ew3cXTUK/sjm1WHKaNNJFwPe9kW+PxDF9NnJTR5qj/qPg/Gm1Sn/O
9XJ57SVHfd5Z65XalfwGWq0e5kvf3zVWT2Kud++axks3VJ58VIbWuEZXpPVvXrprxVngsHn2dF+W
HnB6zRu3DC0X5IoPyAoVq+XcnUYanuIRb29pp7lOT8nAHhVkPAcD0lW1nvlLl9HNExc5uFB9oNZk
FpTVXLkE7+SB3TKRrYB5RlV95qcYn3E3AVH0OX92U8wLUTUhhW5d9mC2mcvx2AeT7I7TgzNjL/a0
zolDix6rnDIGKAa+1ai0RvVuWe4YoCCaSKQFd4tYrVsH5rBODVMA5e62w83cgH4jArCN82mJ78bc
4k9SczRSz9O0A524RVtOtzHFYK4B97PpkpMXKWNFWVo0Wc96TZox89Uygko3tXR+PGXDpFjbRnKP
/OKsYomf9EmvHHOOx0N7j0OlLJqd5nX5M0z+/N4bKR9p6WVbL+bQ7UH48MmJZgUEsKFHs4+f3Dha
EpKdT1EY3J23zkCrN4zjpEcNyrq09nqhqA5i45zOYbF42gNRJdTHrln/305kR/cElqbP1MpELowq
PN1mjh5TCcRt1uMlpBx4jIcaPv8xZWm+6YthQUFsIngomNYYaE0TKqAzOtpWs2k8Fm1abqza64Oy
U+kKUOak4B0ASiRb/q+mV8r7pVMjGjBKZahDBLfiIg2z/mqyfWamiFZCvm6ikM8QMMPBjgUmQHKY
B1cV3o2wUvsFlgW/nyFGbUsesLgQw2PvncOZoQAOnxs2cKWH+O+24slQUbTp5LHpEFmK6j4uEg7+
iNeDxs2DqAHfWxH+cwp8Y8H/1SnQM3nm//u17X+1KfCan0+Bbz/yHZCner+BnrMMDDCAud4OJX+c
AjWNEyLHQ9XiFOa+weC/E/IMh1MgP0Vukg0nmHh+h++nQAh5+sqepc4d+IPm/p1DIGaLnw8wKm5j
fi9Wi3ic+fXej1VF43SdzO3pSktrcqWoHhNZprWwhfKJU1WPrk7rb+P0y7DLdZaP6gdEclvDFVUX
3YNemP3S+qvFXN8IeC/1lPHVKZvavU/JVfJoCYasJAAQ1JM0y61pTOg93GbnfaZMEzZ/rEB6MR7a
gcUmY+7SD2Vfn0sxI5aO9Cd2vufWJVJdJo8cqkb1kKX2fIbqHMFjbmqMEfZHFOVxN1WjEweqBIZt
ZfVVtua4KM/hW2FZuf6Q2HBm6UHltuUThmZwAvrjbZDLkZ9Fu3BoswULiCUfrRe11rkfYK0Zz6m6
Dnp60nNHwki2rkAZ9sWulKPYkckTbmh5VXqwi7hxrmnxG6EFzCoPREWp+HfWc7/r23wckEgxAiaF
SbEGhqNtttCGishQ8i9ee50okhijEWEsKp/7aSY3aCdsAfBk9WHSdTwp4nqmsIK49YLTtiAXbjXj
x56euKdoqYgKtXFTywMitcSO11r8Rc1IHfSPhJaaq4nqdVYKNBGaWj5u7LhuaCzTWjjXlVaHsJ2m
DZ3UDJBpPlkH1qHOE0h+eQUDjRZ1DNINBU1dqyKF81EPFSzq6qWx843OLbDYGb2AIl9ZEln4DTXb
ZZnC+bYYHTJeZluF6mBisrLp92uqKAkhJg7uVp+maTOhZQRFrI8gJfSeHUwb17UVrMGBb+yq1JfF
0riJWnwbt+vhaqPCVX2hPsTTt15bwNhlRL/XSjCzZDvFR/AUth+p+O6CGrzAXoxJrIZ669zQasfe
TQf81JLGb4IaZzQfGk1q4waeW7OlUVVuSG15N9Jqak41LRHRxoyP7Cel41dGkZO8NZAcrWTgMJQp
1aGPMv3QF04R4gKOPvFtaDGtkSt8hb8CNZpVw5jv4r7RHyJ07sPUFs5WF1iDfA/u+b1rjp9VUu7h
OGN5jkgDF6yW5vQAL8BgER0Dawhi29WuChu3WZ5Y7vM6VOxQ5OwI1MCiaaE10pXb8Xw0wi5qHizC
4NcNzsRX0ReUrjbx/DRgbNxHCw/mQFFUoK61shBYrxXoyJUsrxsrY4/aVxkdqcAcosDq8jXKFlWP
dtzQUaV4rDm9NP7Qc/CUeFIjcZebtR6QUK93I8JZX7l8DinJ4vFt5uqFwCkVk8R6vW1FZwqeNJSM
6FSzoCI+39c3bRF5285WxddSy+cD804VyKTJ/BHF3i+j/nMGNyA05mkKLIDM+4wCLGzn+gvpow+W
aC0KBWKwht6oO20eNrDoYjH5NQVig307dUoUc9ncQv1r/9FGfge9/sVTkSzmSh7894/FaxYRyf8J
XyjJ+enZ+McP/vFw9Ozf8LbwAIRdBPRT13g6fX84qibPTWQvaPiry2dVT/6QSEyeqKqKSYRHp46X
1EGy++5osn7zDFytVJZDxULW+HsSifPz0xFWCDZ6h+8R2qaFfPDepYglhyeYdPSrhUVjvOxSbr19
FIKXh3bencnlAUov2KD4o2tljQ8JbnlWdGFrgZ5q+45v1lXE776ZG+rQYjYrAdlkyiPicp+0xnAk
sOvQP+fZp2oolfum7GCylLFy6qmOgxNR2PfMmBKZH/6LP1SZstPqpvKLdQViw6ul8G6B0tE0JOW8
MTII9nlRwO8tqfGI98T5zjb7xCMmboCgTXSZluYG+nfIqUD1zaLW9k2HxxjXNWV51MBgssbOTn6Z
QeXLYGkTlJYaFtzYZkFrlPM5auOY+7UaylH9vDJZ/UZ0yibKMm07q8uyg5tLz1is75TSKj94gP42
wHNSIiLmRsj2ps1n+rrjvH9p9d7YCqdwg9qCx24UbJa0Qut8XimTcLrr7eduSO8ctnBhoWnLnuZa
jyrOmZVGXY/7uM9u2tmjaqnLF0R+OEgDFnLfVGtC8ZzKQsAQlg9XX5IiFt0xT51zorGPZgF756nF
tOkjZ+cVw76mFtiPhA6T0KvawOQRH+qRulPSTCM1Pz9Z/TgHY7/+Jeqc6PxAG7mYhziAg0VPrzu8
FlARDCmLY00T+on2GAA8OtW6i7NVUlFvraUpIQvYip/i/vEby957kXfs50oN3FznubtECpUdaeVj
Q7AIy9aQFwYpt9Tt0YsxFvNBr5LsAbL7cug0dwwdZ2q2jPvWVu8UuFUS/zLcCZa9LkuhwQayjmWU
2TH7VMvaPDWKe5jLiJoqy2DY7Fq6CkS8Q74G1wjVKBRC2eRZ8wAc+Ak811WmU3AXj7a5VcpU3WCZ
SnZOXfA8zj5lTW/uCNa3+BemcsPzRDk2hMRMgqDkWz0r5DNBGlv6KDzraStGxsmq7bCmb/U4QifB
czq6wC3NDn6G1lsHDELap5lqsSBvu5NU8tdlNiWZUbfeQOaf91YZF8GylC6nKT4LKfHu0Ilrc5+A
K9mY9HgHrHYbgu4tp8K+CHNHRiF7yDHoqpl51OUdrPDqbu2sAIZhZI+tbsdnfETF1nBfY69TjzLm
ZEDCQHkA0VN0wWAnZuiINL0rxtxlDrRVP8uTeVenXvuglpKHpOPld5jJzbDrljMGUbF1s3zCdZDY
2yUfitDSVWdTwutjB6iot+xolo265MVGo0c1ACWjh0lvZCBHM/ug0RgbpLE77nU9PvQ820+Ukg2h
oif140BV/XagDiXUTdiKduxNoTXRPqJaVRp0VqY+zig9fq/Q0FaMDf3NSe0E3rDQ6bPk5X2uGPNt
VA/qUeu7ic47NhhpMCk5xHnEuVD2hR0MgkiAgfdhy686XHFOxX5vK1d0aokdY+a1Yuav6WjTplS6
4jA2aHcDNpXQWXg966Wz9vCkkZYN9RsVhW5IAZ91rMcFj5bd36tuehjK0T66C9VVZmvdgSFqiFca
1SbxaFRYJmGHJvYfX2+8z0Mv7lJK/yJtuBWMCCAdUg0WgvK1MJd5y/n91PbOVTrx5zsHRQR2G6fq
sqTzD4WBvWwdzuseLWGw8jUzfWmqeKI8ZbnvKh0e8WocEbmjsGseoECp7rzR00oP27LhIxXb7XnW
ne1Q6C8esXDfTTMDwFtn3UekaSkR8DYwcX3SUNlOms3XkaMr3Jk5urbazNipQtOOEeTwbSb0cYNG
wkavz9ce5cLdJ4Z6Uwn9k213VxmUh0NnyScEHBSNlAlKzIZ9oMe+fPC8EUR/O4XYEL/aCUeiEeZJ
AOfjASTMySHcfV27+jHFZO7TmSnOwiEeq7a3AoI40YbEDaKm+da2A+KQZ3J2XIZqZ4LsDCNrzjbN
1IsrwCHtzoSO51tG5O0FBZ6dkVA+g9FkNud9JUrttNjZsMVl3mx7V1Bc5HLFclkeGnactyBErlgx
SB8rBRIhxZ04NGKxbQfL8tXCopAMDK/dN+mJ/qAD3dSUiY20jcc9nUuYTdUwIW7/LHL5cYqGYe/M
zpdq0Ec/QTzZDowkOxI+yjYuIytwitG7geZ7q0Iw99Fv1l98OtcQ3IIeBxxNh3ew8KoN7tytbFKs
grZJC3OifCBLRReHIr8Yaa1zLxyGgwtxh3sNQwb4KHvP/Tc9Joj08E64y02uYgXD2qjiCt3YpRTS
wCqYDI7ztRFIs9Z2sZN9mPDwHyh8fCBTcepwH3LUjr8ZSu0QzxDRVgGH44OO17ZA3NyNZhbq0a1Z
ncIEKTFH0eiA678KJ/Rko3zFsVL2j2YK5C/nM6s0XrmXdOCaa51uA3/uiR1x4fBVxLWGHtnw6Svc
G+wt3lT7TkKwni8Z5herM/a0gqWjFjg15VyPxjCVhp3789x2brwhR83dG4LeQnElA7AeWXf0wDl2
+ww4p1zKI2HJzvGCrFoXwww5AguBoP+nXdr294TZP6vHvzxeY4D+5fH66/jy5d3B+u1HvqtOSEvs
D1kWslsievLD7pGF3/8/SevrstFwSICbeIud9fz9XWZa95Ds7lSW7Wzt1s3z38gGsNt8pzOx5lwv
g3mefRlAhXfr+6Q35Vi2NempVVYAM0JxmKEpLfcfQdENX3YcKHV1tDUPVaLSmpFnY9zxjXXFDutx
gwC0KhlWsuTXlSMY9Bs5AnTV60Za4bBqILgrUENWXYQNAxTLN7HEG12Ek3rVUOSbnDKsyspgdNVz
uaotS8tYz7ZpFWHyN0GGiX/apqtK47RZwXd9lW6cVcWxqbGFsJVAoAviuDJJzc6GvDXn2bG3iYTa
sieuABMJ3rP6CkeP87mY8/xL4yjNTRqjhfjTVMgbSvcwVuJJ4e9e1MWcEyZIc+dQza25bBdtkPWu
m3X+V6hUtX4c3Hi+bRKLnvaYU3UWomJI6m34BSs8euxb/KoB/nLR3bq6eHjP7pYsH2+adQ4mDNyH
U1K4ccAsMu6yqXX2BS6VJsjMaon3KdSt29YdcvJmZitR3ygjegRx1DsLD6hIpY5pH2kgXndFpMeG
s3MtRu6t06bqwhzAOapUCXy4Erz+UpRa0M8wA81OqwZgd3GT2EGGFF5ynkhdNDCJyVWwfWYNQZVa
i5zI85RqylFe5zw+vGiDG7AFdlbFbYFlq2bpNwB5tuOAlUAW3UDWU7Y0mVHqhkTRGwgfzTA6/RXB
kBHTHosRp9qr3YTSoLdUaIWN2Y3rB8dZ9ovMrGWryDUDnhf2JMYjxLyhBp8PUq9fseuIbdNS8NzS
p077GEeJri/PMoWf2H7ppwbOjm/lCx3Tl7dv8T83vL+44Wmepf3qfvdfbQ458qX7MRz1+898N1t4
v7Hwt1EFPJPM+5tc8IeS4Jm/2RpMbu5xjkUQykO4+G62QH/gRwjLoxfw+SEA9a/7n0FsSuNPu6t5
AXn8b+nslkvK6kebFPF3/kvy1dE08lnEifjffzAKgBnUkckGWgKF63LYV6ABlj2dT1EijyJurD3r
P/BS1TTNX6yqc66s3FyHJk2b7qpqUP0Bx+CLcIR6zuEcw7WKjAcboS5GYbZL+lxN55qOru5uzsb0
gYOp2OVYxg4FBIBPVR25tM442RFHyqafu+aVPWO2p2QG0x2BderpuqFePqt1jsE6im3AFDLX72FC
0IBeivIUOQZ3YgMPnOzLc2XpAFZFhJs2w3iljd10KNMCT2uh2MwlSuwciwYnATO1vGGQFbtauGsT
czxitbalfgG45V0DRlXP2pyqZyo9FPzaldFsdQelWqv0+KPmpd61RsO7hnnvHOnaw6LOZOXtCMm8
MT0O3CSkv1GAkTDlz9gGNADfAa2L/a03a9SjZQ7JLNOSnd+uDmNLqPWXCc0fZzV9WU2KpbUcqvyx
MTO6FKWglY1+y2zvdT13TXMqQtWZuaNp+vChovTxph+S6dLj+/wMf23+WLa0OMc5NHFjztpr28jk
BSxDGhCcT7cNrbgnVdrNK43eMgSW62zrka4vR8v5a8SSJsC8FPuxnHS/yc3hi+IZNHVZSAdefdLL
+GCu/LQhZT7O1Qr/uBWdi7wuDoqrHJhXcu52FRYAOM67hojSt9ijo7rL+vTU2xxabdWjXqxIils4
MgtqOae7I+CRSNkYJIFPNVDVp3hOvWensQvOvXZ9jGpW4fU4NQ9eZKbnhYTwmW0yfFb25umHqDcZ
UzAo3puVWe8K+ko8f4L8uLekcKjmEYZxWWYnPceUhG+hCwqq83De3hG31RDGObGSoTTGKxtM1K3X
8lkhfWpHQbaY4jMH7vo6sm2xn+VgnGwALbuittPnwXXSj1iHNfBztXUp4IHuJQP/NTd946RPVrVv
hyq+wTjcPWSL4QWy6MShUKj2K6MpQmu33GvMx/pzCajl3MRmfkjBAOyzTJiFX+SdoCkmsW5EPZ30
ZDL5ODbtXlH7DY0g/QuIHJIfs8y1jV5HzguJHKybsjjEc431HajqoQJ4u/09vEbx95Nh5p/nyajj
QIlN/dlxy4dqNADOdvW8W9RSvVQEs0DOJpFytJRuzQwQP7xORnyQDOR289JFbXbrxDn9zRQzeZ9T
eg93zM3kz5ZUPLopRteRMMqG6ENxymLexMkwWEcNjM+wM4t7x+j6V8PFHOT3ufYApvCAIm4fq6nZ
gZwCXGdT9OunIssv8EvEnRWJvU0X4dGOlvJg5kUVdjWP8oGb5XNfeenBsYpoS6Mm2kuHByQqZXbH
St38ukg0TiOnEmdJ1mNNbeUfYZDKR4dU8qXWiyrgDXVU8L3oHdRh1LdKi5lS2M2JPkAacUntWH1W
7KKOeAK8LCzn4kIN6vhRiaCm5LahXTI1NvYlpOYuEBP9FNjs288GwRUf2SOcVOnsKm2Sm1Fog8Iy
x3A/9g4eWb9WF0FPtjNXgPHm+GbpqnynyH5hRzNbTtCO0vY4DU6VH0fzZigXKlWWaiDoxej9GCNG
ZagEJLUFuzZuczQa+WIolhOQ2uaMtIZGpikfM52CUz+O2a6kwsOvYINZ9qgooDE+/YCZRD0ItVM3
7KkanyxYxYSXwE2tEu9iFa596FAACn8BznZJeyVH6CsDAHXdi505cpexOr5VO7ug1KIw1OvRXSXE
qFiIVLjC3oAB9J48nhrXi5kkHzBMpVfFMn4COWPveSIuwZx143UXm2Rw6KC56jK75NSmeFcFebXb
PouacwaE9EmJUnHNrrHecNgit+JVcbigQTEoNsYHSAf63qaUddNGbsURONO/Lk48nCfC7C+m0awP
F6I/HxMOdI8gZEfhY54B95958W6Ang2oNp4CRYuSW03D5TCxXPfHuJH36sBLX9JFHc5zX286qbsn
12SzSzK+Sm7o95j4oLHg8xSITryzAyBTQnC7kvPsAYBy/SiGaJfCv0duiZbbnHFhU48kv1Be1CUL
BqU0fSuWW7upxmttjPWjBxbj09ToFAbjfPNHasjOKV/xEyHJeo+TE3wvw7z3nNt2GhblpH5Ejon2
3Jko3+j1cNZt63YZMuVzTY3Cse5dZQtkvLuhR00cLFOJthjGuouYJ/cRoFe01dRGvU/GVOVyTqQE
86zYW4MF5HU7N69lt8yf1WXg9k+UfwHPLU2UXWPSQvIMho/se7JKVac2i/gEqhnkSiC+K+5fxWme
p+pl3Uby7M+y+GGwOIiQkGzEHJSG11+auBH7KuErTQG5k1PpgiRM8jJym29eW+eHUSQ6jrxJuUp1
GlipPb0dxzLf99bwbLUWbr2qo/jRxf/2mvf2M0D8FzUaviFvPLuVvCu1hV3jMoGpMBqSnaUzbwhT
POhNXB/rxHEeRjT9pxwB+fMa8fwAWfHZJXCo8FFPZ/bmxxoooTocUXOasd+xoW8W+8xRq4wp4tUB
9W5SyPHmZsXjXEndcsJhkoN72/TNTBWDHX0biLG47IAn3jjcOzoeSTypQVSpu2Hm1LMrkro6p0D9
q+eaGyhnrxW1LqN824BVL44k2tuwo+Qg5JBH/Xo8l8ehTZ1na7aaT9RxxdltBNHh5CSW1j4MyZJE
O7FQ2FsGspsWckNxb2Vf3ER2yqMFUdXCFDlGJTbRNK9ATKZGWCrqvCMfU25Hu/uA2WsiLBGLUMVL
gPPM/CAVfdrbKUruTAz4mj8pt55wOE6K5Ji25tVAyhmbIqEYP495yigOxlvOIo/lkohNwlxOBMFT
7hMlja9w8mlBXGrzNbvx5rrl3aSUm+1vkk4vpP3mY4vaC+tTGXZaKRFTh/W4ZSz64HuW0Z7S9EDH
D6zMOSSl0YMpZxynKRG+LvZlOP7mpViSjrCFEh8WExz1QJn1sS309Nir8ZWtCRGQu6yvsBn24Yzm
/mkwbHi+0pp3aTOmW7j7HqsilWV9KpDvIhNJsUog1/cRSynKNtz9gFUDN6le7Cw1Ur+ZA+j5oKYc
hySQB+jti+2WtvuhUweKlT4PpkOc+ZGe45V3AUYsLcQ/S+H/aCmMi8hEW/r3S+HzS1p+/XmEe/uJ
P2Y422Z5awOvMOhggfG0Dmp/zHCgLyjQYkx7U6neyBffl8HObyYLYqgY31e+/xrhTEY49mgsiFWN
ZTGcmb8jYTEK/jjAQQvAxk7unp3v6vh+P8DNNDFxwFCWPZXDsA+s+exmNz+8Gv+BV549N02cYGk8
j18Z5ujPM2I0DUIBsrjs2eOiRbHhov3QtXlJ//Wa/w+usv5Ff5hEKVPERplwFXCAnfKpkl/JV//v
LvFO7HNSGleqkUsMy8VRL3OKIfz115d47/VnIqcuDsM/S3pSFO87JonH6eXI8LqfTBfus+LFQYr0
VeA4tRKz2P36an9689+u9sZJwa8AA/Hn18yRAH7R6YltVjH7i45/pAWRYhHXfxgtP8v/G3+t/pO3
h0ut0RCMeQAxzfdETg51tdSBFu+nxI0fJKYrP4bHe1ZxEP1+o/q3l/pzpGq9lIPysWJgiGj8/LfS
cgs+vcGlSsrwrnLR53u7XRHXEqx+E8tiV1FK+Hc/G/z9dM3Q6OYzLfpi310UlU/TlYqmxTnnVWSx
bfk251Mc0fzj1+/az+6NNTzFpTimoTyjgJvvcao525alrhUCW3NiRL6IlGyvwM0/5LoqfSHa5rae
NdZTYknOg2AW//X110/Fz9E4rm9Q1Eb4ZXWjvPvU0MdSJ2oed3uXVoWNTZGBbzfT468v8ud8Gpq6
bgDwQapf2xZ+fhPJvvV0k+vtvu8bbedMCRzNGNP6tdBVtE78guCiPFwIaCLbX1/6v/v8GJxnwZFw
z2LL8POlIRmzzNYNOA10hmxqwyLUmSk03DuKKhrfiBOLpCL937++LEeqP3/70eZM/rKszFco77tX
tgOGlsUjo7mllO1nnI/qROZ10kGNctexolzcGWoRHVUmgKPBo38rO4O3IJOsjOU47dK6bZ/0ZDG0
IMW1H7I6vuhWMVphMsrpymtZFGJsQH/v5bjVGD/vU1XHJu8Q8n6Yc2zgDmraqbNHJ3Cr+lNBJD5z
3W4jKm3cD1kbWBSik7xAaAhzxUnOoq5nZocBR2jaElhsh+yQqMI5qe5iPyuFU2Kgx95/VhvFPomY
I/qiKt0mAfgAu2G1sOSyF+Ey5AMnvWJ5BJ4vQnDoepA5DY73wjmC9TA2rAfHsHMWUqx6dwVKv38E
lWJeWKRqO2VwBP6HNjuwcsyZXTVzi8mP+IystbOr4kcgt8ziVpfjneGsUdjc7a+chaLSanH1GY5r
p50p1uFRyBQHy2NILlE2Tp9pQZgv4wI1EVix5GMwZlwvXb5OpR19xI3XsrjwxPJoTzbWHKpTvrat
xBJrdWb/TWlMCfQtA23m6ambbKXdmxfGNf5F6wtMzfe5mi2994u+IHYzw0gr6N25EnZkwO81QYtH
VulQAtRpeeBZvcPBOFOuWah/7TvFJE3bD1+yRT6ai/7VwybzzLQQB8RuU9ZGMjuopKTYRyR8kcoJ
LaOvWEIkYFj2WcMdIxM1b4IVLf3TAJ3PLyS/Ryad/Fh4VvdE7YYT4KF2ToU7JOe6mKKNYbXajnRH
ciHSkh3i0hhD5qp2O+muuqtYK+Q+D5yYjMwcQb6FYxKA0o2P1mzq+0UjA57pix00Tdbv2OjSYmZl
431eLcN9X0f84dbDX5PTl3ahaqcCIxflR9oyTd9U8J2N6OU3rsfLiRFIi8KirfUQUx2FSZSzZodM
t1mwiHUqZC+uRWy7Iu2OM3R8mSEv3mcl+RYIpal1owucDQmM/p1mttFrBArM41OiRNf65FVRkDPM
Db7J4OmDWDFvCKowDsdosnKJzeNct81VozjanYYScbC92r6N6BLedXVi3DpaEV+xFHyKima59E7C
Ykdao7ofErALh6YlDAOfQcgAR1tE1IdmDa+eqp5E9qDsqjlxv5lZ7n5T4hUPrHTTqWXd+Zp4qraJ
se9qzAKuusER5EFx8dbXI1JzG+qq/CLwCWDZHiUzUlyre63T5n0BzPdKIGA+qPRNbUBxo1waiqXt
XKdsdxbS8EdXj8ZPGBCSi0pJwx78wepYGSTFGk46UkBpau5nLe/6Y0OpyfVAbuqlNYzyXA6xdyO1
xXgQXo9M1nWuspGNZp0murlvjTFftv+PvTPpjVtJu/Rf+dB7FjiTAfTXi2RSyUzNlizJ3hCSLXOe
g+Ov74e619V2SiVd966BXlQBvh4okhHBiPc95zlR3bpXOAJLIhSt8bqdEb9MaSwvpq6x8cI483nX
COs0q41ypzXW4NGitG9qjrpbucwLXBSgMZ6l6lygoXxNIKgeyut2UTG3LWqYOZsSoykQJtREQ4hJ
3URsUmxiyis31OLS79Zid4E2sAhlStHtGBoWTVRhndTIV1D6QvOnMJh0+LJi0+9VsznNR3tNMKqa
+HYBbohknfRDumWooLYp2CFPd8rlwE8bIViplsOczc0p0XWzl1thQkcS0A5GmiIVe5fDwglSZBtp
eiT2K7WRuOOp8ms1UnbUDxMEJzbsXM81yAXjgCB94q3avYJEndto3PkkpK7qO+HKx9Dx2qCWoXyP
SYYNjk6/8or8veaJhp5kGRuy65zkoF0M3seTrAJfk0QsPqYCJ5B6Ojw7armc6BFWPB1jEXaDJHc3
rpLWj11WaU/SKdd+r0jCH53o87sZB9wlELvs8PLH9dK2borYbPcQQQu83JYzXo5LOl12xFH6g5tV
s88YXni6JC1ABS3azcslkwV61MbuTCyWsy7owORSfcoy2d07k+y2A47AFgWVofjJao0o6yj1oHXp
n8xyCr+kZlzdwQ5Amy36cmdZS+gnC+pP6DWgNxpVeOrUA5mp+kcKvHIP+thFZdKn1tYNM3X9vGcs
nu1wIZDmQw2NLcVvac2c29k0nGuwIQSQ2moKKjJp9I1bQ3RqyV1fLZNDcUg7DT+CU9my3+KHXAKJ
d6Td0BZZApFk9o02deqD7IblOkEIWGzqwk2Q37kl+5nV7L/UPZfFlRAepgVDiNb2g4d4X7mtE3sE
w4t50neNRTurHKPd97kRfxcafzrLU/umaG3rNMQSvItQzG6pPBHV3bDf3HEQbfdGrWR3wFMFtfDG
vhGNrfgWGSueK2W5izJBstD6sesw4OEGdaar0XZonmhI8ivRGRuqF9OV0c7mo1Y0uV/WDHAbTPBh
YUR7jmpKvzDV8jnlG77XO7W7RR1FthB0jCs7VuhXpL24KVMctNA9xS5p63Ln0hV/kJxFwRsneniW
j7DcvK4oxU6nIXQlZbZcL4o6PA9Y8j4X5At5eB1TbQtX7e/3lMkp/DGr/LBACscTFW3SBYQX5TYK
MxYZI5sPiNF6X7Gm5Au5ki7yzGE6QWZo3ePtMO+HVjHvU6ueL/hSoXBoYmU7J4myVYgLCBxUDOdU
qNtPVVyAuWjLwlcy4tNfnrq0EHjBDHMvKdGdqGUJ8Bxa0anVVtqmoeTolf0yeqiX1ZPJwmvk4CP2
S9Kt9sUsCXNuCs2bWtVkEhMrc+jJersMXS3aawWdBe9lLAOtW66p/wK/ozhxurjJdOF0pNAVGIk9
zZRDg/enzC7VJi329jzZD4JOAilfKmVmF8nXVl1MXv/SLOeEoy7nWtPhtBgFrgsVUhpLoIZrV0me
UC1PFywKSHDrsLwkVWzZJpXVg9yhl3OnTuC90L+Nqb/0c3dCf0+c5WLG5JA56SXQHeWkN/TsYPYF
WVjjMl1pzohsuq2nS0xYfLqduJQ7Mj8VLLILybFbXWvhdBEnI3y+TcOeRtky0uHo6nNUesgsSuLo
bnG+lCc9Cw57ICpcp0Bv5WUTUd9se3vwIP8v5/Oo1YcmtMcTQ4c2Q6exVG4B5SN0douBHbNJXzcf
WDbUqGNqSgtV3AIUKN26Q2Nsmnood1Ir8zuVUBm/qBe21SLRnqCKz+dm0XQkvozq00z+br+ZkopE
G7MLD3HHxEw0Sz8QFbNctwDcDvZozr4r53bvzvoAfhdiGyGzwoagJgfAvJuyM5Zr1Z6Y84pBNpMX
8otbU2kiuYEDMpz1Ukmp3mbmVWpoKEgIdAyDTkvNXUJ9cp+6ob0bm2S33hH4qIkoQWHFF9qS6Gh5
k+JGnzLQHUT0+Qto/h1ne/gzhjXrX2fisVK+Dc2NMRjE7kHZOY3C4aonjhVtXoNPPFWe3UY6J5pZ
Phh9rpGYOYdn3Ea2Bb7DygnUqT1x3Xb0qxwZfBgm9DzZl6DUsTATkbjp+OwQ40O9WIUn4/lKr5MK
DJZdkBikfOsW63LSOySF01is+7Zm78aOjpo0uR2rePFaV4kCVqsdD2JAqgooOgo53onMfUCl23oy
NXCeJV0TbhElRZvMIOxNdaWyL60aATtm7BbJHhYh9PKIxDHYnU91eF6XSFkJxy59m3orgkGSl3bL
ksZfo36wgoxwoQUQDShHwsyqmxotBvijSG3gNuvxKWio+gqVT/2AvJ8EN30uvnRK3X+rB8e+gbBn
TtvcpavQD/Ny0BOR7cw87gOyy6xpW0WNeWW6RDjRxGxv6oh4xKHondmbphZn1WLb2MORRYdtHIPZ
WdIT+O9U44gmPUSpNhNyLJsn0S7FqSYUI6D+bomW4MrIGOsTFwR8dtqVT2zvtS8Tx/FzTfRS9Vrd
qq6HJm2VjV7141W4AFuXhHHsUlCDqFsBZ+tFQdsoE0oMfqDlLW6JTHsyY7NBgRsv86WpyfS6tCS6
bFAQX2CoYx+cyD+8QDQrv8BPdaAuJeV9ODuY3puyN+7U9QtpawCc1diNg4mspNM4cc3zuOjkfSkN
K0DcOR5yKxpOR2XOvklcgvEm1ni5FRzBqwEp/veic1TIPpr5CNyw0pkiiEy1TDfP8OhQXSGsG4b8
UJqcdTs08jO2lc9G6RR+FlpatkmGIb6olPk5Gxz3Qa+cVcq/uCjc8oVYvzz1UpwHG/Z4BDjieIbD
0CvTuLXnlpUszdMgRdKAr89Reb18bQ80wYptFRvLZtTAqXX1su2S4lbJk4eJ5v8GiQJUarSLeBVQ
aWdafd8aqUFvN6d6oVKi7wFlCLmrhF3cVvSfz+SS6/u2DdlK+VFBuKXhmVnt9koAklApAo5LtvI8
yxxEwthae6233TupNKSM17274xRDWqiShJ9zQ5FnfBTzK7aK6eOkGdXntMmah7qvaRvXijVrxHs3
CYGPFXw4+AZsaUxFltemoYE0IGho+pq1NlrkHmr8YdD7Zxp5MDyo7J5Nwi1PDXa238patWmCQFGw
lexiqQZ4Tp2h5DsJeN8beVXE0NcjDf+mlhcUAqOLlM3QJjXzlChX12rO2whNRNem+ifm//c1rBUH
O8aKTU+OB/l1coHn1/VXmUqRwUQYfTe1HZC12dF8rSzC6w5+3BNlsK9m2o1fzXm6WdBSIlCw42GL
5FHDLrSwstfKqmXv8xscUaMktK5pP1lq3hVeaHcndtyrJ8uACtJixAeKW5k7IsKdMz2zZxaXtnf2
cSE4m6Z69ERLjL4tKyEabCU6caPJueWow/ckEsXXkGztbR2JexNw16laa/qOfwUlwNTIGzMxvzu5
214OFLWeogXWJtBFFwQB2ppzIZZxN7SrZxLt8a6JUkRLyopZNELn3hli8zYZqvYk7RMmbCtoJpfs
qebYRlGgWDtpxPoVZ5A7FuTscqoX+9A0dreRo7T9Oi/Dx0pAdsvbEShXY6QXNmxlMvHwD250gjaD
CdiLF0HP+IQsIGKHq1BvLuReunNxHSaKfeU0arS1U1u/oLtn/NCiEgRGOtY+KXvRAf5kf1laU3yW
W5l1Y67B7JE3Y/rpv6SlsgnjrNsVLLf+UBv1dpGTeh2GvR3kY917lczIfhyM/Eay4m4gxtQ+mgR1
1+b9bdQvZII6qn0wyGzaybH9GovSCdIo5ovFRvDAQqoEhSGGM7ZyzmE0i4j+f5Ox/63KH71ENAbz
r34ymrT+0rmyB4mMcjN7WpPe1VOt7sNTEtHSLdUSkI9Rp9/2OlBFTxEQli8AB0YkrZdNM22MtqoB
Q5SUkT03bsVFObf5LfximCrWDG8PG922poR1a+vd8zRJwC4LW5W2MdqDuozfHItTg0VLz2NTxSGp
GebNomXpvkiE5nOcCBRdTw/Mf+vBKey7ImJvDEcuCtgV5uTcut86Pem3FSBaT035vmIeRchvPzoc
QaZ0ObNa9Zo9FLpUhzKR0rvaN6iz46lZWYZvNwaFlKxsL6NQCwahhD9iDIxXlqro190kfjSTqdxF
TL3PIMPbGJhf1dBsbDEada4GCrO0yLUVU4+DBMuXDTZk45ZUAN4vhL6uglL6NWGurc0pQFKr5vqX
To7RCbuicdwGTpPmGOeGz7bg3B/ZnG6FQyH//cu91QQBOkV+Fek67iszJB4NVVPcmcsBl75t9GbH
CWDyG4I4P2i3aGvl+LhybgDqgUZjuTSLjyvLy/J3UdteYHl0L0V64oq/I1SGv9Hl2jl1JXVnu4v6
GIfriXKkHvf+7b5VvSeMzYYkZbwRxpY5hlzGSMWW6ETmtdVXlPQi6qTvX+Wth8orXGvYeOv1Y/6C
OWGUNgt6MC/tkCENqUcKdEyamdYfvL+3bshUVyYZqS+0GNcf5Zfhkk24rWacPcEITnSrj9VX262+
vn87H13jqLuTWFK3ma1toOnyfLFxEbnFXxrp/9i1enNwMP40Xg7DAzbf7/chROqOrS7bgFhOBgL0
4YNelVTLhzF5iMkL9RvQR5cRRpVtjY1zj1Huo9bO66lH5pNFHZX5Jzi/HDUgTKvuDaUSTRBpbY5h
Xq75nFlzlitps4fTWW7/9LlyPWzQ8AwsHZTxUZenYW/lzrXRBAUZmqemPV/DbHY+WE9ej0UD27Sl
AXZ1dcPVji4iIg2WR5Y3QSIBk3U1XkIAIGcO3oQPhuIbV+ImQI8Ax7Og0B0NE0Gw5zLPAH5XVwDd
2+7UmJ3buk3v3n9sb7wmzQGXr/GuWLnMtYP1y5C3iXEyAFlVwYJ3tc0fFUIl0wwISBN+kPF2DFKh
2Wj8dqmjlAYOqnZYrK6DfhBU70oTHvDokE41iaH3m6FcPs8WjWmLImiLHYESn9o24RebfasvF136
KS2gnd5xli5agyoYvkbymN20PkhjUvbRGC/ngDyo6jU4MaGXKT6bK+nnOuaWgzPk08VY9ZSxiG3N
Pc7aKdzXZPngRk2E+UdrM61Mivt48IHnWcddvzwnlFYgmQ6WLpb3oijxTQzupxlB3GOx9M6hz3Oa
KHn4pSVP9sTB6kjjyt7bCFPxPdee1tSZp/ef4UOhOcQ+WlbFJyLKz5eQ02VRZY1PjCBFh8RwoJik
hr6JxgrY7oB+SUmVHpddZQY0uMatlC5qb+w2oMsV5ywz0TKkGQ74ifV6K5AWIkectiZ3KHhaOplH
YunUJyccyw8+Wq+7obAecTlpNNVxrBxPUYhZjZztpgwoiD82k3wExXlpGsqJUVQ+qefVH385SBO2
mK0a3yjav0ezFUt62RgI0QLZxOuDvRj1bD/Kcv/+FHrdROcyaAQY3UAfMEv8PoXMKYsNcF9lQLvk
uq6TluqY+63JPrPdOufohZdB/xq15dn7lzXevi5LEU+U+XvMlRV10RT1aBEDVs3LQzwBzHVbU7mm
pavmPqdD9qcNKmRfZgO29ZJymNKXLR12fdhb9LNIhFD2htorJ5o0Sy+kBLpJ53qHuoG9mkifLG2A
sDtR9MqcJdrCebZ3yeAs20gLb/TM7Dx3QViaydTMNnKpIz/l59nKvH6mu6ldpejPd/WEAR/ZEv+9
WCwv7mTqO4qj3zWG9dGreL1qmppNMJcjaLrzQtZH9stqRqKyVZTZUAaqfJwRP6yw712myeGDkfX6
I/7bdVbD4K/XGeqhyCsxloFr5apXxnbvFXHsv/+CXy/N60Uc1n9onZrtHn1B1Uavq8Zsy4CdlevN
FhZjVb+vspjuUTd/oKx682IrfRRrEBKuYyWI3RJCAE+npNJkF9AQl91g1ifUOukayOSDx/fWQmDz
bQPrii6NLtXvjy+fZ/I0qRcE4LCu9Q4skxbO91XePssEhVJsf/AkX0FI17xoh+2jAC9Glt/xZoT8
gJznm5eEwuUxegZdw1PfjnudD862AlkdmHUjvakWxqcESHcwR7Tvoiopz93IzU5EZc6fHZrfNCJD
HBsfPI+3hi3v2dBUJHirWOX35zFOYQdYQBTB2NTPhojuYn24yQ1OTO+PqDevA2CBli4SrVdKmG5A
2ltTeSLjI68Pcy4fy1kZt1Xf3r5/odeSG543L5f95/p/L9SYX+ahMQp6lVQZA0l3NO4o5o7ldQvb
IHW1y7xqbotcfBCX99YA/uWSxwFUqy+GapRaBMo47aK+ehZmThvHPrTV8MEu0Hhr/CJEZCeIIJGd
4NH0l6Nr1svkFCwz+vwVcsSPkfRYDy+F61VaipUFdL1XsCL7SbN21RRtrUG2lLfE0N2b6RTfh43b
Bb1Obw79Bh31WLY30SKqrVsi+i3Czj2ZnNG9cy1WzQ10DkoDSjdtwWHkwVLpP9RRp3FbAY2o1a9p
1V8gvKt9GVfPCURMvDYGJM9i1m9q2gsbAsWtD0bT6ydOqgPaIgSpuPlIyPx91MLtalBVzWxzUqU7
GzRh7NnETUGU4rndTKExBn86qkhBdNYpDPAbgPHRNGkqE3BkXVSBcKW5p4dS+E3UyjPbqOUudCN5
FtNOuTUTEX0wuF5PHGKwqQ3ZOlHBr7WUbYRbN+7tMqB0PT8M9qh9bejh3mIKT5//+CYRbXG4oH7J
/44lcWgdqCHByQ3gCdHpHDQa83R3O1yEZbu3uyxxvQ7RDDBQnUbc+xd/4z4pk7CLAdbEQz4e2E4W
9ZSSyzLowgo631jeRoBePDf9yQX7j2fU11cy1zOH5iAYdog8PfoEUNftIqZKHvB9uJ/nctzq7gTU
DmPc7v17ej1MqR7wnUHnjKry1Tap7vCGRuRBohXqx+1i00wx0stxtOwTisnf37/YW7cFgZ9yBd9u
tiBHQzQCYgT3GMcIUjkjUOq5XCMK6NN2uZF1fzwBofxTqeCkbyFSOT6NNui92Hmsy4Fi3saGct8s
7vd0Mm6j0f6gpPDGigc9AdU5t8Zp8XgrXRhkJJcK4iqjzn2D/oeoCGxy8mHZLOVwoPXwUXHp7SsK
KkuCfQIr+++ri2LWxNusV2y04YCd7LGatVujzfDvEMq2iXv9g/30W6+OOho5VuyAuOLRiLTYXNmg
rrJA6Xu+jUQ3mSCSbfWDy7yxdVRB04NNcx2KCcdCaTDZU5LwTweDoiu3ikN2Xj1xwH1/HL7xAWZy
qewd+TrZfIZ/f3r4YKYStFQWtAZ7Fqq3Xp5iOSrta5BUiGTcxTPm6oNVUn998IXIysKBi9zCYH58
IsFdJwVy1iwQFnSJMSdK1SvrbDmfBMobiFSAt2eR6+wvzSz2nEUQ99Wpzk5OTbQH8Iu5lCrHgmXo
k+gzjLt1zVl/PeU3lW6dInW1PwuMmUEkO+uDn/7NF0OIBCNOc9korr//y54FmVGc063MAzpOpZ/O
Ij0oE72L91/Mm6MMm4QjNFz1rypIhdnwGYmqPCilk2+qaghUDKeuIz8qQvDT/l4f5lUI4P18gmwC
7o8GgEUmR1k3+Kb1CdBbpoTxfrLV6eT9u3lrbSWoD3sBpvjX0R9LqupT1CsZgsAOHKXDZ2qyeumz
v3waUvPPi2Ls4XF98MkgWV49PqS4MiGQMGaKzln4fX12bWJfF214//5dvTV5XGb7mkrM7u54GE9d
hievYvLkCSbSbNZom4fWdxqo1UkbWe63Ma/TPaLU7oNP1VtrHvvK9ayCA+BVDZN2iBob5pARVK9f
ylJ5JAKOfLA7As9vePsfXO2tAU8VkwMfFBzy449W2Jx7dOy6A7VLRsqugMt6Peqpsn3/Yb4EsByP
RB6io/M5Ikz0+LAnekLRLNpoAQ5I9S6J1epEwUC0CVNjyOm3O+PnVHMrshEkOJa5zC6s3DF2MYGT
/jLXgPoi+P5aE/Y+MblorPo+/ahYrb355B0K5sxMA/jA0XRpw04FD1fwtZlMWn+yedSkqDyUot0+
cdz7fqLZ4NQxjcnSSO6ycej2oai+xqi0FruWh3oszD1NIbGxZ6UmspH7eP9BvjHX0KmwBXUI1Fj3
h7+vT7nDz5BMbLfHcvleL5o8UWsE0mGOJm1+fP9abzwO7cU3YK0GFHbdv19L12bg265kax9q31X6
BwSfqY/dzAmauIjUxwIkP9hhvDHpNMpYNjsavliv7EpAouepjSpuL7Ue4oQQQx0lHr3JdtkYMNQ+
Ny0hGCishuDP71XTcGfQYGKDeLxSmgohH4TgEaVHhbCxRwpkbX6Ny2hNp4vuZhcL7/tXfOtNsmWj
qg80FYDq0ZtkroyyM5sKbELUeLMGdaAsDXk9NpQACszPH1zvjW8ON8geyuDDxmZx/Xl++bIVYWvG
ScWjnQbAzbkJHE9tSFLAIez831xKqIIYbfam7vFHtHYAsBUlRzQN7+2VlTfLpnWkfZr0mvbB8vXW
GDWYUKutcHUwHY3RAZlruVDoD7qix09cPVtWA0qT95dEzbULAPGPD0csYAIoCRHjVLCPJ6A20T/X
u6Uk+GVBt+uMn9q+3daU9T+40BsLM1YhlQImjWRcmev7/OV91QusGRziZZBH1j0AlJ27NLfvD8GX
pJ+jVfm3axyNiZVxksI0ZD6njkb6SlIfOquzPumEPAOkGTueojpurLGtt52dRp8rmFgIANFf9C75
GuOKjWjLBPWGOaFqhYoB+G/Og8SQ7WExzfhaF9HklfMQfgkpLu6KDsElp9vZQ9oe7mPLxXylTtMV
fvCVg4Ek59MiCgSUpQZRsyq6dqcOTQg4BTn4JUmm7A4rwuHKLGkv48mJd1pLdmVuIbsejLg4H5R2
CNxM3CZV1nk84eykoPXTUvxw6gDBMQywcan9sI8tDADZeFaZBlDPBEzj+4/3rbEpVqcueyLOL8cN
2Dyvuw6WG0MFDO0iF20jVfPeqq1TDln3MiH/8v0LvrWkrPYMHIMOp7Pj71edYrgn1L0IkkYoiGN6
Uo5eUuUNCGohDHuEqe9f8Y1bpOWxuo2xzDPVjxYxYRNyKHUjDzIRkSXazvZ5GfNK57Tq7tMWEjE6
pKf3r/mi1zgatWhvdB4q1Uu+hUefabKCgXW6eRHYBJt4MXEoN2asDZATZus0rvL8Dn6Ku01NJFsv
OmU3JkGF+BLpS7REO/IUkMx+8EO9cepBlcA2cS1ok1x7tBBFk7XU4UCxs1tIZZpJHj9BlWacgKUh
uRR49oaRgnzKyn0RtbE3U8RBfm1qH+y0VgDi8Z5/9YUjxyBri8rc0Q+iIo2Ad5IU+JbJo9q8iJsT
I1+uEViW1imvy9mTWW+d4rMAt5Bz6tQUAiugKcXD1WiM6sk8h+pDbDJTdbmoD8yjchePDClsExkY
ZWHt0OU+zygyqWYPvmmnsY9g0Ny2SimD2G4cSMS9s3WjU73KjJvMKKdLKpo4UWYmwn3s9uKQq84X
wrSyD77kb90/JTM86OR48lyP1jT25ynx4Qb3DxT1JsafG0xEot8nmhJ/MMHfuhTqS7QGuNGpqK9L
+C9LNFWqpinWir2ojHhbN+5q6ZlqQGBxHt1/MMDW93Y86tfjosHnjg7B8X6B9A4iRIuEvulgEdkj
aRjj+CAtbhfW1bAtwVScapUaXslJHy90yGLX5E0IzzTyeleDtv3rDPtHDL7z5FtbddUP+T/Xv/at
quc2iWL5QsD8P7+6rRCfFu/+kd1zdfFYPHfHf+i3f7b7Xy+/jT98DRn87Rf+S0bNdf/czp+eOzT8
PyGc65/8p7/5X8//JOnmryH1b5LAq7xDr8qr9vF79SvA4a+/8xM6qoITpfBDQOFL/9tlKfk3zR9m
P9C79Xi7DqsV2f8T4ADaAb87Z1E2qRyAf426AQiBQX3VYBF6ShtY/AnA4UWY8MtAo1ez9mwQPnEs
pMh+PNBUIC9qqCzKKakVTSpgGQl37h/aQZhle0jVwqFrnPEditMdEjfi0s4MkYOIjwqgRI6Epzyb
dXSAT+lmxnmp4Mq2540iiRZJAViSE8X2IUtx3exWQ2aSnFnROEDHwbKbhn0QNgvX+qxakNXYY0U9
nt74TBsQRWIDHV3Y0zHoKU8ZQJYUh7XK1nuZMeYJjg1sK+oXvWyxN2Kkauv5BukuIinfNaPRuYYs
08fiMkkkbH64zvmmcHWl8Ky+NEpcvu2C7cOZCQ7zIgD97v9PCf2Hs4YG4C8L3huzpiyfv8nkWy9/
mzgvf+3viQPdZE240KgiGGgAX8pmP8Enxr8oLbDFMliG2YzY9Px/ThxmG4wDnbPIT0LlT3ilqf4L
bqWNPs3iq00J5M9iMF7W+19mDvJSsEA65VzEqxSRj/dflj7D14QZHRBNoW31OMEou5TCs6R8mO3s
yVVhOtYV+5Cyn4RHMlm3maYZI7KW1Z4q3VsXe+NBgTBxjnP3bHDNjtwjGxZfa2xyVYE4lWKnm3uM
55xtlhPTKNQtiCjcdW4jTmry1z1h98Jjv3bNfkTdEsqEw8R0M19rnGkTaVwTUtDgpWS+eSpQrW2a
dQ9DLqBekajQ1JXu2Vb6ZCu1ik2BP55p7ASwd7b7emgfNPQ63mINxiZd8DcWoXNHcPMnHEZP+OAS
/m79gCfmB9wgDFoIbz14x9daTNlXL7kfu0aLhaTrwdZSsZFrguSocHslUmlAhKW6HRQHC4OLC1xK
H5B37Q2gbiNZGAC/sx96ppCUYPMoK7ftOMTyj+YowSFERp+5BR6D6iKBxsMY4s5dO6skOtcmgLtQ
J2Y91qsgNdka4zrKt3Zj87sZrn+XkuX6N1PSpjeJ6FHik8tOxgaPoM4N6VsSFx1V22tBY8DPMQ3g
6VmsU8vE+lWOhu73DT+QUdsZdrnoc9YRlx46KxMP6TgypCpAua17VjjDTcMuEW1EHn0Lc4WTQStu
hYoLzCjz2uvQkhOAhVsX/Zu7qdQB9VYqutsQoylRp9gdagXXSb3ArhjxQG6MjouOlrN3NYXcCwZJ
0szudjaRydUO40CbjetiwC/aquJ2dNku6xn/V6jW9ZDwQ0VpZu7BI7LepxRwq6iYDo6QOseIdRRJ
/iw7rosEZsC2qToQEkOcwi+wJx4TA4tYMvjxlnXBeP4xiQzkGk29DUaVJ0ogvPuFX6WhBWZDU8rt
KN0O8EHF3yl4Sp1Wu1vdqReoDvQz2659eHnfRbTqHmEBeuSz4/WOGTKOIGCxavhe4F3JD6oW/WCS
M6r5GmzcmNHpOgyVap0LEVqzz3nML203fUK7xfvHerIBppZc9Dwu0rxu54U3PzbME8fBDDsSJnge
w2H0hNM9OBn/oO3wht2ewbS6Rl8eRlkzKXDULOcg+p8Kgmr9UHWaQ653lk+qfO3lGc6+GYLmJ1Jo
ak8n8g3LzTx4hqw5lxW67rdZBdi6NXmk6sDPEMXdqdspSBfoQZ8ZDb7YBs2jnzlMSviYxDaQMYCo
kFFGXKJHdGh27upMVDAeKh5E8GWA2HJfZZ4Qu5pcD7F18TK9sH4vgar1uj+ZJLEhJoIQRlI4KQO8
bjMW2SGKOaBPgNv8QVunYUY99uXdKgW3r4TlmT2QUhBpDAHaCsIjgL3Gjsf7Wxz82FVNrxpWYubP
KDtOiEjLt6PCcH4ZAOsIZ4pjXeZYhgtQeGJgfpsLJJKX1yx7xIyyZRgB1MXonWrhY51YSmDF3Oqi
cK2y15QgFAarl5U8QavjFWjZD6CfRG4Yq6+dnB2vMKTwMEDBNWn78sxJ1OnCmjizjOmTErFJUJyx
PAszPcPhx4zo4YcEkcU8rRZLO5udWOD8YZCVhVGeKR3O5peulZMW0JdZHDTsLslk7tjmd2DkJv4x
bRwIZzFsz5GqscX61m0avWv3o925W6ckTn5KCpXUX3wTSh6xKKIi9sORV6c4mdiFvX4dU6DfLVpJ
XIpkMakROnikBtdeOPAjjD2+aqZIBXKBFYw0JeOvtUkXk+6/TNqBzggAVYzLmoyvrJYh0VrmtT6v
UcoYuTf47tbPzshgaqb6pAOS52UV+PS4UcuzyTani97JfrCN49HMzICXZw3JINtmBf9kr/FezZIo
O+JGECO4FkvgSpV0ciW80rUF+2HV5Ds3bH40Dv8ZCozPpK83UcJ6YuJsO9Ha9purKpZfKgTKVY1z
V1RmRXMqvlLG/sIhxm9jEF98mBM0h6TXYGPYkkmm+no2VuqGNAuSO5d8+ZpZeTFsbHYEtk/Fs1M4
DrXpk55W0xaapSB+WNVvrSjLsZuMdXo+R11/SEaVV2ioYUSJK9Iw+qW4nkExJPIqjkwbFxPEPfjD
bTeRUDhnUvVJWGs7H0ZorXl20yiHOuwfFVlV35HyfDMTteo3kTFlP9zGUBbCIZVl6TwmxoiHv61O
RJFNdDlb7FJenYLLKVKTAJiIT9GWPmR4LkbiJE7o1o3dRabHrrMvhdmhnOK4rDxASBq8GP1CfhbG
kAewVuYk1jRz1iQX1mDrsx8Rn6p8Knu2D7Fjf1AnXKs4R/saaHM0bRDQ2qANjkoKuVD0xaxa0kUQ
vuzaJf6RZHxcjNK97Vs8zBaHAM9MGOm/bAGv/rrCf+HnuUJCJ7v//h+v6lmOQfQrbUvgVHRk1KNC
j+AsPwtZ9wGMgnWxYwthJNn3kgAeMJzZj/ev9uo0v14NAR5lJTyVr7rlmFgUk+TLPshnBsi6ExAZ
VIwI2vBf9/VHR+d/cCj+Z6fr/4eOzmzbNQ67//nsfPESh+c9tlWe/B4W+/df/XkSsKAZ0iExMT2h
k6LR9O8jtGuS+0r3VCVqHlcE5+x/nwQMMPYuhiwkVaqBusrmb/2M8TD+xR+lMYLI1gKDSKX8ZwXh
73FK8eE/ypooth7NGI7oFGqQQCAP1DiUGL9Xhpxsaoo27wDHS7bLeHhpWG8xQ5KgqqPomnw51Dg/
GfWxvQ91Jvi+1EvhevbS9aWHuCGdToxlKgD/Whi+AwVeFk0N+AKFig3a6L4XtKXP5jBGOVJJ7QIl
jrmXZq8hd9bT5kte28Z+AFWUb8aULAnobVh7KZi6Z4Kcyi9l59ZfwDwjLBuIvcYNDCf6DCO2+Vi2
g3ZRiEKhrA881oaVq7v1Ts+duMVyoKx/xQhB2GdpgmewkeKup/Kvb/iaQSGRnTt9oh4q7opEmz5h
yzX2YVYU4cbAOYxZUC+z6lABuHAPNlus752rEn9WFgRLaXGpeFoZ5YlXY8O9mvNpPdv3gtuohdna
7Cqjln2Mod2qCPIfHZ3eQVUpfWAMsfF5GV1gNUbVBt3/Zu9MliQ3rij7K/oB0DA4pi0QgZgyo3Ku
zNrAsiYAjtExA1/fB1Vki6QkSlr0os20EE1GVmZFAA7H8/fuPdfSaw4bZWdcE1Px/Rs3iV+kQxMy
JAWw4WDly647NPgcvsqW0QcpWLX5lCGKfbNi6rFgtlr+GPC2+lJisHxfEn4OQwkfwDa2XNyp4G/T
rcR8wm5eE4FiAacOHMCRD9R0/J30P5q3gpYJTPXCXnFCE9t1dURWXqrUTa9Wrskbb4yJG5uy+VZC
QDiBpM6JCHD5GfhwXE/stRKTzExgwI51zb/5eUMLPYG2m2Sx/2JCxCRtFuLAHbe0616dpSaQdmri
xdhRTUno/F2RZ/caUNkmqBfJb2lGeB2B1+FUCe1i4LqAbOAzpqDGyA1cBAFOSPQTJIB9aY9kCpap
/rGFr0MYYUkMQ0D4x/eUEETmYGPlv2CaewC9bEcLWngRFnEWv6xmJ+9dskoERGalhY1Rmk8VM7S3
LQmdVUvwcJTPkLQi4tD5TWts8k8XHlHGJ2ERUU/Nd6lDiFPg9iOrwWw77iyvQRIL/MW2GLgbg7gt
XLcnpjbpWHxES6a7eIS/HbhT039FaTEle71vjCuYMh5C15+5wcQtkCTl+UnnBLlsquVcST/Pwtwv
inKPkJj1ZvBY3tQNiiGGZLF10uRoWlstzufO1i3luMzjGYweCVscAktWDNFr3dcZ33YCPF3j3o3b
OlkIxXkDozzfoaW3TqU9NG8ULfyyXhGCjMvT37uiyvAuk7bcCKN5axsZv/xYwpnmcn0hr1zq7WGX
2yKNIYE8TNbAJflBw5oZEt6Vq0nSTSqrPNq0Oi8I67hwfd1YVB6Fx4IZXL2+FICjWQHbIzEUTXbY
ENIModOBm43/Etp/pt5Wt22Pym62BLLBMZ7EVMcvmtRHLWg6mdaBVGQMFoTYQiuvgb2uJlDjAgrX
GExZydchkPaUkZtN7AwWY54HXWeBaRYPeZePXB+G0sbTaPZ8a31lB0F1aJ1cONuELRf+zaocbiGT
Mn5D3RgSiAYsU0DObgcMTaoxcXca4z/2U1TTO71o3KODZzki2tC/sdWs7TijaO0W9873tdAWTNHa
LUO693koYvzqQNYCCOHzQ2nWU/oAjKq5TQAN7bMFMoq18Cxvs62TV+Wavy8NzqKBcJB55DlFvezZ
MnQ9Np5AwQxcwVLMDw0LnVzgNFdvuR6rI0Ck5BD3qfnkWqx5Jy+mOKJ72q6PHU1icZwHtkhr5QuD
3mBFYRXnRhWmZjzFJIU256R27ZnWQAnAuoxlBth+zQ6DIK4shNbdolGKwVoAQGr3mChYUzFE4TFY
nJXb2nYFQd2o8amhKsN4UgMiSmmTyrHLW444QUlgRh4ZMN/2sLKbtwl9uhOUjjKutFOMp7I0+Dyy
bJIYUt62cggeqZezkC2/noTK7muSIxXOUpvVjcbiydrWXpvZhrwIxpDHAQmwin6seWEKfkjv+c6h
qbb1P1CUXYds9F+wcUGLpRDkrxgnQ/XwRux8jvSsY39rO8yARWpt69FfOtJQlee/aNbKjfy5pWF5
z0r6HRNLiSFJO5yk1yktUMTStfvG0Iw74fB04bzz4dpPXF64aERZ8+9ojoiXqepncErKbtPox85a
1yl2p4nu2ouRWVX1AiZmyT/ak8U+UZA5kgUGftqDSHv7HWe8v4caX9LuGszQS6qvVTr7pxa6Kotf
0eAPQHKwA0N3NK7TSoBNUFA/DLAxUZITb5FWRvrBXNLlyPZjlRPZJwMlRJDUVc3Zo179S1l1fcpJ
MJ5hrHSZX9yvsvhG+POGOC96LXnhVQqsFrIUtwhM3Brkw8xeyzPZ7lK2mDrQJtOWoaVa52tdlS91
YrRn8r0Ghv2LN83UIVb7RJ/zVPvbi6hzquIpww5z4R3j3RkVbBae3dGKYBEQbGsY/RW5a31hNJOE
o5ekz5mr0AYT9PBJ0UTSzFoROsWRrIUjoLuSZyAYSqPUOCH1y6lLh+biSp+Q6zs9FTXpFpBd1BAh
/VSR5rj+HcfhAOvnQ0xGm/5xcQqCAoGllU58Moy6ZFcljJsK3wH4TwLartGbcscYGbT8ZsTnVKeE
DOlulkfDUAmcNNF4IdmcVpRXJrAQl8x0fZinsy3TPA9pEiwjLcsmXaLFYeR89FmW2Pq6gSaWSZPg
0lti/eDNvXvupM9rjlwBQsK0BvTmZDwLfHO3mu5UH7I1986uGbN6ja0Dmnr1PsGwmgY6EGMSUt3h
0hITfOtiw7aCDtDYeyFq+by45TPJpaq4gb0o7lWOJlUjidQLBUDLyBut8Xu3tPAbPcCP3eSDy2OR
7ZXtZjuvXdpo0aR/1EdAp8vcl3vwq8BDBfi8gIgieeu1qVwICRicr7L3qgiMQMx7HBdwkk3PuP+a
iCjgFoLB9IneT2hn0v1M6sTykNpLtTMKZUbW5qA1e7u973Quq+NXzp5QjvmLHMwnQHCECE9dd+tl
6QrofrEh0g1lVC+aOMT+6N40fib2ieqelD9oMmgdKqN9V6r6tl9jtqi8pD6h07RPqBvOQ9kaZzor
tIUAS5BfMYib2lr1kItW7cdc2Y+zA/dnVsrbaz4DI7nh+Vkh+Z1QcodX5qytufGBl8AWfDpWEQ5h
51S01kJz1wotBkFHAkvag7e9ISwia3Zz4g9HO+eGddmivXXxrHaSbtftKu17QFnmrq8q/SFvpXdT
46h6NgF+3jAfB++reSgGg4na9XNPl526BJrpuZ/BUsmsr18l5Tvl3VCOGevbzJ9ItPWO7mRpV31L
Q+HN6+5yT0SDay+RhPJzmnTXfdfy8nXWVF4EhlsQbdO2XURapqiDxZ30bc4+HIArpYTB54oIqoxA
EpsM45gB7mms7K8N3Y692ZMMYjQ6aQJkHJyIZrLe4fmScEz03vxKRbynuiY7ni5atVtyPd/3SjhP
sWJHYedvMSvXRhZomeke9W62yIgoCFg2FxQ+U2FMN+kAzDRorEH6AxuJ13Ltelt/GKe8gFFEMP1C
La5Im3uAeY37w5ClKI7u2o3JVzb/JEqlqXYg7JpdrI00pRJQFm0ArSo+YIvW2JhQACP5GaYXLe9M
j9debDoEqhjprm16TiCp2tPQI7qi47nIrH56aWgdn1aHOCwf3VEESGMluwhGji/dLHKIFHyektlj
iWNLFtqZPiSFHxspaJUvqNGSm0SVxA/13Uct9YdL2XpQHqsu5OUVP5aDqb/6U+e00Fj9uD/nSi3Z
R5jlg34qc8fvz5oySIg4smuR8uJbg5r20tConBIObiT39f5ENTvi556ZaXhvsSrY1EkPn8Aja9NC
XFWAZmq1Dq6U9C1DsxCaHiSkH0/Ahm19sN68tOStaw5yC/wCX4rLfIrt8qL0ln9P73k1drpd9h6r
x/TbvT1Qg6YQQ8klnzoKEWfcRquZaorlrBvr/LCYk4FdwcebpibKckBfv05I/+Xh2drOxr/vNuFy
ZQTOoNvxEIJuiZp/UFUwrGhgcKv02DgJL8ykphQkSmNCegZNOrO66rFJC0+clpq36G626i4/j8Ic
HwYxQv1Mx8l/0fWF4l38eE0bPVW1llHTYdqkmsgS0jKKuN5Kiu3oWfl60e60MubwlrvtPNwu9Cm+
/qyRs3KaHwbyU7gmSzM/0IumKzlKwITba4UoBwCGcI482J+49inIftcA+Sc9MPPPEisuB7YlABAc
Y4TzD+P41NBUtoyudrBSm1ti1muVnr1hq7yqmU/POiQuzvRG7bEyaYsyQ0v5WAt5Qo8zc5HqMbEM
iiV7hSBNfhf/l4vFPwk2WZL9j9OqZTZ8vwmo/XwzTEOSHeuEAzl43mZM9skIQXxdSv5228w5Szr5
MnYBzd/y619/2R/ipD/ee5IokO1sY1QiTf5BzumTQ29BnzhWxPS2AYQXINmpkzeUOrYPVgoiKtC9
uVPvBI8uD6qnw6BSTuBZPbcPJVmd/+YT/bPVqG/iUoYUiJn+LKfSbKXBAnNTXMoaxZ6jOfNDTyPp
paMxw0WA4MeVM83uK3Npiwkpp4JqqonLM1pepGHXNdvJiePIX3+wP/dk6TCBBfFQK+OGpNu0/fff
aY+GNC6yps/kEUozq7esa2v+uIp16F7Fsq4qEpDG2l1d2QWwtCmnRv3rD/BP7pVASyz4IGiK+RTi
j59gSh3wbWafHG0magnZZl2S7QbfiKF6aV2acCaLm0NmZWlygcG9VvvG6eIrU13jydMH4yrqnMPX
X3+qf3JZkB1bGOFQ0fyjubmyBrLBpAD7qHFCUjNF8h6PKEc3ZshF2GcmBwRyyDhDaGPSvP313/4P
NgcuxqZ63v7HSRWdzh+vSbW4OfQgsmLtpaBjIA21EO3YKa+U3JB0sZlRMNywnnIirE7GdkrFKSjk
ZRSqMT8IBzrmClOrT9JjvzWaGpVU8nvH3PSB/GnqkR8f+H+d6H8TpLo5M5li/OtO9G2GHqWr+/ff
q1F+/alfm9Ce/wsPAGGoiKSsreP89ya07/6CNwPzm4eTwTboAv/fJrTwf0ERb/HsbkCHnxKvX5vQ
wvplCxixfQyqnk3SiP3fNKFpsP5p74K45NLAcrG98gGxhv5pNVpp7pcwPfRLRdZVqoaQF4y2m40q
Bl1kzM0+F1ZPvWiNkPZn1Nsw3Rg9gporGJSXKwnrDZDe25mMKh9pCDPkj/NaCPFi+DhZd1NnfE48
M3ku58ENs8SxP45C9LfQ/fq7FcFoHGW15OhVA525ReMlBABOJmEHjSPWse1lxaFvZv47g+Vve+uz
Nol4ueidmj26LGZ/M0pUZ89WHg/uTQd9mHq4cKahDARBoYQUYEmuzG6Gv8hocDuurEuHvzfvlp3V
6laYutbwhplkSpEojKV2m1uZvQaqRQxOJpdtPyKNLp3QMqs6R54bZ89GuoDeTDHYhG0mR+eEXK/7
im9fPTpiME+d26cHc5bw8P1lD8GeTV5XGUXBaJoHaWZPS27ldwQQxvLIH7FuFzqH5a6frYxxIMr4
oBWMgXtDe5/zTcmjy3I6tZ2rMWf2rT2Gen/mFA17ck05RjN41LoHQy/s29GnD2T0g2ucBt9X9aVf
fZqspec+Nq4dP7U9lcAJ8Zul7WTX2MWl6ESnQnCw8pVOUYpG33TDHJoM16AZAwUfkS58XbBFu1zL
oYQsarJPE6O6LNOlH/qEU3LSpHs3c9YHVZGFqHOIKNtjbjgAX1pk7GY/Ifme1mrnesvIARPhYOQt
cXwUdWm+Nqu1ENLYaeuTTzKvIKVtcrMj9apXvGC7GarnBG+HqxMkKcxZQ5pX+PTmt8pV705pYldg
nmRhZ8Z70q1twp2DJ2xDt9mXHdnmqhFXKOLTftZjygOfk0w2rtBAYybDqSjCPK8nGWZ2uwXxqZKS
wmeKOjCqCDZOE+RM25z2BSRNKEkeowDNfcrJSy9t85QM7a290Y7XaaX+rK9CrQqcD1DemewUN68i
JuLds6al9zMSEyoVPmGyzrQBxuXN0Ceg+24WR/G4PNKY7IhpABOzOkreqFLTT40t8gitpXn2kU8H
eWd0+478bshWc3YWQ1FHk1dnF61Y1pOuNjGNU5jPIOQ/Vb0nQmUkbkDigRYK8JRRXbl9f8ZXIk9d
Nn1uqUXOLbEfF+W4DM7XEsRXsxx4J4YdzblIrIgAck3tsm3ikyiN+Dp6rSnnrPSbvapXdzYktNy6
oYWirwFjmNwLcYZNO39YkhtInUBpMpBBCodin2mA5+vMCEbTjkPRSuOOTy8vNBxpxMbEpp8Myxq+
NUWz7Dzgt5HLw3YEnb3LXSRVVbL2R+Q9p2qyH5VVPKARvVmN+OC3g76lfDxlDsRbvfPPRP89oM44
VYhpdp7OFFxy9RNQWd4onjulDt7CVAX8Jkl8wxy1TYGuJF6RvcfixbEAHIE+7XZGWXwrhN7S7ZmI
XwC1/JhpQF/oa4V+j7RI9TabYObdig3IL0voisjCjQBDrLgH9V/ty7mlz+SPE2urwWjB/XCAlJVd
uB0Pj15bfFldBNuKkKAzyG7wXy1ZS/Ax5DX1e3kcPCTkPBXGfZKqe0Zye83jS611dZ09Id+LbTfL
h9hFQSsJs2waUzxkpiKetulT5iqyjRrQNW+uSl/JwxlJsZi/p31pHBO3A1NHhh/Chs14o8X+eSCU
dt+xrd/3QJ+JyHX8Uy7prjnt/TT2esQ24V1qqU0urXqn/8i+MjC7dOORs3wvr9IkW0D1eX/QuVGR
Xqvhaid2+mDNs3/bzvrD2mo9OQagrROT6B1/+LDMZQT5lGAJ2bggA7oHGovsLmkaxIMuI2nlFh+v
Fu+pyK65lfJ2UDDKcgMGhuyZEeZOZJZr/Eg9e9toqg1neNLPriaf7YRszkIb37vVf3US82QOtsM6
HhrsP8UcpOYUYQs71Y480PuPuYpKXE0jUQcEdF8qcLx7u127o96bT4QW5yzgHK4K7YzxYquJrGHD
ehj85qbo0hcnB+htFutehwkUsNPuHc3/xJSJBoCww3zbSxvNu/M669Blcn6YuXUENpDYGrKNep9y
pCevBVDPXWu5PGqaYBjhjrfuMu6hdZ8RZ/eRPSrz0jrSo4HdEPqB1zQN86XwDsU8rKe07o8YWs5j
FueHvtCRu/laA6dai3iZFeEak6jrTcLH8QQ98wtk+J4NG57CdVl1cZ+WgnLUbdVtMWQEqk4jmSHS
Tj83KIGYKQ03c6Z4J0zFsyFGjmT1rT+uvFil7+/Ntn8k4eiqMrf8Ms4VOJblVbp5sR/5Ps6c13nI
CSajY2ydjLY0IpHGQOgScjWuM0T1kQ69anaE2xoXO7MTWpXWEnRDYr3F9dAwUTNgo2stIRh7L2dn
GhlV3CXa2AGyb1Mn7HmvNRn4raWGv28YRhNVQzPcmEziwswkh9bfsl1jS3tONbR3YGOSXe34dOTQ
xOmwxzTy2j/oSTNCvlsKkRBuTNT3QyU1tB9dvp7n0XoWs958xlMGSj4uifmJyCOxtmyRbR4vRL0w
GYXBux97/0upjXdGity0F1P/0NnV3VRpWqhyCMgM1z7k+FC61mojGLv1mXzWj14HoGgmO55hT783
+Ho7syrUJ7ZXcZyMJX6Xq9HuJ0BKJ+iG5l7WY3pwCofJLYT4sMwFX7Yb3/wESlele9ot5OX8pfGJ
KGWM43138F3vBpvwTzu1ivfac5dHl8Rselnem5XbKDC90n1xoebvtNjRQw678qlKKj2YJ33zLuEN
sqy53s1ie4i4YQi0ZovMVzK1ea75eEnb0VuWX5s2/7zomvvg+9X40erGve4P6bXQc3u3AEZCvswA
mF4UXtRwbVqBzKYtLt26IskdBkGNUCW3hlkc+xwFvkZDZU8DrX7wSuJI2G7T4R4NlXdcXUd91Fb/
CAB7fhoRHWJTyFDJ0fDNbtANf1W594XduYhQy/o74pqG50waF4c4X2b+7bKzmSjvSXDnBQG2aYeL
DY0VGW5VqNXSvFZkg4fgJtSNNDrmjn233JRi8o9Tbcw7N1VfigSiC1lLmXHXNKPxyAbZMbwaLNJu
nH5Ki4NA08yxT+S8vDqtelNEZ14SErkiZA3Ziz7Rcw5rj+kwMRCL9VimiKirwnY+Q8Ane2XdAmPi
lB6yUVAwDFxzE5oGkThoaUU5nt1h1ehz6rvKMj/EHFRIlp2qljC31C92JZVHmHrZmKSgpIxySi/t
MLlRXo7JI+D/vjVuKbTCshpfWn89Oeb0tSZQ/tAZxAMIn7SJvpn3hFyhUalqZguz7aP30w/cOaYk
gpiJbCTiu65lwAj/09iLPjThFJGZEFug6es4aGPFOzCvjwyeCJSOGY40nlEcrd4UQdrK8VwRShe3
1lWm0nrOBDBctCveJUvL+iL7FJmJ6z8uaxoV9KEeMKmJg258JsuXoknGNTzQ+NlI2jJgGEGHWFg7
hsb4Ve028AAFn1tnqfbMUI5rxdor25muDeCFsNboJWdi3HkoE9hSMjtAbzRyWodCvebpp8mHKkWR
H5E8p5G80TzPTOGYavtNYCPhgBq67KAWlDuOK8Sd9xo5EQkts1AV9amuxYMPD+DgJNaXohqecU/Z
HzSH2K6SswoDkyVCvyvCtul3iF3Aszd2e0vK+xjhQjFfQBADXS/K8nnuIcxD8uZ1x9QkkAYRDFZN
N4+AoTxA7wgin5y7UjVzVHfUdVkdZ1/z1tgRf0X8TcZKnwsnWHTMr87sxc/Mb29UOohrK/w+HFT1
nQIYpX/aoSRd6zDVcpNbOn6Y0y7FQzqUz62QkM/FkERKVP5ewCSk8PaILtRkcZsnbDDLlJeRr9vq
6njxZ71roUWCND2kUz7fq8XVIr9zjJBZGpWP0fgf9EZeiUwerqZeh2VNSMTatXmQCn25mtI/a2gD
ISswlXHHcUSx4043nuV+rTlzFIb2ZnrrO/3yg2t0ww1H3YWLkUcoxU9Yj8b9qmnIEb5rnmKq4HT6
jYEQ+6jy9g5m6qWaU7ZI4q/CgVRxJo0ccUeztQ5WPx7M2jYCS8qLZ0BX9aR+1nPv2XZTpPbZ+j67
w5d4SD7Xdc76qa37ob916/i5HleCiOYq+aRpJoQdUZz6bF3DxHJvkF69ek29a32/PuS8IAOijZpr
HJuoXCvduBGiuZcTFZrWST3sB4JlgtxL9Gse1xMlmnY3OGr0grycV14LMubr8jZQSJCbNIJ02Z1a
VvCnpU2/WfnEGomnJUgtpmXMnwr4l6ldvhW1BLSaZUYJYsOEYjjXVkGRV7culpW2up96sz+O2syQ
Xjo5QyotacPGbPU0rPO+eWMEsIkxR5uDTqOep4FJyjim44nKOj/5xPMchF+JqFnW5DIxWoyITX1a
WqxcYPA++N4g76pMM77bWTdc1jRzzo1FQq1Z4IQZ6niJCI1rn0S1gMFrzXfO8fI2rwSH/ET/sK7J
GI5dndxYs4t2wDDtWxBIYs8EaT5Y9YwogwiJaHSFFvWY3HZYFikCquowVpbYJTMzxpJQBGJf+g2v
v2hBZYHBFuCRnEZaezMt4g+O0Ts4SJfPXjn4QWm6725ScMUobEmlg4BBr/yE5xyywTRejbKmtOhS
l/ex/wkfB0m+nmshmUiRuzR2RSnUrng++PWdP4UDz06CrovlWk4RjlWwqKTv1PMso7TWixO148kt
KxkiRBqjzSq4Z0cnAqS0qz1CroMEmsuBynsYJHNUjsN0XaxZvo25T6BDLHQcRIIpSTBxYrgunX+B
HYiqFb//ziSTkLgl8uaR8QW1YaqLu3R64CC7O3Y5+SctyiOArp1+6XPVn7va+q5WxiJ0mhnVpa/m
ml1RgMR7IgvLO9lyG+stksPPUaIXBda8CU8LVqh+lytPu0xC3mUmYW55Xd4mjvtSe353oMZW4dyw
/Lt5jipDP8BuHklXsDnPwO2NhjzjV3mDGeDX+7bWzb1T97dLQ1pUu8S7NbFwWhBdgsKwCkutxEnU
p3y9gpaN1YV6OrMrk3Z+xBQOPy9vbAqX5TzxpIbD5ojXh549kjEajKnx8+jKz5lroydTd3Nfz0iX
FnPHMfLCFv2Cm6qKxDDvOW6xkg1CLPuxmwKeBv0KVc48eGgHHH/lxSsQeLWN8YDO7uTJYb+OTo7q
0MALpuEI+6iERutkmiYvMgtGOI35gAZ04RvhAsl/xE95U5i0HAl7hnpIgIKBrsDOiLPpnGKMC2xR
fa5Q89/LBPciFe1BTQpdzGytz54h7qBq9TAhDXNndXrUdzA+BDkuONNrW9s5hbsEHHLkE0Ovb56h
rt1qXnLPebcMk5zL994oD+hOvrfjQuqOly17YEhkP5b+TskqNGQjd6savzc9FIhCyz+lSkv3Spgb
D10Lc5MJfLF69EtW6Se7qqIfkBorpYuMwVTKuzZlgw67oXXmsNGF+6EcRvOsUdc3wZwAB5tGDuaj
Wlr+EG/yZszLwGcuva+6uULG0rvBpJxLUxqXVrdD9LLoL+e8GCI6OQksuoFImtVwGdQbixpugNlC
2e/MAqGHQ7hgVqj4zmNX64O6M1qb7EVy2zx0A6vTP2lIvLqoxIuzRK2WT21oGSntNodzwsL2YQ5Z
JBmNKDNALbvYMeJ+EFiLfjNgR/jc5aSd9rhC/I6uxf+bnv3/R7pw3Pp/KQvffSveSfz89vte/M+f
+bseXEdCSttcuIxLf9g/f3OG2phGXTyeDrMZ3TFRav9qDLX8X7A00IGHHWO7TGto0v8mB/d+EQDN
bOh1trlFUv9XcnAYp4x9/jDW1G0H9g6wS9A7jAX+1IjPJV45YyUGASFR+gqGvmp2TmNNZMCtZc0k
ti37qFHLXVGbhP0VKWY74HFhFetNROJMRfOR2MbXOBtKciVpg4SZr0/f5p5+Pq4vGZLdQEgxbffK
0zQ6m8UnobVYNIaMU3HCZrugUN0DKMeJzUXMOMvS+5Y9RiiCZdZrIW0OjN6An9Al5lWEsSzbMyDI
HKsYpi+UJWnQp60KLN9pL7PCHuWUVkGmpC0PEx/ODKzWaU4cI+MTipH+oUI2eUag9gkBk/aaFSW+
JFUxlFdzdRh8M9mDHLM4DXTNh3XGPFLO3T3asa8UtXzJmG+KHP0eDwjoZQT0O7S+WiCZHx5QPn9v
WiubAt3v612lY6m1G/RbiNGbSK387elo3jvWrAeZ29/2NQaxwcR8ZnhP8TjcGjEhO+lcPeIwJ4wK
c1BQ5BVyLw8FhumVqHjKG+E1rzG8jBDM1nzGV/cJ4+XJUWgyQD/c50v+iYBWiQitfpyRTpNehm2u
sdIUvQ6N1UHH7JcBx2EJPs0WijlXcuyOUc+MgwocQkBCXyGZcVdXJ/pQo2Ch5/SIPKF4qTH5vhiz
hVduc4SqBJYI7bs54HCrglQvv3drc0fhsx5j9CnUvuq9Fkb7xMmfQi+LEVZumM4Je+BdMdnH2FtJ
YbV79YEOfftKWvWT02X1gbl5djA6GrkOUbf7FWbhkXBPjxwI77lY6bIFwpqeExEnZ1HWHTHTSVfC
9YmHL5qutran0q373iysa5mp1NhNZsr4hoHTui/S6tHSDI7FbUUAkFlbD13R+1HnxdXOsujixDw5
gcxIVUrp3tHkmZV/QFVI+l3SGAbGsQWhMYTLoPdGp6ZjNw+XJNH6IZpazX52xZRdROnodN964ryX
HgNgxhRmZ3Mt68jw2pjMQhKjL9Oi7P5US91mdCD75Tv5Q6t28Nq6Jv+Ts8VtQfmP1rLCwlhsiUEB
RrCwKaXx+L+x63/Cztgmm381dd1Rc7fZl/5v9fe/wdEYys/ZHwawP3/+t00f7IXOVg9Pz/lBA2Br
/23Td38BSUQIGxy5n/v+33d9D1gGY1ZsbMC7iFT5nQnI+8UDWgbrznPszVbk/FfzV14ff9r0Qbxi
KiL1xkY+sn3z3ys0FqPKGSXOOnGQHG6T70WifWCSiiR5U4iAds70c4eOlgfp1cjZ2azu3/jn/E0q
9cf3DvwwB6Y8OUZio5X98SPU0CkbjxPksW4X/Tp4jxldMjAbXROYSp92JBsXgSgItCQK+eCaotpP
5pvAbb6muwqB7a2+NZhqj5NUjl3AuKoUMpiwxwCD5aag2CSsX5iD8YfwY9O0ohaUuMO3/7sI0tWz
5blb60NWQn3V9ovtMxIkiSNIcucGk01FYpneY59Exm9ZOz0fYCdV8PaIRmE1gO7xgtJiamfSOaN5
FWRyvRc9X4C2WZDR7uRRxs7ZW8zM8huhDffsOcOeI3hgan5/7/hvBtjZLnHfMcbAK5BEnDukIjoc
1pSPlyrdD3WxG6kf2yF/mLX4SSrU4jktzbFvPvGm0g9ZMdwlnXsBmvB5JfSnl9TzzlQcHFLoOXWg
vuWE+aWcaY7l0ltotUxfyLbZJc7Q3VTdZINvaEIEMPxlK8hp60NSgoj/37byn2wrJsoEnr5/rea4
fpv+dvttzr78gcrz64/9up0gs/8FniW4bpziBCP8Ts4BUQeGiOXoiEZANf6wG/5WRLr8ECIQAnvJ
tMFBigrqtyLSwImIeo/ilo0I7Yj332wn9ian+t2zrG+BHLzmwOwjicQV8qftRJF3iUW1kjcth4/l
nWgfPOaVcHux19FhVj6u6XaSC+y9uiu1U437yW5D33arI9J/UuC0bvnaWsnAeVFv7HCWy7he5spx
v6m2cHcZ5th2VRgHEsbZFCoFHrBHlFyrR3rzSPnUdF8LtyLIS1+Y19v7fIu8pYuXab17P9bDiICk
+QndsX4QeJxtlPhW/ETzoGLgeNjS3wDaw5M7hfOG8jF/5fpA0sjB/DhjpRrvMTXddRvZ6x747L3B
iRrJr0T91z11VPXG3pOArfSPmXL7dThUzegRg9jp8EMumJdyzty6+pIi445c1Sx3tllUbrguk+RH
gbOun5oKLsjt/x7A/+QBNFBrsl7/9QPIYbRN/vgu//VnfhNT6RhwMd6Kn0+K2Gy7v77MPfsXR+f1
hagdmht0Pf7Tb08fr/zfnrb/w96ZLUeOnE32iSDDvtwmcmMmdxZZJG9gLLIKCGwBIAAEgKf/D9gt
qaoldY/GbG7G/juZqYtJJpaI+Nz9uPm31VTFkwGKjefE/m8eNpb9X5826OXsLPhhJn3Aru35fNDP
i3dEU16YIM0cnTB90UVG57Yq5I6A/DMktgfkwGNtDu1zWFnPlGZauPPnPcCAUz8HIYPn1r5wdEWw
hf7lTW1p7wKUeXlgGW62AXW7zI6i7secjD4FwAwpZch42kjL5pWjpHlv2LN9WNjkbp0SEacJhdgn
Ro0Ykwb3HAjDW41cV4Q9QVLNkKyn2oDnv6USjMrP7cwA9WT2XdyO1c2sKP1okGY2eTmtNqPlzsNQ
uJUB2r416+HL2jAdp/MEj1Pg53YN604vjndgQPrVdysMQZqlLiB9dtWbwjrnDr+Tadbilqk6tnHD
b28Zy+9cUT4N00y0ZKL+uvU9KBXjmxywj5BU0dvObaZvgnPhudAMnp1okZB1Wv/gKY0pxe2Cg65n
FTOshlDrOB99PjnM3OxkS0mDu7J03uxxZibYjyeGjdWeAwe7mAV/99LX6Y6rutGgW+5pWt/35bxf
pHGTzHm5G4x2OjZOpDdTIK37qLHL5370mq8c4PZVpO8441X3BcLapaBZd9jkYUAIKBnKq45yRL3D
YG3Gbd0Wz8MixR3mBHA5yuhjB7ah3jTp2OFWMWjE4i1+xpu80G9aeR2Qer8F29CIa1Lv+jmJsApH
nh89TZWDwE0vBRXRMggvszGqdkqD4WmHMrwLtC7oB3awF5c2peK9Q2A7IH+zlrGO5VNdQHP0Suq3
TWaI1269mHgqmMoW+xQH/WXQ2uG2EY7FlxfZA/O3oW03ym5qDuVJwkSBF/FpdTe3mzasoXWIchUN
SMoIEDdSnmdWtr2tg/w1sEfCx1NC4blnk+rN7VI+hGTAd1Ml5INVSOva8SeSp6vRmRxq/to0azYO
h6JI2e4s1r7KaZz8DPPO3gh8py/SmjC1O+2UUFw/jaOMZAYpUU+M87ZrQ/eNg2X5NIvZ/NYNmKsN
fEM5ASw6LdNO8t9k4xr+Hox4xJ2DM8k0SZNKrz6hmAn2s8Rtt2adElKnk+PJGwAvHT018se3jFvv
A5BagiY9k4ynP5BeY8NcUInAdWjCkh/IuZ/oCMC6ejfT7b2d+qp5yXj+DsIHTw+8C2hMMglWy2Bl
jDZWLa7n1lUfAobdwRqc5rs3ddNtMsiGtmZ+szzJm3A/DhY/vrTt4C5dMmN1pnmYEJMsvHMn7kF6
tKsfZZW5p9pDPFG5q8HZrZBhsf7h4C3n+3nw+sdgqvgPyyS3L7yRl8g2dOSM6q7GQ87U/fXzTmO2
w6fRK001tTXb3llMBBVpiJI3ulkF5YzEKwGBtnzCwmJ/xbQg5K6v3OCu88i+yjXhbE0a7apjZmGn
Q+CCoeSiotnXJyBIXDUbmM2+1FX/0QeZuK5N6d8Q8JjPbWLZ94mZh/e6Napdxh1ZbJbIS14pDmo3
2qsycL4JPkRjDPnEAPr7vkwz40EyYj4sfi4f2pSpgGRysPu8WpWu5INI1wyoKhIYz1Y/UrrEyQp6
j+tdWqTlEpBPDNK2fsqPH/ScxkGJHrAQNOLcEL7QkjcjYErcm/lyrersmmnz7WCoL2ObogR68rUW
4Sat/DmOwiu7H25I1txmo8mgrc+OVd798HR0jlBiNz2ia20H95Ny9oAIyCUtT5gi/K1nTuGl7/MD
m4QNE4wau5llHGI3ve9Zx4aN7cjhYAnLv6fo+lFZOQlhjKTbwgrpyA4aJ7YCVGJRzddiirZ6yrf0
8pwopk9urd6YbqzJxmwpU1QRyPiYQ2QBpyoa3d1MZH8TNKQ3xpEZUk8QDNt7Z33UMJnxFn2nAFae
20w055xD4a62K+vCsb33zuqPdejdsUzinRwH5wb7RfJipPazMsL3eZDYOWtVIcmXuBznetwZlYMY
rhY6Le0O6bPxffkwsF+OGU8uH9VIQmnJqAlfMrVv+umhzofmFAXFwUHkj3EFcYGFb+2ndkg2uZ6L
y8K3Hv2ZhH4QURY7zdWFCbIS8n0LXy0cGg55BRpONJyadGn2hpQvrYmJZKqleUlULTh13PgH0k8m
w6DkxbSqNoZltRms+Qe5vvtGhMF3gmtYUXVrvga+IbdWUXzp0YnfZvxIO551GNgOGrE51CT7Fckt
uJZuuxkXnFAT5QXHNF8czKih6cYLOJ8oeWgr9ZHNfbIz63C+nrKOZnMnHUUf171tkjpculUTsutL
afnX0MqLO26rbmf6iXXrLLPLKXyoGRqQhzwWddFsXWVgTLDs5js6fbHD73gx0wCKZaB5wx9KL3yo
IpSO8dlM4JLhSsObYbfeAVbSu+maL23mHGiuSx61RX7McQrsV44u4HZ7xhV25Mdkrs3Y5zFkGFen
z5Q9qbhWzra3zPASNl66Y5MQfrh0jt8HGHEfC6Zp7CGYrmMj9VHV+oRT7kjKdaL8PX/Mg6HYuMqF
+src83sPs+hEvjdYQX/JVo7GuGdN13us2iedUvNAYtG8xjMt74jjTMCRWnZWjuGBFenC62Zs9Gtt
zuWrht9/7feEhClrmDcd3a1k5R3Jm7wX+NCzmpwQwJG1hWHK08tx6gvrpGzChVQmLtAUI4LFIbkp
RPYwfer9yUDvBStQODaq9yKlGSddCkG7yIfLwMOmNOCZx8YODAFGwaJZBilOvZZwIE/uWq6ZULEJ
qrBNnqJW9Pe6WES+W1Rb15s+qo1rTNTeBTuF4mDhlNyJqUxihrJyZWZPP2pYcDdWlfaPuhP62GD6
/uq3OPOR6eotZAO66QMNb8ttBOHp5aKArHKuxtE4mZIXGDJfe5SJp+IGT32MMSDZ48AN+bXK9jC7
5bdAMaZQXaJvCt8wr7qk7qBNye7Q2mgNgy7of2+6q0kSU8E0kdqpH5fh8pJ3nWy2eU1Hx6SxW9Iu
b21Epsp95ZoQVrvCPSySah+RAYZaE3X2wKDaK9V4uxTs8YpRKlauMbyZdVs+tLnSZB4L48Xpo2sI
lOo7nlc2IP7c7yMCf/uhREszHNxeHVAWjFsLj7hDty2dSfesoPKmDgiJNliPN8rU3hNQmcNEPelW
OcvDTJXm9SRsgIphmB/m2jr4Wqi4xKQmR5l+J7qMv4Mlb2wlVkWg73jGp+lExZqKh1wlF4AAL+kO
uHfxU22DJMwv5sWfzkke4tNlYpYV1g7r8H1U8Ha1zsEAcm7cEeYureZQVDpP7+i1bJmCD0qneEO1
OwJ6NIyUJSFtTYz1kZnOVRxoyi4uJva/y6XHVqWI87QqvN2schLH4aqLe0Mx5SU+vmGQ28oXmHJU
Ombze1YgVLgbkqLSPrIafp0q984wo3Ff1dEQY2bQD0mwLDtrXtR1mnsSGclzr3pveW4XOgGXxr8X
kTTifOkRS6La3paRl9+0QeN9U5OccVrXyzdLWf2VrnDuCGv83qWzjRXRHq/CcXTw+gfuyZ04/aCd
qttIl/alxph3n7JV2dnJ4GxnI3gFZ51sWkhwb7pP51gYnYvLO0lOlSH8TZqbZly0Cn/nKLB4NGHG
UtmUh6l3xQGX9ZfI6KeNV7jnxWGjXZb5R2Cj0rgQlq59C/lZuu8Z2MVt0ovoNGNlprjJWjf96dz1
30ysmB9B4eWXWteKfbxyjw7Q4guAmg/mOEQmzNNxMbbF2BcXy5JAGVsWd750RWfcNZBuvuK9Lq9U
Vr1zAE2rnbTbAV5SD/oTvoHc4tV7b6uKVd9oq49g9Nd3VtL3+6EWeLkss3th++LvbNshO5hEmPIc
694RuXdDoibFLo92ckLgbLfBvPCkDbV+8gc9nNsGAOFSjiEC0NyXN0XdBl68YBX/Vrek7anPEdO+
sjKWApMCb1iZAq/9WroVfjD35cUxpp51L2jB/gpqtXlZnIoJJjOYZjMmjmvwyqfLJR5MWv7wE8id
Zy3hOZG93CtejLvQWi7EDBqz0RyyJCSDa8Ec9oUKdKh8bYDq6NUZVFGCyRia+PCbNmVTksuQNG0t
ov4L8moHOAQNrl4ctBzWwWWOJ6GXscCd0MOob9X4I1MVzHanF8eu1c1xMurvxVpBrOYk4PioLotu
wEGdduG9X5njLTF2TMJ5tGwLRDyMBZiZvVSiWyWO2OZRmJz4xR45+CXgfjL6hvIqvAB3n3b/bwT5
/+9wbigLax3xf576fBXqXdZK1D8L97//q7/PfXw0F0R4VJIVoY82/o+5T2T/DVqbjxzDNAihZoW8
/T73cZm6IsvDWeb/WauQ/jl1dW1CdLR0crBhZITc7v43g6BfBRR3ZbSvFe42+V8XqtwfywRsy8yK
wcv8c5TCFMPFPt3SYb2moWeS3n2nPPSrf3xBt7/Nc/8z8vC3Dwzsdd6F+yBk+PTr3Kngr27spvLO
jsfx/RMts0Qwo/wybI8ceKy/6JNa51j/nCr//nloHYyXCa1SE/jr50W5v6iI+Pk5kJn/BmKYgzyV
gV8UZ/S/CAz/Gs39/CguNdfaY4IVUGrz60d1mc4oFrXcM4skAfUgB6PWL8BwfDu1rvtliZ6CgtNP
t4Zd//xb/Td/JXeSx91Anp9eiPUy/xSW1m0xYkvv3LOyc0h7IRumjeHVWA7GlJj7n3+YhXflj98p
dyBVDUjXFAP/sbJ7kqWqgkm4Zy19PihoOhMgVm6SBh/7AB5Y7bBdOJEi4vyKWXMksm1JiGV4yY3Y
XIFjf/4b/euf75vcTL7JfhRo4h+z4rkFpK0k8nQmDMKfG1WQrUwDF+H/5WehvXqIHqglwR9lijR3
zDKbZ/fsKA3VieTiR9BXEz5F+6/S1usN8+u96wN5pOwG9w7HK28VYH+6qqJvOsOXg3sek+yHsoE6
DHZl/MXV/HffHS8hSg74sFXL/fVDILYjscDWOJMpxY+O2Qbp0cfjZi0rUuzPL9RnIvePfxLJKov6
XUTjz1H3z38SLh6LrYjlnDEwFNXWweh6thKD+VLZKXhxbeG9cdjiIRURNI4Mn2HKOv5btcd/RHD8
mzsYrYvXnrk+qq79xxsmsS07SXy2XFPY2yfGlBYMrQR0ZGMo7lAayqpdUdgQNmBngxj8fHi9hpkb
b5Du+Odfyr+7Aq7rINqvVxrG/69XoCgjHw5mw8MLgejeNE08lyCwAYt10e6//yjfBxCKeQBJ8Y93
1NTgBelgfZ+Fx9cbRSuH0ignXvWhz5X48w/7dW3h9e26JkNCSkaRDv/19m2yXpZt2xinZF4ZXYbR
NS81ZS0vywqxRBnn7fDnn/ip9//z9lo/ElQDpggfbYMLvK6oP99e0ElcG5xQdDITTD9uWHNgUx3E
RF8b071QCdfV8UCbZGEOUiPlkapwwp4DohJ6Gwq/PS4ty9/nG6R3C2CH82IzW0wyg/2gsJga//mv
jMrK7/TT78zCzwiBIDYDVcwcLI2//s51OOX4Cxz3pEqz2ptLBmhc+MY+pR9sAI1fzVOKTTrvMPXK
nCK2ncUPu+s6A4Yjp4AVyFgBy8BplPYf7H/7jwm8no/1f+G5smGDZluTmCoTkU+qp5VGTJ6zcLov
fUZnZs4/60ygiMG8YvnUyjOlIrN96cdAnsPUdU5dzhe4mYt8vmXQbHQcEG3IlUx2wfhHSWtRjeox
yFcQVPW2iiCawE0UCQTvQTj+oaxbPiPkm/ZVNt+CruKY6I6ujadCAK1UmeQOaVYm5CwRPA9GskT+
STcOQ+ueLPZ27iywMEWZ9R9FXrYvQVPbzamyxHxvhexaDLqAAB2CeRGv1hxxyYLF8WHWaIrGn8ir
cO/1hf9WiJUp6OY2uFPcqx/KatYVehy9t2ou7PcGPudxbIP2vvP76uDpgHC5SGGz8f4lEqAjstqo
SjAAOcTzkH5Os5PCiJ0JNOInExSsszgkDgzbT6KfIW3wiZ+EnQi3+r1SnJRRPNRH80l8rXx4PtbU
qY+iIknKoZcx8KISy4lD2GdPQzNzNY2EnGGU1HzLVQ7fcOn53twBlMBvK2rNSr1vlA81fa7IHR1R
HnBtzEHAne1mGHs3VY1oAz6bjQnYsun2k6xj5jbqgJw5C6EWoIJ4NWpLS5oWlx/diW+BvyIb5zxv
+pgJ/MxB1kwCMg3r+9IYcVMelDsCRYcJxi+DiFlUu65nXfTBItD+yzAg3VXwra4zeri4lN5KZEJ8
XDmlM8zxDWE4BuxW7XAvj7kRPWEb4seGPeoD2Aagr1bIWtTTCQXMsGRd3vQ1+IkY5Wq5WoJySWPA
iN7byATrzc+wtGxopiMi5s1WBx9osY8L5gICIKnvvtbjWH8JFzFfle1YblvGAVj0jNIK93jdu5Mo
5XiRljMfo8ppInG2SHQWhbERluxqyqSJodgEXj5fU1Znnis3IzxONIJkkqecePIMN57rZf7CKMTD
EUNe61SYxKNr7klM4qaq7/pG0edAH1D1HRBr/yN0F3nh2cFwTaMLjOR5ygHSDQVvpnghJbXTTLD4
Eoy5efZhZam98mb/fVoCa6vAs11KxTl0T4ldQOxnaMTWyiWhEMkgL8pHMGhQnLLXdJ04AqFvrmY/
8w9tPSdna+4DsuRK+y+NwKkLGX959VPNFN6t0pmcpLu8ktosdjSpLrGyRi5jmHgjuXpdv2KWD/pt
PWZqW5honOtmFOTZBPwSQaUydvAAxtVggZ5J7Hd9MYGSpcrrfkAwuKiLtrnIO8bmszfM3xOAWDvI
vcbdHMnqWRQjqN0ZbkBTC2B3LaGhoOje8IXwfAjmGoldZfEwdkhwjeQHhca1O2Umr3+mR3JTYHnk
KE+dgOwZxESBQ7AHqH4q1yvf6Et2uuERL83sbZln6I2bJHyQW0bJljRYdhHKhgFbr7LtAtRvZ1dy
eGwKv6W2pVZ7OAlzXGfmO0gR+QyGjjBHZE17ZZAQJMRnHuCjVXesSqD6qDPJLn23XfVUkysapHZ+
KRlQ3MILxcaqSGnGBtyf/m1O4OAads4joVY8zo4YvJ2ff4MlM2gBj8Xbtv9IO+wmMdxM68tviFkT
5f2pCwbAQOEweeauEBiBiUXjRttUsGyX2CaD/pJY7nRLMtCIg7nsjr2KWI/DwUuImdsuIN6u5AEw
ralRh0L0vIJ4G7MxayRv24lzlFI5WzgfmewL7TM8+hROtkd3cvPp6FH489IwXOJXowWF5F1Zly+2
pACd+d6gN5YjbXQlK1NN9QqQMmx+zA0TPzUG6Apl0KPWIAp+r0LdprFXGN5XzMmgRrNIHWGzYsyr
p1QMmxKSwzc19m95A3PEc0WaxsyHW/UM+GIwHsTSSOcY0jlwPXY59T2lKHaZ1u0xJ6tIqqxuHpco
ZW4fYbV9HGmVuPfT5gfh9+cJrfumWONivFdRimzCDjt3aOyPlIzMxyKEfkAr5MrxxOe7dizIs7pp
AEdjzKgQ2LSlCk4+OTDCxbpsMPD4vMfjYlCpPvYwms8U5M5Xreqde3+ZBM72qkDK9rkKecxmJyLD
Tfh8BwagvJq6zr1ZxFLetJY73FcihH0rLfXujka5k/3ifJORP557v1lWPqzN+BEzEbxnmHcbPUCs
IdpB24SKsEcwLXJPZOK/JY2hHxhdFnfWMDA7F6n3Wmi/SOMO9Z21soZ/2NL4eB25swB94DknI9KR
v8nGVL3ZQjfnCuLZrhbecAZ5Z+CgJNHZoQXMYm+wmWXea9l2ApI0CaZ9Rrv0F5hnzZHEGp3fIksu
zXkgOEptNsPgVL/QgNcOO1MpV5wmMU0eAFm6TzZhosPi2p9M3dBOMqgjp1zjMsdL9WjS8kP8qBiI
SdlGYBbHgZvnWrPC/7DGVl0NpJgPJP/nc52rqtyiDCdqIy2OFxkvtwNJc4J/DTsLA4EnGO9Se6Sx
pf7s91C88l6KqXdIZpUe4ACb16hjUt8QM12twd5XxJLjkhjxVc+Uk9ho1KJQhGVAfI2373dp+0DA
I6Ol5qdBdHbd1t45pb8c1RCIe1VZ7SPCnXoKSwSycVqKeMknEpLEeTYuNk7wuUsebJ0GRSG2kiX7
MKuedahfbfiQI0W5dfmqbkdylYe6BHwQe+RkbzAeTY9mp7GSih6rKXKfsw8Np0Oqampv36rAQ33H
JKMOA/fuj6TMpq9N6PTvxPKDD+1Tf7E3G5yeMV0lHrlcWcJ/SJDif8CVbAVGhWWmPaNvfnjZlN6q
vMJmvmCGPjl6AqQtZd1uM2gL88YNuo5Onbq7MUqd72w0wX4bpezZ0wUYNX5VGWQIAxRDnQsSBiTH
g/E5A/g+YMxf8hszSAJzkzR1eVPDMe/hI03GXQZWL2bNVpZ7rBoNP+IJa8OUuP87C/0/aoW0sVc7
Px1t/qXg7qYo3zJZ/WJn//0f/T4Kjdy/4RZndMJaStu6FzFq+N0C95s31fcDbOmfTlL+r79b4FYD
6gonZD5qc3T+ux3O+ZvPOYfYEx+y/rv/znzq/TrT8nDA4nFlFAubEXn1XwYTHWVQ9eRb7cnFcrB1
4Cr0wE/3nKbCOy+rM7ZmUUo/HduABZ9D5w9QN3oPSFbg26xvE6dbSMyUfYnkwLoDXnqY25LjUyTy
296vu9exE8GLh3pzyqwUHpXO7W1kcOICjy+qkz0lxd4vonHbj3l9mTcti3SdNfIKJnWzHKrZIj+K
+I2hxgb6MuouehnpiAqPoUliE2Dm7MPAwrJziwcmgAQsssvclhhoHVyndRyl+Ozext7InoeOGR6u
eVmkHBoGvOoga7M+3XOoROcfzHXTAOUZqKq+LjOXPt592JKWuZZK8edmk+oIytQzZXJsHaBpTzhX
WtOoMPS4XlhuWhsnmLctBvja16G9JCz6Scn3iQ9rrgbgr4lHxGs7jGNgxUzwLPMdF57Sy67IhAfh
F9qshym2ziWojOq35kr/s8ayDtdKy+m3fkvqmFtahr28cRfAXww8m7gjcZoFBbl23Oj5B5jlmfNp
3LOZ9bZjKoW7IQwwpge7mJLuOqh64wKFqLvFxZPg3TEc8pkuhlyV1ReZYYyHFGX8ocBtAINbAYmi
QUzfWUjcez9q5regyYudpmSCPqU52woJ1XsMq+KSxkDnIHEJwEsAWEwGq+03bS0ZeI3lcBGOUxwM
kB6qqpZb6jXSG89Gr6LobNr6blps3Z4OqhyDDcXLUXLXrWJoUht9Q9AKzXsxxuamzP1HkscIs2Cm
b8kYB3dlU4wvWRXiM4BYeeqabLrjfpCw4KV4KtWU3Ja2nL/S/mbYsR6AHSUQvLekfYPriGKgp6yZ
iCdkvnFjQJnsmaMY0X4MOucy8ZMSwp2BL8EKumJ+alZMAjtL/7H1rfqBvgJUdJK3uHC8nNg25h7Y
trGE23lRd7bPbIL9AeSTur/QE7lVXRYpQrd0ztEScCC0Gk9/IX6qCPM1oN22Q9GVPyzt+rhAgwU+
Obz4ekcMl5MpnvbbTizBRac9og0BE4wBBRaPRXBpUbqBRs2eqd4k3TDe0G5in61pkkfXhdfc57hg
NkOpurus9OsnZkUcmYiUfyPk9dVquzHuyzA8caUZtjTgR2bVhFcLvS13CbOME7H9jjoyZ3ke4PRD
h9CT/Z7LzjwbSw03vG2d4MRyRK1Y3nwfozY5Ioy0u4yhG1cwyB9wnQzPpp+XX5FcxFdH98KjFi0s
vraY3snU84T5Rk9NPGNVHKC634vGZ/ZO2LkKRXnIoaywFNbeSU+E78H40vUBcSEybqyck8zi4WLf
MAgVt3WSTycA7lMXy5QKw9GCE0BH/VRuBCf2LQSleSf10MQ60cxmOJDQGViu/CaTyLrSJ2lGBNtm
z35yA8O56Y3uUSzdQ94YwcfkSQR8RHocZJ5m5hXbzZJ/CbrcPVf0Y1yavcusBRPClpHKBQVgwdWs
u5ZHY1APBE04r3emfPcHkyS/XuStg5j8rYU2224s5pSbqGKvmeap+5hmYKj8lpPKRlctyXL28FcM
IoeXnvx3TfXlapEBrlFY1hLnU3di0JS+KScT30usC7Ea20u8HHrn+XraZnjAnm3Yx0fHCCBsI/rP
lzbz0q1LXB1MSW9DnirczLy2aN3Ys+02YGmbobwrcsXZp+ktmMsD0PARvTDZMAjiuJVhl5iOdtZP
91K7nK+KVDsPY5+E3wpdMRwZxMCJL1x7FZIkm+9dI4GwDr38jVC4PHPk4dw192vL0WAyCEnx6ZCV
DzMYedoFqB8xiJrB0V4HINxnxm0OlQqOB8dAiexCViHU9Wam+ciwbHmNE5WsKb6cuDendxBC9b2l
/fkiNRIV80MBa+eJuoAEHx361p0ujd6GORQ24Tv9aN4PabgfomntSysYVU/JHv6kMuLkAzyYh9wo
rtjuhVeRUxSX7OX9nA7V98y0McCYpaRqaHqUZvdABt2MQ4uWeFKwnAoGP8N/YXkHUyzRXWt1cmf4
dkaISWl1TA0IS8WYYpQWyZacpUUqwnMPORDwPc/7O/7o8L61lY4zBn1f0sDiDZJ1zUlzQN116G3l
lScp4/NUPV7J2kyPhsZQu/ErSHvkpOUdd25FzDbSt8Qxu492AjOOk9HCklC64RNN9+6J33De2rqh
NcprvIZArVfdVokB7cie5YWF9y02lTltYU2IS6MDWujXtTz0wzQwSZj6F7sjI1qGEhtDULz2yvqW
tzCuFpbHy1FX6bDxlc5u3bCtNrWSxRbUNVWGzqR+WM5Y7DgeDA+56Xu70SXBJdOw2Ls0a2ydDmP2
avG5RpnsDzpyWn4L0d2M6FXWLl+iFQxpV7Dousy4wHkBMBFTYg0+0XTL13bSwz7laPUBadPCqca+
m9feaxaW37tCqAvHYLk3cYxvW4//lZD43cyMoY+YHcwLE+z2dhSgFWi6sS7J1ObvUR56vDsz49Bz
RNu4Kinv8h4fCIVJAoNk3kL4TMFftWV0dFyp9sHEzsvQ0jsUdjaeRSUhWJQTqH5IosbWxD8HTUOO
OydQ9XvvabxiwMXwfoCpmjP/qEcH+px3tbj4K2q3wjPSRPZeWt57azZ3w8C8rSZrzpF2OfCKZqLt
GM+WYDSaZRxxsHHPG780/V1hymtkzbvAhA+m2tW8PWzMqtDUDdf3odEXJ5j06b7uGth1ERZOX9Q4
57LshEM03SdueeVUhnEfqUkfSn8gFTjnFBQ41Z1R1LcA/bN9X0Fvw8BfM5OY7/BAWdtCkKFQPRCd
fmnqrYvdA+vRYB3q0QGyYwTODWYhmAwR/M6eMfMR3gRlIp71vU18Y+fNOUlFuhY21GB5LGQFCCCY
0Xd4CqN3LLb0BBjcfkCUjv401nc+lmQWY8AVozdYMeSn4WKquuiY16lBNnkJT1U/35XCe+Xo/vh5
QPhfOPNfwJkt59Pr8Q/bxL+cpY7QIIT42VTy+z/5/SRleS6uEnQuZpV/xy///STlm3+zXd+F/4xw
zH/CQef3k5RtA222YCV7ZuC6FPeRCfr9NGURGsZRAkzZWXcRoD3/G1OJ9wcnRBSiMLoYVBCzcAe4
4ap4/iRcmz71P2CR7Qfg8MDSmqViI8eOWWKwLKH5N27KfkuU3XsTFPaXLCuMe0yr86F2mW7HpeDV
wRaVcmozKfXWgKnVQ37ElDo2L8o0+TnYnKiXNtjMgueZmmKlEDkXkm3VfkDwpQuJoIZtmGuHA9MZ
kRfzQUJauF9yZzkyb+AMYxnDdwrMOGNkrnbZ5orsZqpLUWKj7fUbbyc29k42C7y6fG1xlo6oEF3R
gXQtzfYEn6j5NthZ/gbvd741CpRiG2PxCywogonUvQWELZb++9ilsFQbCgxT21wBqP4dznYhNjgp
7Mc1TVRsfzp73/4mH/5ss/msLP2nquiulwD3UsBVNan6RAL79RJUCx04LOr+w9I50YXnDN6usSc2
E5GcYKo5gCTIGttVdCuDxr6s9dq7B5ZOUipbmKQSsnzeBYEnL6JlGK+WxMuu7cGVH2QPDZqLPHWf
zQReKMzJrwhqWNkmXBMiRDXCQ8riux+UI2/CsHvkpe8dvXXQnmr7i53ZB7qFPvLWb7/9+R8d/Vol
wR/tmsF6A+OCwX7jEUj95b5rkMDSxGzqB6jMyYu1Xv1USuvZshl1MxLsLobc6S6qXNPLnNXwmiqj
X/YKlyJ99JP5rSksvobI09PNCkk4ael4D8nM/2op3PxuN9I6U76nb7LBp7+aoqBbL0yekNrsQySI
4BQ1PckUoJlHQQT+QDWbwfTP8bdr4waRzYp72unN8WwuzkftD5e6s61jPyTecQ5RCxEfnK2Y5mI3
eTRus35le09QdhnlJ1ic+p0jHJXEvaPfORetki2j+65H200yjM7NOOx7QaEHD2VxHYwGD5MqxLFw
mBWKvNus+0lUGprtzyFWz1jgZh+2Qqh2I6mnOpgLVem2QHcL6hqqa81VQmsT+RXsxvZyDkv76wzd
5XtYYk8FnUoGBNgE5JdVh9rXmVJHegDFuex784odLX1ptTVeeThge6IgA5p1my35EVtQHsWLm9r3
huinG9VbfKH2GqYCq3TU3vpsGsVCp7tWX91MQWykiQKGXBfFJgmsv/KJ/frO8vAP2ZHPHIqoNYiE
z2HXz+8sG5tJwtTXuM96k0l0NNQHw1KksyYNYi0YGIRH673TyeVdw+WLVa+aOXb1nH1QcTT9D3tn
1ts4dnbrX8QGN2cCH74LapYsWbJdHuqGcLmqOA97c+avPw99OifdlZxu5D5AkFSny4Mkkvsd1nrW
pXaM8ChbXb640gIaGef6TkJYGf0l/rxzCviFfJesV+SGpT3gk5zP/q6i7g904v02jR2NJItXxsOo
ozsPXJa/qwno0hmybLLicTVtewslNQ/UKsP7Qc+xsVuYqQlOTb7n2I8XEtfn2+dlW6ckmCeJM52V
JPVb1EBAqtzTXz2taF58qJ8vZEhIEu8TWDdFHRMZgYI/+Vbq2U5WiglLN0I3Dcyuc3ZkbgBPybzY
u/d0dhZ/I0wxFpXDP59Xy9sPn8hzFxWXsThcl1v7D0fGIIm3jmYVPhiqhvnTClcEk5LaI7Urr0Ck
Bu4N2WhP6ZT0dLOQoGsWIsTP7TzS87B8cA9iNoJ6dYS8Vb9nvaOmwEdqC+FEqPANOxQvZvESHmTS
adu/fvb8uxdgLccrWirOZYOA3T+9gBL5lBIx7lUm+u1mTMV4kcwetpJhCc1YyXMmXCKFbGPJFyxj
W9uwRa7f9VC3TzRh4U/uPeCLtBLvTC7EHW0pWddGzdJA5l74lLuSXikmO9b7G1XW53n8y5tvuZCl
2MEwBLV+/d1xJiaKotl+qDrbBjLHwvEnVzMxXapR+bNg53ROx2a8z92+3LXFsow3ytI5eHXSH2ky
iVbF63bI7QVADQ3pqXUKf+cPFrAaJbvyfvaa5A5Z+3gdCh/6WUtj9xNMD14d0tG+NeHQHUiC9Ngo
wzm8dtaQlTuXaRNx4sQZjIuRru268MWIRbrXPM07Avw2NiForG3ekPxUs7R4U04579TQh2i6yfJl
AgN+uzWM8YeA6aMCAyI0VLbaEJvZrAmmqrJvAl8maZulDExWUofcwklVutzq1ATj9fPWC30t+q5C
Le43iMb49fBlHedRGQ/I8rFgFilsXexIbGTqZt6mehy+ceX1P6y8WJ4gy1tDWgIjiHI+WyBHiNhE
6oE/SxFkZhTZk14b4CMt6SSvbpF+mFVRHcjwGw/ZYDTgCjGcAV817uIRm4yN0e8Cb4uz5K8vYorE
X29DWGHUDMLjmb2Ug7+UDTyri67JevmA24Mgw0nnBgs+n835MGK1CWW8+j27do4RG+hV/e4YLQxW
wTNpExWkGWiM4OI8zY8yYZyLGkVPslWvpUkRRFG5bSWOqIA7Sf82DXr+hcd/+41hRv+jS2BarlE/
FMzwyBBki0U5du5JetwULv0fxFYEZMCp8jDf5iIEM+vPBfR5FPnraa7dw2hBkx0qpDNu3Ez5SkOJ
A+xJu+GwmYZ10+nddxI3eURmZbxWlaz2o5ibnbXs4dw8WUrO5XOth6R9Idh1D6sLs+6IBmzjm9OL
qGnLzMozA36fuAiwspQ7OGBcrKlBUgNqWffDdK1irfo+O1Yi1fezn8PgxFJDH4kdqToz6bf8Vd1l
8TPnQPLcAJjN0S4NJlSppEhfGqyruGcz6UR7kkX0cVWwR8uCJq7j7xr63wetH5YCR43VUfcYWWpN
AWkdw0EUmHHXbvD1FjovN+ORl1cNb1QzKP4ctuQLBlPMPH6R/FnWOp9F+RRFbXMIdYtTZxap+S02
w2RaRcKps5PW0u1K0yc9sCVoaDPj8flWIKiKCPYtvPXioiadsIQzFtlDdpy4ELCVDkjlgD7HuNjA
97wSpZQgBtbZ8qYlRKBAEIzyoKgt9y2jSqRjQLJ/Gk7mHbxu1hilESOHEDUUhC+redhYfe+vvMZJ
gK8rHBPAsbiNEkmVCVBRrVsfkUBg16FOAN6c/3RdwporiS6OXSKc5iFzSyxpWXFx3SK+GoU7IJzK
ccc0/jTfPm+k/3a2f9PZ0o46rO7+/50taSdRUv4ZlPH7F/3e27r20r/yfQzqd490eeP/bQk9dn4u
5xSuXEoEAoSo4X7vbWEdIp61BOpYxJ/YFv7Z25rOb3w3k34ZUY/xn1KvXLEc5H84LNFjIxHCkuEw
wF7qFl7vHyuVBdJWoT8Rew8tHCmvaOJWakl+nctJ3iWDiW03/DphL2ZmuyTF6h23irWkx5IU1l3M
Cra9r8iWtd1QhBvl2t41nqKaJARSaKsSz1WALPwgwxaQXkhY7dTJdx1inGLTzhv8hVVM+WxgX7rW
xQIU6A1NfbdBmJ+qOPLvrGm030uddd0KSZ79btbUIAGBYkg2nUrDdoQgIOOMGX8AlPDd9Jg01nBh
8b5RBHp40Zie9DSrvZ3Th+XTYFpRmwaRBk67aw1BkxtX2pNmUYAGWJ57YAKI/l0J2boBWGGtXfRJ
F6HGfK2y2PuaZ7lnoOPsPd6WyjD2WO0jFpyiQ97mwMpiLFFxlA9s04TU4WA02TermMtTNCDOtL3Z
YjFgZa8qbXCmitBaa6yLCWA3h2fDSKcH4utFdLAa4r2ruqivrA10dzeGMCz0sdfe2ibHagmF90us
o+PKEgaW4Od76T4j6u7blYtHFtGlmlk+obsjPTL8FEe7s9Ua99C0CZzTsEM8qQXb0NUW5i8nH+o3
K7K8OxBt4mkczOVdzgTvBQHf4snPbAaDkzEAwCUIlSRkoL+IHcH69IFaYs4bTiVUDTQS5C0gaCg2
nt0jusKJiaZLUxJQwKcUXCgMwOgQUYWjd+JzhetPL09lxd/jHOJrbHPKyJpd4q0NDsViZbcFIAv6
wOUJ6Hh3bW/xwMzjCCFzBOj+2asywi9LDHvPotPIaFVeD/rRV5Z4MoTNy4BZm+ygCXczbkXfPJhs
vN9rHJ0cmK2HGBHW/HzyS1ZwHPOiOmF0QV2bWjMv6HM1YUiw6kCWZ4K9NW/iFxjYn0QbN0p5Mhd9
WL+xWaOujUIAuMg1lZmuPZIbrbXnVo5xCfslTLxpQz06tHWPEjWq0vY7kaAsHNiXzSwVlm8bVzCe
dnmaootjpNqTD4MRmH+BCJxvj+yHP3tzi8wYJS7voBpG/p8Zhx8wZeLORySDCIgZvr45kG5Xllbz
IsLO0K8kDDh3nz+RgCEUqLBCUEjngmtT9gbvbzqQMz+oDFkrtgdkptZg9BSiSljvOqtn4owj4CGO
jgJeGoJQQAk1Yx/hkLRun2HsmSmRGJAlqJpN6HSE2Usj4ftHZs7LmgrADwQiOi8EIE3a8+dv6eVz
F+3RCgHgBNLHL2vXDleZRpdy8RVZMlQQDennjTPwOROKIOfHdiC3ZFvly0dq6Mv7w7xKby4tWku2
TXgAJkX00MWflhRQz49o7yELJ7us0rggPnXx+Hp5QpFco/ZWoYtpm8g6/znPNldk6mjLNSXgpwSR
rXnFDmrWgMBeEKG2iutsBAabtQPHtYHwaXaGB/3TDZBO9ZvJlWbi7e8EqVWMZwDZWeTRtF63qmob
6JxtaBJMgLE4YYoyMjEXNe6y8ghPqT/5z3yYztLEUiCl8AkooRZTSWt1TbilPhvZvPkm3BCv2II0
YFuDeZR447b5SDXmAqw8uC1yPx8fPYf21zUUF7ahBsWL4Q24w3Og8eqKjBnMDOykWbWDys217Zes
AHnL+nk/4rjbD5i0PiSyWHPD1NNbMN7D4h0HPn6IIixa9Nm8v9MYh0g1YeM4HdRVfmAx3A9Mf6l2
GG8ShW2SPQZfBN2esuqDOS5igtyLYzBjU3QrRV0+5H1F1dpneVohjI3JzapmF9Wdmn5YbmEeQ4Xl
NO098T233fnZi7rR3aLvIJwLtMAPk93PE23fdKiL8tNQgM0g0b6w0VPPsWE1a3AUi1Xf95Idm0ai
sEctvxNjiVfZH0vCIwro2ZE+/yBAneAsYGjNyUM4DxQpRd9Nzl5ovrGTbpC8hMjpseOR7jar7Ez6
mE1OycByCoWBAfwlnN07O5IX5ajiBz1KbG1mT/V5ME5yOhJe713yQXsQhWaMG53KEi2Z1zfiLidq
U95my4wPvc7ysnfG7QyUad3IrD4P0CaCTOvCa9krniYT0rdEq7sHUZav0I/YDbZ+M0e7HrvCXZ2V
uvElRO76TMqJeswH6xrbNEX4I6JgiBrxEKJzeiSHjOqaxZ53LzGB7xM3rzdEhOuvEZ3uyQq9pzky
nJcOzDoYWhscgT2UFSQVQTjYvodWvMnMYc8sg1lLbVxxBlQsJevYRosf63dDhVuanqvVbzgkqs1o
ECGHE0TQd6C4QX/ZEhueDzpY3jiMh69hPRb5CnGonW71ouuKPRqkvFtpwgIGgF9h5Y16+2SUmfeW
GL7OKDAhG6BLrS4odK0+9I7JVT2Y6deR4/2EoqW7tIb+dVCePNPbTm0ghrF2kP6E7V3jzOm6t3zj
cfI164RiXdwy4bQ/e1QRXyc8pfJ9bPW8vyXU7KSkKgIUIkDEK5gtr8Y0hzdkjeE6c+CcUAqOd31L
65Y3lDSuw8q+MbV7kDzOpjFMdOiTW/zI22G8kwt+IrQn40bEeP+GcSdcR0XsXP3at+/HDqk/8qEY
FIpOxM7F1cLsjKXAKNdxp2s3K6tAH8AQAO+UY762nPFYN0X5NelaC9Fk/SXsah3FvnpuORKhpHCd
Nqn+JozokA5pc6dNtvU6DJEJfyaD4S7CRmwYEMQnonqie9OrunPnqr3XDQTeuYjeY13AfXGrerTu
hri1eIWeWBkxlD/g/EbXcvhpF9SpBlvw+K4gU47ECPES4s8LotwpAmVU1qoc2mztjHm+FnXPdWDU
IDZGQp8i0w/ndcQIISgdjvDtghMfA8OozRseHufq+ap9rBSS9kCBxeH1xOjh55FQ9ZatuMqAqHXR
F0eX4lQiW0JGMJJFXpLm47dF8ZiQzIRfgfJja6AIpicm6m9T66MWdK1jy2Bq4vhKTpy5xTcyPelK
9aepMfUXwqV4QCFhOvME6vfJiAxh3Rb+bZmE7+qywzjQGlZ9MouZyYNd5D3uiWbAOFEmwJvo54+d
lXY3ppn6WoXMndoliD6Lpi96k4dMoIvuOe7iV2IoQ1A7AhFXNPbRl772ZeA2I8RoGsWjUxfjftQj
NrV+7G2dDspK0Kp0cIKi0OEWeG7nqO2UxTZ3QtFmq3q0SRomWpvCK6ZLlUDidvWAJKD2eeE9SppH
iC4uaDwZphuOQ/AfaUM8Rg5Q1gthe4xKEKrtQNchp91az1PUnAhVQ6Gkx1N3GpVF/CEjKpMxnz+e
3QIFBdMLu2dF0jk/YTwNG+hw9ryHz5GzMXPl3lc+IvmltAIYqZCSTTKYLVI6VnmROptEk/UGqEmC
nt/rzkNNTEI45Qg2ermkELpkIaRFf5kbrza/cL5l5xYSGwuEwh/Ju2gTmDeZXT10xRg5Dzl6uJnc
Ol8FfZtSFpSD9S0Thh5tfRQO3EA6tSA0o+w+4pCN+ny8K7Om2UxdRtBnCgz71lAGnI28JhevRErO
lKtH8DabKTWW5b9Fnage5nBAuFRE8VZm3XRnN7Z9kWVMRJsvpQan3e6OwKja0yjYFXplMl6F3TZP
8VAcSYc41d48riVzuPsCjeKHw9Ny17dSHUVvhzsVec8UasPWbdSayaJ1S/uJuYvdZ1m2JV4hyo+I
O0EdJj7sowDEYJ0CcS7hTRQG0aCdSVDamBU5gzrfIN+tLosFi9vxhpjhfJd1zMw/pn5srhojhXuS
MFSyiWpU8d+8tn4iiqXM3EAlnRUau0Lj4XYIRyw4sek+VCJ/qc18jE9I0d3wziz193ZYZtw2hVxC
mF/HLDAJ+ZxTtkNelsbuwzLLBRFa8Cc1sJgswyteFcnGiOR30tBZur3MMSAhy1Re5F4jo5ZXTr9D
W3CCDvs/dPL/Zue4NL5/bIzxesIkoGln+avTp/+yfSOOyUASp1d7e1p8pWwGKRM7kVO5//UP+mVV
w4CSH+Q7+Lxpg03D+eUHeYpiXub8IHYs9jt9KuaotpTUanwM1nuTeLRZEdx3h/Q/jH//6U/38FBh
l2bb6Jtsuf/c/9faxOhyQkCo0tp4cgbWQwkJ9pQSrOJYrvJTndalHtSGggr+r3+4+GVAy2uHs7Vw
H/DUmv6/vHaSfrWwChVq0E/jIpF/nXV2M2k8YWqgg7KEw4vvrYno3GgJvdcJJ6IHKCMXkpc1iqe/
/oV+da9iWrU900cyvWgO0AH/+d2I/KGbjIhmxsWcchhMxg92EhtP8+SCgVTi7yAL9qId+PNVhojc
w6eOz5dl168WZoh3k2PrTbUvkanctUBS3ggx4TKAKLgA+DtYOSyHL1HvdYTUKBBCE441LS7OqQ0g
dKvxNN84srTUfaF6cSmwAdVHVnH+cx/jvISqz5VkzWVIrV44zXc90k2fKQ6I3keWN6HayDFT+6Tr
6C1YT7xXdj+0j43w7WY7s8ckJLPEhW19hQiMvIsVK116FKJPSExgaoQc6eIJx0z9BiGp+b4k5vz0
5r58NJEcoDUEFlSsWDPVbzoJueNdREPMSqygXgtcoYW3WWu6ZuundIs7fGxqP/EX1b1V1cLZqVjg
5WyEV719DkAKR/4O1fjvePNvxps8buDu/sV481B+T97L9z8pd/7v1/wDB2P95rJYYQPATItLmKv7
d+GO54F8AVLi0J4umBiDf/X7cNMSv7lguUlEcW2BtmcZOf7DBuH+5vIvli+D+P+Ztv6///MnDkLz
yz//UTViWX9WUDBxXbwPfDffXp6r/wJG6IwmTuZ45GAyOUtNmod3O2UxjlBVN+ogBurXU+hNrL87
dhDoWVlhO7EqzjMSyXElCAXYhHrSf3c7UdzPUC+JC0uJuIh8rNkBX1Wsxyps4XjN5dfCRsOgAxG5
Vwk2I9biyjzPAjLbigIFFBVJIQ4sUu8RnXn+oEYU3Hr/XlQKzU4TZ5TnunqrsqQnWrzPWf5lej2+
E8FRjOSfaayMNDNC1j76pTmivHAjQtAdmX0jABArlKmKpQ03VAj0akqAMKL8xKbgd+cFF2xuO3CD
y/AR8sAmJ1rUXCGngbCfeqm5kxhZyfql87ozQdZ6G3NyE6i4ZQ5/PyMT8qNG//RWISi40AMS7W7S
GhNWM3x4lD9vbEcxU5EIM52SIZO3qU6jd/QxOEixbWDV6+CoFvXKYQgFTwozG8r36sqkrwID7JFR
w9RtcHf5mGQXzyzGm5UTN11PLeLP6sAGhFqfUgqfaof0w5p2g5G4VyEb/NGpWXyM2LkCcyy8q2OL
+hAS3PNoTmwYk4bqDWmDuQ9nRLDEhWfl0W6ZbKUAMU4EgRGCMzfYZXome+gsI9wxQWJL987TC6Nc
KW3Kn82i7h47K8NH0Qk8kR0+uNfEzcLXFgn6oR5s0q6QMt4NMyw4VCZOUAGHXA0j1dQcie4lz6Za
rmy/UHdDqOQp9rz+J8XvzDh6arVs3eRWfN9bZb6ppV+m63LwyUujOe/PuUblTRRCl73LT1gaJbq9
i5CVoo5Mh+ZrytYtR+guJcpuaUbX0vNLsecwSh6YVJkvRlQkN3+RzweojtSjAFm37WRsnYSR9jrA
4SreEzMK4WyCImi0vdwPk+gfopgu3CnS8U0rI3U09cL/AbveVVtHLyIrEObgJZtBSv9hARQNaEmi
SntNI9O5kgxNwdd70LADRhLZh4Utwg+6GCwmQ5Zi7SO2WsmCrR2fYwbvsomv7pg250ZM8dFlVexv
RDVIBoYlg3Jnioo1l2v15JmSGEDFJHqtUS7fiSqyzrK3umqDsau+pCWOoQY5PXf561iK1CI0KIJe
xdszGp4OzZQcSf6nKkXUtsHo91PqPDQVPtb8rtT1EZO2ATJ6hti3uH36GYs3DlNzOsZ2nO7l4FyF
l2br2nLnFfmzEREayn8cWY73m2bs8rcw9CdCaZj6rt3O8huSpo2KiVtjP3adDZVuSkS7WsKAwGCS
S0de+Yh1CSqsJVM7oOyH50qSEaEj6KU9Ex+94n55CJsRnHECJvbLGA5mwcCt1dOrmyDX9ddWPXf6
ozU3KCFy4tNKmxgeqe2HTj1b9F9odj0fNbYyh4Op+iMeI+dc1bXa0SMCFhzzeVd3xXSTlWegMctl
UHl2dPCmJr8NylQPWB3HlZWhfA5NP9+4SCJx+zDWC7GzCxlfCuqCrmCepLfJXZ8eWUDznUxNYskM
5cZPjDcnjAn2SbVjmhoB80I9QPbX8G2WpAGAwM/MEqxD2KhqJXhbtmQ6NPeJbr0BA4jWAM/9TTX0
2pnA5XAPLWlkr6S/lAIrURjhKshIT2hwD8+8h2Grn9LEaKeV8DN9y9Lky2hCt2XI+Oy5k3sovPoD
Rmi+wQn7oKNUgk6YP0emuneGFMObLF8BTDJ/mE4ufOttoVePfcK4pBjddjXoUxHoA9mihEH3GYmi
tbd3Y2CHEzuwoOsbCes7ds4yEc1RmYwO05AEbd8judTsrbVopozcJjq8tUt01hGxvZXw8ur5DWta
c/ZBFmydAdUll9HJ4dO+0yOFOUXrygd9lNVuMQ4vqiaupqmaLxMuo5DrByWdl9j1TU6T/2AypIzX
LG/yW6aNw73jq+9wxJgMJZE4zYUvN1rDNBlrzMgyi2QHrQg8Lr8nFxTDGigcjIHRNjZYYQuiUqLp
ko+wD6ZeqC9zRs6KZlsNvNbkZisNdoaZMdnt++ZSKOIrVZEXj30ehjfbwMhqdei07EonoJyPyQ8x
z2WGGb/nY/geN7q8GbU7XI3RH08UhhjKE7987IaqWLWmc2yI24S8yKVDKM6L3RCramv8V5yO4QrN
BWTfzP0Yxr558JAYrGZA91vUq/62G9z8p9OE5YU1fNPNiBZhL9Bhdo114RmD/7pNXCOQzNseALZD
1HDL7MQ0n7D70MCoPTbxh5WzyUB92jQrN+seuAjzi08U6DW1QxujhONuCI4nAlLoV9dqLCZCKXK7
2TSvOQ3IWusmEkEH8dXulbORQsseC+I4A7t1jZe2suS2GVi+cWXEGbzqXneYg7rldkoM0oTZEO8E
+IyT1jv+ESPTBP85GQ9OyxGJFcs5gP9wxPqz+Ptvnfw3dTLbQf0v6+QzBcTyn7pO/lgr//51/6iV
vd+EvgjZDRQC3CvOP5UAvviNSQMAsT9UySYF8z+qYv03IE9wOxiA0COzQP9P5Oz/Mm6wXeSgFvE3
ApoLw7E/t7id3qJs7uPoQK7ffNYLBWE3JVx9QYSg+Gbgrz4oTOXHIjM8/qF9+DczFcf7lwabLQfr
YzJfTBBh+q/9bgI9GDtWk6FahkNM/TpvNaNhbTwXuNNskAn7Fn0naVCipZYVckLE01cLe9uqpi/4
bklFqKIGtTwRtsstKNAir7LQGHFNIk11UbG/AU5SMCOw5nTzKUzcqSOHtIZPAAf17LskbPFbYseZ
YmvMLj1L/x9uyvG6kgmphCo2/SZILdN5kBq5sQpyzY51/nidXX5fEgMnxHxWeKzsZenqIOuCX24h
NQwHJJCmX85bIkyydYlx+jB1ExW2E1tAudhv1lFH6RXOnXb0SLRGFqrxKX3vIzNytoPvkiSu92GU
bIqOOQSxvrFmv8W6PwHMhlLRxqeqNeFOLj7BerhKToQ4cCNviC4YfRkDV+j2o4ch0p2tnmeFtIIk
KnRvazSE+6y1mAnIQVjL34xE7Luvo8rqcudIHbgvkEEeXmgNafNF40ZrMXiz6a0E01BIWUHhhOhS
MPxG3womv/e9O1WbSp9zWiF3ovAUkfReeda2Ggm0w7gB/u7uOmdGATuMsJN69YGFtr+4RHRTDemR
uae7EGSeG9V6CMP+VeU3WsN8V6hCP4vGy3eev61V76WrPnfI9iWBWVqyvsqYWsVua+gJbZdUK23C
T9w7E1qQ2s5emUbDNMrLGIRTh0EwyewfJLKkD14Dn1j6o1xTq/vbmOH/oSV+7i21G/hacQwh2FXl
geMGeHyY75GI5AgI0+wGmhxCuKtFLosLiaB64CCqysPoT08ELfUq0Hy/+YY5L3wostgFOG/ShUVO
sdEHsl9cPSf2rLaKVTwnOenjbDqlJuId63T/w4kyZM/EH6ZXVvLyPeqFLbCIEQXnTx6tWZsKDUiu
w1ehZNRvbIPpgaScn00jf0q1mqIK1ku0MqzsI4Ec9+xgdWR7b1pb4pOZ/7A1Dxw5FgdKvx9h2Hjv
M97mjV9zDMN4idp3NTf46xK1F/FgBVk9nHortu9ZveckJWD4CpwoZFgYWdkBVYhzDitXvKFV9i7C
LQf2XkN78NMsP5TW5K/QqjVPTVexQxrsCuF+YZ4GZPQX3LHU1VFt3+o6BjzZ1+krw/H0jU8UmPTY
mSe87vkeSUh9gYPHpoBklnABvbvHRJnzVdptT4i8hAoKcw3HQO25JDi3DLE1BvxbQFvJGeKYSc+D
HzlgvaXv8xHda7Dk8xxLJzLv2Sc0d3TpycuI1bEPaBf1M17z5NzGmXxCcDg8sqapgSoSpoKlxn9j
2ZE+q95pT61d+dpm7FAc6bM7G1tRxMXV1v3wUM8Y5dpZj9Y6aOOtkr39k5Ne7gBDTC9jamQY2RdW
VF0cWjs8M/4t12EX6wuRbWTLHh0Mvz5Ntj6tQp/U1czqvsOZZiaclfl+cQwEpY2xTgiiQwg8cbdG
jFdzHrGhEF3RnXQ5JNscwg3IaGu4pZUtL2DIJygJnXkLp2F67eBDf9ih6G+8IeH9WNXdy+xOYoUd
s1hzn7RrRFXpfsitdFdbKd6JoquyL+h88x0fO3eLNsgtoRD1d1PDezp7BfOGMdQRjTkjkqRCtVdX
9KVBUOhEEI6B1t1rbOPnbJCBFgBL6biUCY5nPvxUj1l/jsPiWqNruBiVEb0aHvf/jB9jO5oTQDwA
PPoZrrp+9tvMv2hVYdymse84KJrJv8Mck+/QO9znsquhMXGjHjsya9azBQJzFQ4tIeGZiI51RYR7
5DnIuTuzPHdADFDJ8agp8/KkOXZ6NKQlHp2Jlf5Kb7Vw1YC8/4jTYVS86EUr1DVpum8mjBwZtd6I
wOzIWYLvWVbG1xSl0SFv7HwnrSR5Eii9HiK3dS+0IITzdnKmK6Dk/9KUnX8ZETKc+6bW3uuqQwPM
yPUhT4BLBdw9LmamYfo+aVUKaSmS9r4s7eGoRUW/Y0vbX/pW4ULNjXLrJVI+D7bdwG8ib32yEO2Y
yRjfONmQAfldxeKmdH9OSQZKz2kbFDB+9H0AWr+xsCojp623Q+V1rL4bNsqCyACtWkj3PhzRgyey
FFhck/fvdeEJRj3GYDIYmLX0CFNDPocAEDb4r6qDZxcJm0snzX6WlqCW9Xv54tFmOhuriopvZhR5
uxKezbkToXfqIVtijZ3VIYZd5neZAenP4HwLcqvNLy2bi/vUK5pzBtpt03lNdZSV1p7DFsBfamX2
ZUDKj32u7F6wEUKJrP0euo+lEWzbmEN3q6PGu5vZY/3QMe10AOUSjmuf9/iUD62GZ8923mRS8ejJ
tMpaHKVpuTy0a5YucwgOHW/8vZuV5iXRw5LHEjLqDLQRs7PQ9nZuW31eEwOrRgMo0mqBvK/GyvXe
M52wEz0x39HtVGctKu1HL2LGIvTRpPXwAfzA6b9Oi4k8Csvz8gEeZW4KMrJowqYyWfupNM4dW2IM
d2h1VFxW1yoyzC+u1/Ybpun5VkqMxppD5N4Sl7nxnKWRx+q81iqzJhJBb24u2UAfZELDGKJJntfd
0PuPCONInJaNsdVjJZ7skKXuqtBq65qFEiuP0Y/+LY9KdzfEHLKDbt55oRqWeZCln6Uuzu0iN/Bb
w9sIFrU/4o4+O9Cmwd+HrXT3rpbWcJYaqHLh1FzrOa+vyxhsnzIZ3I+mXa5mG47yMMz+vAuFcl+o
BYynkcEk0WS26f70Cq17KxhBbMOsfrVl7m60lHW7oRpCTSudjp86pdkbPPKgY7RpDGpTaQenNJpk
5VqINTi05fyR1AoNRZOEw9HoxjXKiOE0ZV7EpWkRH59m9jWkNgWbyGHd4Y1It4On3JTJ8Uz9MfIQ
vhDIKFHhqOdSV8V9P/RWvQpn3cLsOZUYmrpsnQM1ZC8j3D1MOO/eFS4+GdIL3yjQnGalpR4FyBTu
uzoNV1GcMb50hRLZwc7xfnNl59ehqnt6Z2tkCuQiIdsgAZw2DGGHBwfXfcD4Yzg4+lTetxmeIDwE
juLi8N3vFL7xxrIyg9kxjxUPPhAtIZUqsB9DHx57PY++6FmVfwFX6m2tqJnRiDA1vK+z1geb7FCt
RHZ40F1mQEGkQ4gOsooTLPAWI0rXq3k9RmZ6TFsfOQI2fbB1SeRX+0IaUfPDLFKXSV6QtXAa6sCU
3l3Y24ybkFge6aclLu3GPON8my6+VGLtM35YtZgPj3EJLiei8H+dHe+UWs5T5CQwdQzyqRJb8Cqt
Y5G54ivOCmMhl+UrfOJEg7uF84oOkZQdbQlVGGITi5qGnMOc35GWfUtc7eYB1IHVSIIfHoE4aGSi
r6q2HHa6Cd4yY3Q90iKcklwUiJKiL3wsDMwnz1r5jf8Z7BcGWp4wnk3Mc2Nbb2IJrRp7AhGiLMvX
WeZh7yly3pgCMl1eTJCnTbPGiUjoFvE45rbsvG2MBOWIBPM+nizjmZztPEPFxFRDB6q0xe9MmK82
IonNyOOA0NgGlVXsXGbUEMhSlGdIxXYQYGrEDf+HvTPbbhvJtu2vnB9ADgSAQPNKghQ7UaIky5Zf
MJSWjb5vA19/JmjnLduZ6Tx1n3PUqKzGlkiCQMSOvdeaywXGKJ27yY6QdthFeltw+71qrbMxHBk8
5ZCMdhWEvoM0Wv2WLm7sD+FI7pHbsM0xG9nHleNuVduRWQiVca0QEa2qsgvPoIbZ2SHk3kmdD5e4
2SaeIcjCiWy6tV1hOP710fDPx1JmRKbJNMh0sJX8jO6PAktlGDXjfYIEZMmpx2DUzC6rNKkq9qOl
F5xIqaXogPak3P/6xf80hb2auw2sbi6tE3ENZv7OrjfHRWNjuIn3YiqbT3PSFKcqzqI7N/XSh1+/
FMOtHwe+kvOMy7+X0y+pqz/N25mtJzZuFl6qMmpy6oSrGEiosPz869dZjAV/eiELcwENB0DyuKd/
POfDwKUbnTrhvq8CtY1c5tl2PxmbrIi7e8TtqXcavEiP+dLz1wp0J1rAOYzutCBaDtdBxLu7vqV/
+0f/0D8SWLmZTP69jWRfjj8NWa8/8K1x5NH+AaTOtPaHCatn0zTiEIfuB/mt8UPehvnbkoRKng/K
jmXA+p8Jq6X/ZtrLzFbnIbtS6P6bXhJY9x/vMiQjpqQRwvTX0w3HNH/yiaq864bCid2DXufTUUva
yh9TI31gY4e+UgzznmgdC7ZaJiFXpSpIz6aZNy9JYrc06p1WuxehQzROVKnh3jK74DmdaQ8f63ia
PkVdnIT7sjZrTn4F84N1PcEpoWik0J4y51nJbrz0TWUiR1N5FhwiVqq3YVDyNNS9+xxNJTbxOWvc
nIgpYShYSiSHI0Sm1LTi/SCHbJPgBYdVU3gSJ2tu2m88Ttln8oYRd2bzOfGm4X2HEeQhDbSeummo
gi8deKy7UBtu06xnkECVlrwgDK5fLWzX76ewztcGCsIvGjsAZXYoaVs1k3Nf2cSG+pMyWzrF4QTt
uRHjYlJQXxwIK5eySAhLcoY8PA+aEextq6LhQvUKtHQsTesEnyElZ5mGswfWqY9e5yosaKIE7YbQ
vOhFIEeb1qabuzctsQ8OInc7e1Qiiu6YOO0l/ORwF49ZeENQmcvOYA03ejlVbDZ5bj/mGCpI9ywi
hKQKYx1NG2H08yoiVCD0C6v03hSVa7XG3+/o6ygb+iNzhG5tBGl96IM02SStsOeVUZZkktWTd1x8
fAx6GIWsALK4Z8Q8HoOjwekfBidfYlIiOgOa3jLFDtxu7cXY8dbWbFePNcX5QTiuBs8TKmZ5BWRq
CytTXLGZ7kLQxBMOTDNEi/kh6+lj2Ehb3CP1N+BNQJ6clIOFx0mKOGjOEITVJlt4nUXUN+t4ioF4
mjZUHgvWU7nCfN0duivw017YnyjdviCjAweqX9Gg2kIJHUMwSitSdfFLxdbcfSoaxlY7HMYZh6Ap
2WOHrzc4vRNzXxU25yWYzPf22Ax+uSBKESBCK00WcKkoPQb3UyzGu5kDWfJc66R3DmhiXE4jG0Go
cHfDETp+GJWDHtWgR5u98e0a7OMRTmeuLTZSkrNPGK5pEp51e0EUhm3t+XhYDLxXSIpHOSIzVcJ4
F7q8RtDWPr6bR6vFvDIW+C3WneCcvgvQcpPMGABs4gldD4jbD4rkgG2bpzmPNwL1pd0KC2RcOYVo
kA5a5abVYQHXYL22SQQmGAUuJn7M9qsGRTHHEHE0Ok/clrogg7W0HsjO2iHzlqCVrAAXZaNzgC4U
DJ8a0Go/TVW+aL4Cv3Ab7kCrqPWzJoG6+22LpcJsAm8bJ3N3gFKbb+KEAZ45eeMJZl3sj3WO4V/2
PZUTAlwQ/XV/MJI+f1CisIpVXNryhoNS96B57WWOeDDTMvlCStc7CCrYoMBGkSth+YltRxhYk/ZJ
640Mof7krNsCf1c8SfGIgYtVy82Z73mt5dHLYCQagHoiDDN0ORtbHYzw9N60imfPajI4lzzYnMZ2
SRc+0MOLIEyKZB0QOrhOYh0YP/oFd9fMNizI1F6udjk+QXgg7mBQ3t4prXljZPZw4xqJ8WBXfeuz
PKUbtnm5d6SVb2xc0LAErba/lcw5EXYl04kexvzezCwLkapM/Aj04GqqQDs5fec8odHpj9VoLzS6
sGVNYczFWhnLQPukz7SEePLD+U5PeXoJmkzu54G1MQW9uStny9r1mkdSm9C8aRO24bQNjLlfd4We
r0cAEOswTuvz1XflNDkE3MZ4BafDuS4kam0K8nlFc6fb5O0C2TO5KJcRAcYmmM2CI2aYcbUNM+FB
ZYgH8QlLBtfcHGLOHVM3rSNkBadYRu0dqtzxbdDBEAxFCl2Us85Gd3E3ozfvt03r5h+YZuNMREaI
FZiv/wNEr60he+0s06m4E3glfJWF+pOBGvZLq6zuxRGh9egwJ7nUdRRSq9X6Nqus/naYO3ef6BYN
44xD2YZ884xFN4r7x9gyywPsOfPVbLmlTbMeTxOV3q0rqpaYNCnu2gXeCfG856ka1WMoctsF3SLi
czd4THYZ9p/oHQU7PZJ0vRFC+qXlsmRm4R0hD8kuJqsZPk/vuAQ2ug5Z4Gbok8uK1CboovmgZ1W0
zZEcnWMjC95FxQz9MK9k+5Hx4YJQhK58Moa03RGzWZOfJ6bf864H3WZW85M5mMa6ChKYyFkWY6Rz
6vZdHY7GaY6C8TSPJQGJma0n3G919CDtXjzCGzFI704qssxrxuzkQ0bvq7pqyUfF1xm1JaIrFqZ6
x44+vdJbzZ6I5OYUAXmGMcFopmvdgHiacFceyA+4dD3Biug7GNl0H/TaXoajihF4qn9QBK8Xu3Jy
mvg9msolULgr7Z6dKNXd5G4uowGmmNmD5BQ25DhzmEiI1qf5jXaJvQlSQh9Iq2QJjpiTYV5s6FuH
qNdvRj1/GifIAHE6hhtu0mDPV5n5dKGzi7kokWRBSzHUKr+2m3j9b31cdHGn/qE+pnzUOZ38fX38
/nPb/c9feq2//uQfXmvUg9BWbc8ErrjoEfmlf8gRjd9saUBU4nAnrB/liPpvtqkL3QEvha/aXgai
fwxend/YmAnjckizsQDqeP9NsWz/DCZB3W0zdIVjBpsEvM7PuWahsvAaJmQwEDjWH0u3kPDYjao9
mioHXWB1+B059osHBL5o4cKMcmSK/WyxYQC9h8kfBL2zbTqveYSSpa08M/OeY7fLbmino/+7Ojuw
ZtVbAD34PabF+tHiQmu2fdIHi+vBwh3iYeaWK/qmtj94KvXlYiSpYUIWbtrzPCgyF8PcDd+JArb+
ihCBRVORfPDG8RmIEA4VK2gZxnYD2TOIfrcIFnW/WzwtgBLEobsaXabF89IFGvaXWQvQUqg6xrY7
i8pvdAenTKld4qBKWlDqybhr8HPdzqMq2Adx2cyL34bek3oKKmVusUZCOfBaZhDevHxyDKGkgxKy
SowRHh6m5kOBt0blj2EkWdgXt08CX8F3dBxAnojfldikViFLwK1rqa07YCDRar30QzxRABtiq3tM
8TjeB/A2LsHVblRerUel6vnEmavNvtcH3spl+LsxFr+SjR/N5z1fgzGtNdUxYjzNcfD/me/7NK12
AvOTs7igRB/dhciiO99QcB59Z4CFaUmGbEUWztYJ9OyAYqdANurac0cIUrfzxqJ7Z7WE1ayqeBYb
bTAaaI+KKVzTFpLvQ/YncJu7DjMXIkvJ2QR/Vxp0z0Gh9IM3Nu8AONPBYl74sRkTdRARlpVcuZFP
0MfSa5M+za7woQVFUuAjKbNbN8nrM4NTWqUemfbOqsrJhg/71r5PTS1ghOwML0ETMHqpy2QjQ5si
Y64+d1dTG6E8LLF1HN7POMsOk8dIM0FAai5+uGxxxqFMCVhREX4Ls/sQMkDF3O2k++hqqhuvBrvp
arZr6JN/1Me6/xIng7hgJZTHJKzNR5Ko6fzKosdVw2Rm3Q05l2ys8uYWcenHcaJRyziUdJNR/0yG
3kdnHAk2zmVR70mII2Zj8QmqzEFwhgCCdPkw6p8I2CjXyRBk6OkDbIawWLAc6lf7YWCXVCQZs5iP
nJBK3YddGlebVqvbaZUuHkYyaI2NdDoK0oJy5jIsbsd08T2i5URpOwnFfBpb5CjFy9x6L3pDgYwW
H2SCnlc7z44rqFwOBqEbmr345hazpcR1iZrtsw7cV62SxZLZLOZMmQ2DexdlqBkLrKzrJLKNXcia
88BvYMs22+hMi/Po2t64nwSSw1VpWxEJPCHCotv2ag91g6kJ1xyfX/KrfbRZnKSN3m6TxVs6LC7T
ZvGbqmFxni4e1B4zKl6vaJ9eDarGbLj5rg9EDswEncMRqxzk8LjliLaa9FLSKDWDjWOW0T7KA7Gp
q26kDoB/KqDzvbeaXMlVNx85bGu7EBr9DUMV7LO2oW1loLDv62rcFlYS44DL0g+EdSj4RPV4dGNn
axUdEbOBEniWWouWc5PIC+LPRRSdMukeo3ztDqm1Tuq8PiSpOfslNoebwWIuMJDgfTsOcuQKJPP8
hAVH7iVN6ls8pdrzGGKuzI70GkM/z1rGiTH40s2kmfk2qY7oDD4Y2J38smmNPSq4eSP5W8dM6uWt
yMw6XknGT82qLmuDPPtlkLEH545Nz2nqi+k15pMrXegvNiP6SDJuX6tqVjcBhhhn7WVp+jInHKGs
yRmPoEKSFQsE7AkXwvXQR9NKOl5D/WovORrDmcwo9aVH6sqfOs42YtaD9DOuerARJKoE1EE2nMJ0
FdmF8EtD7/dBDlGoxH1zirP+IxsL+pMuG3bFXFMPZUGpzauuGke43HncfSLn0kTqSc12snIOYEMo
HkNauSCmc/0YMy5YNwUh3pmDahCv2A6yOJpONtgNSlyUl4U27Iym0Pe6gj4ZoHPc26M1beCc6Ee7
A5GPgcDdtpVunHp6XseJxhIm4ewhsEkgdtqQIVTltS7o8/hLH6u+xELr4siusLmOApEtKLx6X3uC
c0WCmsJnxHbfCLQh5WSoteQRvY2qMGaGB4YkzYiFhAPn+dKIBcfcOtiOfX2c8rzecPZp37A4T+sw
r8YN2mqc+yZH9bm3on0ze7+7XpfvQwld2Qv7TZ+Ov+e5RcgLYWqbvme7AQi9d5s23PUjpvo8ILEH
XUjXMkM0EZWv3H6Ql9GK820D8DpUyUOvt9pljJL7iet6CJBa8jRm59DJ5+1ElgJbI2k2Ovlurb2V
M8Y/K/VCOuRD3y3DIvXOShVWv57r+lD3cWgf5qRT/a1q9bDcANLgxG7EE0OJTjeX0CFrLJW+sQt3
1jdR4FXzYx7rnvZhbI1JoYNx3NmPZbuwBdLCgViViiyzNg7dArWrRfiYpoAW/XmYKWVauiLnIYXu
sQZgYiJLhzKx0gXed1WKSa7AJdV3DPe0yK+ShlNp1U/v81KfDg7almNfF+1NrbSRZDYSWVE8qnQ4
6HY6svTjhthOOJp2ALjISc9ZMV0CDF4VYnCfei45YJTvTaAKTv7gzn18yPUcObEpN47jjVtluOFb
bfQaQOJR3rfKrRnu1WJrNl1SECbH8opsnguUKqAYkR6Gz7QgKt9J8m7VVGlL0ZGb1m5hyw2+Psue
hlxP847dbR6Z0lTmsWFkFm06oH8CornqPRfvw6BvZbvMIF1FTuO6dQhdmIn+O5DuUgBRdtsBWtxi
nuXoq+21uiYWAI5ejxGBtuudkGgrGFXNdbxNZY3s2fXmxo/M3vYRBOgvLYFTwp8SPbm4UVM/JB5+
AMbAaD9KXFw3DDynbUNHeMfgC5FLnU6DjpaicTBgNap7n2Hk8YPWE6ecMbtcZXz5H4idR3Pcyht6
sj3nbabRxBcURAjVKcP9tjQHkB/a0tSI23BjTlpOa88Gq0EFVGfrHGTv3oot/T1IyGQdVnoAeL83
gXxXyioAX6Sdvo4bjncs3vPG5CIdkRT9bsHl5sGWOppq6q2aIzYGRXqkabQZu56pcNMjy+g6jG5r
y47yO+bXmM+Jous3nYxuKzlWYOHz7jT2jtzbpHExfWb0c2mzpk8hUxbZjYWtfIMZwDwgAcJGnDG/
fZsCN/roUXO/M5TtHAOoqlAc1OCcWjLubD8ISZu8zXXJlF85H7rcbN/T0uZoG0prm2kE9xlklO0b
YADNGoWI/WJWFsYinMnNLgaAzF5ieLdZotRnQwsW5lgsXllP40M8aqDKa8v+AGqNcXnakG621eo4
cn0sN8Yq7HLM3EVnPuAuJhvMHiFfKyfdpFYMnXDK+w1E4eE4O8N4VkRyPbQky62SYsS0LDk+l2kV
vaoa8t3SnbUYc5cdMWgIiTe1ATUoL8lnMpnabzSy9LbGoDtvBnFEJ6BC89mt5+qxGgU5CKznyReI
P+2TV+jZh1AwU8bvn3gHSFLBAXCEftCroN463K8okUL7Ys7diHoAbYgxkxehzVJbCceqNqpwBLU/
lHIpA8goQChSlua82I42zO8k09DXYcZYVV42PpHiZm41vdl0VU3nN2QUnizW72QxgbNIDD4PIA+L
MxgULKx8JpSpNQy/apMuVnJ1dZWni8G8ZM5IxbCYzmNqFIJiaEUvlvTo6k4nJgKj+mJZH7pyfLOv
PvZqsbQPxuJuHxej+7/n///L+R8luoEx+O/P/8fXon1tv5dWf/uRPyZk1m+EhdOq1PFqI5EWTKm+
HfyFbvymSyzG+JvxVyOy/o8PEWjrHwd9+zcPKzKCaMO0me4AkvzJZ/gr3yEmxj9NxTwsVJACIb+5
tCR+CsEFdeZyqprsY25UCxaDtsDo22KkObbuW63qwDh8zRBKc7MMzlDSaME3UtdwnswdXanH7Gv8
UNvaoFF4XgArBDs3oKOF726QrNzX/KL0a5gR1t/cGs/d16AjZThMB6yWfSPcAgvL7dNg1e0n4jou
nRU7wVqwRq+JUXWQCHqe2rZ16MPsVI+aO0M+nLsortYUUmDXVvRDCRgwRNPqp2ISmeRcrWNCcBpE
8busdvv6Hjh3+tiQOf3SZrOJcoWmu6DJNiylctFEGBKV90EDt1fyEsqeNxwMgVlW2EFBSCtQPWYZ
u3dpXaDDwurna145fowHi44zp8MtMjRQ3k3ULK5Kg/ye0ow0lxhIrbpJ5zzbJ30WfWS7qj8YrYnd
UJSx96n03E/ZpM6uTlYiUKFc7flHcDv0tnkXy1jfwYsTmy4xvfWEr42/Y3r1pU8KynFQVzQ1xpDI
EYZwnOwZndESpZamxBKSQlmb8/te9C3ZbHmwNxo13swIKC9eaygyBUFKYfBicLUKaNjukBDHb9wP
8pKkw2BuULVrd1FeuDeTtCmXy0lgC+yKp2h2GMG5PSKvmdHpMIVoySy3M24tORjvNTDrFjJew7wr
rbD3vYpxWe44zp7MihlUtVSDD5Wh3wij6DdgXg00i5QA5ggrHi3nVC4UnvmjpvIK0WCm3ZCPO+8t
MJqfsDs6+6gV1eNMxM251+ryVGphn99Ys6Zg0cz2IASVmNVBt0T+8vU/8Y1ZQ3SrSaOq+nWs5+j8
V/XgWUVzSCr2ouKAN2zMSp88zDrxtrhYMOYIl6p/+BqTBWVW6J/+XVH/LyuqKd2Fhfv3K+r7V9Q9
RUgj7vtV9duPfVtVhWBVFKa0bRZXU8rFXf3Hqmpg/MbCsfAs0dL8Yez2yLYzWICxEHz1s/y/BdaS
v5GTJmCRC4O0Blww/80C+6NchwAGaBVf+7iCVi7CiB+lLXM5L+qu3oamnuXzGnJKf2kId7KZiNft
x+8uzF94VpZf9h9Cw/XFcKwsfnWP7vGfCA2hnKyMZFqLTEZF6raFNlExp3n+GiJ75RqEumO9ekPS
7P4/XtoEAurSlra5qD9+zlhLBXHuwrrMQOhfCo/Iss2gRmfaOIxNnkx3Au3AWgxMkSYvVpRfv/yP
u9jyyR3DAj7qYrjgi/v55Q0crYWXZOYlIwoJ+I42QCPUux6+RFwuLzctIL9fv+ay8f90uXlRbhUM
SmzyzjUJ4jspFhGeQR9WnoFJsIACYrrmni4vvEpcTd5z1Un3hACPF2fhhRcRdX33ZlOg3mRkLMEZ
tOEso2Yip6olsyjYzDMMFdgAEExIeNbFEfUGNqd4Rma5aisk+/5EgKv5dZbzA4vge/bAj+SBr9fu
ilRF1QaG3/qpAnBHNNeTExkXwYT0Oe0Jy5iyhbbotkBLMmKZjlNKZvqvr96Papxvr+rxeNAy4YV/
1rHZmg6GWDbikohBPLE/xTeYF6MvejLhxxfz9CAtctZpHQH8VEh1b379+n9+MB3EbURy20C3KcYW
Tdp3X97geaRfpxOtWs2eHuLlgVFeT2zF8Ae0428v8E/omOtnRUTHk+Wi2sMT99MiECiHMbPeiwun
n+lBqyLoomyAQEsDk6x6xLrWK7bJ6iXUdcT/mEl5WK5B8Qmeqn/4uv/qg5u4+zD2LaKan+9aw9JK
r+bMfum7mofEIj2wPBldrg9MzVHa/foy/9VDsujBeC75l4NG58frLKpEjzVzMLAAda5fqAgC6JXJ
2SMWPuYk1O3NAfplXcfc5cTXwIUZvClcY0XTSKtOZmjW9jA94CdAAZLqhnvq0sVp3y3T2mggy54w
TJ4ySY7oeEAn2GdfTzt//wX+xfLiGHx/uqAq97hjf/wQSRYGvas8cQmCBEItQ6pmd71vpi6vXpom
19aZC5OWAEDvlLtkyhHgBIkJp0e9q1TOsTtOrRqDCEKcxheB3iLc0KeHX1/sv3qbJhwoSwcDBYDq
p7ep4W0agIGIi5wdLsj1MnNkrl6EHgi6xo34h+yOZQf9YQm0dcldzZ6rYzx1gUD/eGHyjhh1PVXt
ZYTZeAR8K18DDwYyRiC6K/0SnIfeqLVXQRyA79GHBAUaJhHvMe5TGE1mobo3sxym+0RnBSBounqJ
Ud6erOWeuF6ill3DXjGc8k4tQ5+jEqZ7gkBu7Q0EaWf0TuXx15eRT/Dzx+KT8D2DK7UMlIcL9uX7
xWFGTOtAlgovJdsveUK0SPwEe8BdbWaq2xVDRKMEdELCiExqGY2XgdDNrRcBll1l/G59rWBLrlG/
DBuyop3tMIdat4vslrMG8jRlrrRAgg3UzRl+hx6N2rtKy8PO152S0n1EaSbX8LAB9OmGzpORtCNV
MqRFcAHJkuiHYuSCiyU6um2enEiYK89DAuXTdwlYI6nEyEhYo+dyJ0qVfdLTVvhIJOhC0PChG4UX
KXpTi1Lp0Kmo8ImC6UDaezKna2YmmBbJg0beE5GEuJh7GAw4kVsDT3S06rkvsmT0zcBxHlHW4wWr
aWLbgBIHxPe5DBv064hnSIvCbfF7raFqXFgSXbqbp7nDsd73VrM3ahUDvOEwfDLCHnpWNQQ0UT3v
EXYFtn7HGsLmoo2msFaJ7Aq5xv2BUR/lX1XdO2GeNWtCXqLAd5PRe2Ywxrabco/gol06XRzkNnUe
oY+gNPA2DpZa3l0p5WtLNEy8ppcszpSAC8i7YhdoY8WPwc/KIj8wCSN3yc6zVhNTW/AqKe55dmYR
4RUAOd4zRjiYmA7UrW2W9UmbmHNvQ1XmYFmqeKKjGMYRTWav++QWqQ2IB98biMmkofmPaLIxrGbb
eGRR1aDSRl2fP2AijQ/GQHYsgUrG76orgfhD2r8hPCTYGrNZfsy9Vn4oTTLQa5tMAm6U6XPYB8kC
BA8LX+/5ehAbdQXYvUqiq3MIsADoozMQCIoJl5HSNLqjZfdm1Vj1JxmH1ZMm3Tg9DoULJ/eAgsTL
n5yBlAfOmlGmSsfPHbJHSDxXloNhZ2VJL1gOVcIYDVmtaevhDSVeWFM2drxUeNUHDnO2ydtNk6Lx
VQ1JmW7YUvyA0nkoIf+FwG2G8qiHLsUQK7j1Wrsj3N4WurcCRhhk7yat5RtTAcTuXClMz4PjLTDk
hYscK+7KVeTCPWK6xhFz7QmnevEaYpfWtpj5UgFnamtdb1x/9EZuryKEyU7IBkt2bIUXRElAKGZl
W6+BHEdC93TqVVJnWY3yUb4Cw/GeAUS2by0sPyTpsLw1i3WIlAlvkzcReqSaJ9Rl6mTy61W9oLs5
cZRHyrrguWeG5qfkCh3TIjWean2BkKsyA57WDazPLGdgKulq5LiXBbFkqxAZW7saMImejSsjGhc3
1GgXLcRrY7BTr4j04m9AGkvOfVGzxIDJc09hTbab55TTA1M2NvVYY0W9rpHUcJhaJJvoFRsdlG7L
FGi5lFfa+CJS7Ck4eLdMkHGxm7U13ZeUnYBOZKzu62stkmY2lDPwy6CzQ8htPbC187Cg7pQBZH0Q
s7cxFhx8H3PcMLPEeEoWm3vUTdXoq6V6VAbXXuQLMZxHkldKo6F9i3H7QIzmvw2NgsAGnNza6+kg
X6/JrEi627cqY7dlclW/ECpK9TvFrXq4FgozPRh1mJLMfjUm6vukzfhqa94M1JzkDVSGw7VACo4u
W9PPJEhqa7sM9DO2jbQ8cRvx3QFTpXgvazaeFqAb3pLpQcfyDc28ZIIhRVq9BD3yMgKmDa3ZBIZH
ld7OsM3hPxM/WrcN73zgZ4ZVWY4KSK7WwJG7FjiQl0ANM9p6+3r4QfHMRWPsgdhUKitbW1paJyun
QgqMn05BG8+l9Ro5JsZVth3eYGVMIGpcrUAOXOUi+D0DqResiusjJAKZwEWfmqUMYufp/Ga8uNbY
vmVey3dUBS7FHf/TCwUbcGFha/LRTZr7FGfHjVCCwkCHqm7zTZ+LltEvH6c8mvi6H5hbMqPT6Abl
PprDZgcwWpy75fZkLiHOepiwM2E14zcnA9YxC6Z5f1uNBMfuchSPVGl2wV3LtBcUN/xK3kwguYHR
6S68PYhoz9MQO09J6tbZpiOP/cbElLjQ8gFMRvnINUViy+e/LgJpZk4PCtGCu8Yx6J1sJU2GqDxh
lb28fD4Cgr/y4rNOVC+JIAoFeUazo9yvkQ2ZfKux0bp+xkbOdRgpQb0iDp61JS9tUqH92rgdz6ue
QbYkegbTZih54hs6imBHlzsRo5toj2PMEiBFwoLBEJHFxwrrsL33psAY9265fEFJbbE0GWVQ7/IG
xmHczZNHGxCG4GbG0or300WYgQ09zB+VDs7QTBLxZGhQNdd05NiaJlc8jSZA0ZVpgLdasc4jUlGx
h0c2pDW7rsU43V8/ITsRNXK7DLUaDJ431wPvPC6ECchzT4CTjKeYpRvbNkfap5754VMJqMjEL0qV
NrtLnMVXWP6ybWLD5I6qMqgQpnvl88vKOxWGq4EUMwjZ6XtOMstVayp8l34yimz2MQjw0Nt8CuZu
1mvVM4deFxFoStDTPFazMkmgNmfcagDQSFhtQ5YjolfjtWEt7NCoBRqFwcKYem7wYHqI4gCP6DiA
3lUw2/KN9PpMPkwNmfGQDSxCD7RGl6/fsghiIhWKCcgj7G1rn2JQLDee547ZIUcMjFsOmlf9SCd+
pGInpjpfz8vmEifXtW8yEu2mDAWLPKVIuBzJMfXOiNe5J+blAnxdi5aD+5AYrAvLworNnx3neu8G
4cS2NnVM0CbgS783bEOX6/1pIYq5AcbW38AqstJbp3e5RVy954aSjI6jUDXutxuCoHn3S+UMKVRg
SA07/L0kXKtKvoY2vZTrXWFPRAmuUiMQZ9sqeJDrQpwTuXQbGP9ifwUPLPBRymtOxZxqa6c2aEI0
EkMeQbV8oK+U1JhQPAbyI3+mKIQan7OnOAuLj8AtJ55kZJejL7KQJwseFjuMY5jmtqy4afqkZLU3
Y3EHyGW+cFLnptY1XBjrbuRRua6AVtpBRy0Dh4uNxG7ZvruEq2Q6I4/NsgHhSQmhGZCh2LEolCHq
sm2tQc3eFP3ybhPU39PGrBWvG1ZqesjRkTMN5Kj27E2Kwk+GfO5eDag4RtTsGlLqZhKrhlpofhwE
vCGSHociuhOwxMt9wTJ6btAJhBwaO14hxMJOwjCsk+apkz1FCHwR71kfK5Kwqmn5vAzm763ecB57
d8rvAOd8wgKirVMvaVE41TozBlb2MQ2TL6HZEghg1AEycY7U66GE2WRObI8JJsYlrmCc1x0tT48K
RdnPWBe5znHFF1rKcZ5uNMIyt3rhIioK6xKCOapg/I9VcmtarRBrds18z8l+2uGBKNQauHMB3QK7
hzdl1Au2MbEYUmQGKyQ/HVKgqe30Q70s/gdwXjQiPfDvqN2tkhNMVmR7rQRrUNBlAyyTEZnwGCYG
X0+TV/yT6QoXyZTkw9EBHJG1j83OJKcgo3FOjZMvJV0dudNDSlIVVMRaW/eExzPf5S4gk5MLY3o8
qh5OPcDcDW8PpSfNJgNfs09EA+90um4mQcS6jcu6TD+X1JjsLoDlN8myh5OAEDwHbsAddD0YhnpY
VIcsS3AtNR1rWmnjxCSkfmHiRqV3iokH2yPDEedr6orQuvaNwZHr2+aSBsHthM/VNtg/Gblwt+Yh
q9Vsx8bTwCuvr+smfBAWRwKRTAbeBc9EttSbVeC5p7xx49wPKtpXqPiqlzTD+Fp2rHsNUSPnLuPm
Qf6eHrRSbu1wWZnnuWQH4mwX7QwZxZ+twdbbo6x6nrhOI7OGtE7vpH2tMOry2C95J3lauBZMSYJ1
9hzYpm4HwAYZWd83N2XX9szFDMPlrEJEjJ7O4sl1BS07bBXEdAPBCSj9NLaNIDA4SeQ2G4sNyvcp
omPtX2NYKiBq52YO2Yy+lswIGr7YEMWBLhS5vgXG4rgbhPLGlleOnqKmn95NkT2fIqgd74DXw4Pk
CWF15rQDlSgzegeaX66ToW5V2n2j2SWWk9krQHU25rQziCj51FemfEM4Nn/OqCqJyJxaym38Xuj/
lHHEhKCfBEXZTUZz5YPF2238PgiyaFXXRVJv6nKqDxJ2yjl2UKaFiR2/R2AVPtrU+MgH8wzwQSv1
G+VKDNxmhb9Ac9JPZa34TbLAQEWlTATa/VxonFjhZY+CUCAmcKvGG+yXa1vhX0/pP2jmDTTuv/SU
nj+P/3P43LSf1fcTnm8/9m3C45jkZDN89iwLHZRnOnSivk14yC2T/D/gAXSH1G2DP/ljyiNwkEIP
c+kvGwSHfWcuNcnd5tfpOn9CM1RH4P5fjNEhBf/QMZIMkiRsdEY9cIodEsB/aoQZNRU/Uc/NzuNk
R83TmN1GUXmmxwikwHHSoRI8hrKFxEXIRM/8s+guUaUN+U2aIB5bBtAZYsTUAwMRIA4LFuagUdEI
pQ6xYlLqW/1moXrA862T9Txp4zlMBfgAxLrB/7J3ZktyItkW/SLKwJlfA2LMWTkopRcsU6VkBmce
vv4uD1V3S6m6klU/90t1takUBAQ4fs7Ze+2HWSCydqrxpTDwDPFRD2MT2fe9CqXtWv+B0MAMTTBw
Hh6uIiKyyEBSRebTejWwIUTil3nGh86B2dHLXn/2SdMigEiDMVlVZAt27QgwReWNng31E8LYLe6B
+bqkYg0NzSCZZUXFXHaa/9aJFkYm9FQWROTO4B7GjPBDoDMgx0aDOOapUxHEXbY5X6h8BY3Uuskr
v38aaJpKTUQk2R5tEBHensmej9q5HI5rnlmBawK02XQ2wj8glnLJCG7xS//jmK1NHFQqaNctgac5
ktxCGyXhocRQc6AIao+jRkTjyix3wjUI+qJLez+Y0tocNhDIW5wGaSqABXWMn9vMG8pQyFj7NAwm
KBS8ljClMD1ctl7n63vU0cXTkheuF47xYDxjG1PbrxluC0yFZL7x2D+/rcmkJvak4+bJTIgk8erX
khnB/vz9OvWtuLNJzM3451EwE682VbmSSeRAqdohva72A3uboPbkukuZxG87D7ZMtaKt3bh9KsCU
GwMGwKHP8+mS+FheL1FBHtjB6XpCQRKbDeqeXXddg4BZNfoupBivVn0cW2biwLrO4dWxeJYaMcE7
Qy6evudWWQ8Dc4Fn35P5KRs66MS1SGFMdHa6tVzbvse1WDy1mlncJ7JdnhuZdJdEMvgP2Yp8OAF7
4oTomc1TZQ/xRdRYyUfipoh78hf7QpP82B7gHQcAh43KueYkycfWtvYqumpvM+XcoMpSMmxfDUwz
GKNrNRFAYXU+LwVhvk2OOQE1acsSGQXgbJihIktzCO16n1znRc1nUTDInUOk2YSLwYSJgXSiRQq6
7eO8+xCVpByn65QHRNKmKFr06Kp0ynQO4E94ewM3KO+zxHwqBi/fl96skWfkJH4BJSTFuZwbencP
BfPZ7ovhsrThunrzkqnAD5xs2UDKPWD74op+Fs0m/MbOLvXIALVcIQMk2/A2Is8CPD147c26FvUt
2T7lXYcAZTctC5Cu1CKEhfEmzbYmJo7VsQ6r6/RbdgnrKbEaoJs5eKNgKmzzcTYcfWPjmsBK3Dow
hTFebzD/8WCIKuWmmqJ8V/XjvBV1j+5aj7I1GKYOYQXO9KvB9LOb2TPzi0qb7NvejsWWZjcMJt3t
6CrTco2IIdF867LwCXMOJ+i+zyMT1iuCmeIvS5tlX6u+PrYLP/0qFVnQMR2Up0adwPvOME4GOn/n
ZW18Hnota+fqENdlc9/4usyo9IxkOySjmW4gX6+P4KH07ZrB6R1N2Z5WZHlPUK+WvWhcHUoisCkk
ryg2ofgt+HU2eGUsYhKrbguCGBDLxEJhbAY8vOHoOMvFFMn6LpnX7qPP+ZtHK1pxQeMbcbvQWWFG
U2MnAX1MnOT55OU9eluV6qHTsg7WxK3ZIVSyDdjjJA8OfEaiHgsghKItswtCWvIlGFuyc/RMkDaJ
XZsQYX+c96h0qwDPz0tNZb1t00Uc6Qy41zh2tAegLCz+g0hWxKBzRoZuVfQ0mb21vW29PD+5Fdvs
mlSqO+FAJg87Z4g+nVcWIsIitv1lfiJttguFsZIJe36KJGP6+xna61NLQRk6ms6yOooasBm7ONhM
tVPtZ6K/MX4XwuJxmMQHxEIcCPTSHIIk4psACV6vJn0aKc4nza+uedsvNNCAdoR1TeB2N8DmbD3D
/jaF+d926TfbJcMXHsq//18Qc1kPJMO/Dzv49rf+2i0RaYA0EJUBxkLmV/b3AFfrD50ePXM7zzHO
qph/b5dM8w+mp0JHsgKpwwfB9G9RjOADfcbXFICEkzEb+0eiGFPNz/4jVLENwzAtXI+wQlBP/DwU
Tpd2guhn8IKvIt6eWaYZH/SkgQFF73tXN5nXb2zp6q+d5kYPmEHa44Ls/aS1acRWhExuF0PUZQ2I
aM9ragzEaPAAecjsHzyJlt5NJO+oWuftbsBZvsHRMXzNWiIT5iQuniyBkxsyXArTCo1drWM34n53
x7Bt4AYYsd7CRCy19VA3kCaGaph/Mzn9cVSrrgCRLcJC7smckW6B+vPv5AcZTAr8b6Sez60x34LE
8PcxIvxA9L06L773d7fI7bdr+73I48dB7bfjMaVlC4y8FBzeOwmC0CBhwH6Sx0lrTWrt4lWZ/In9
4xr8+kjvdsLqzGg9QLogK8Y3xHs60orcZ+0Sp4Cm0rAeZYjgedtre49k6/tRFNZ+SbLoN5Pvvzk9
FU7MNh6Fgceu/t3l1AUE+aorjuyDgKlqavPcQYHBZojIZPmN2ujvjoaPibkwFlkELO8uZkxDMa3K
rDga+mSDsmrPpheanzdD4T/8+nIaqnL48VlRqcscxDXZ8PykIKOhWCRlrqfHJpkLzIlJhMu7aco6
9GgvbpKFjebQDggyqXoPa+H2Elcbr/5ff4+fzxk9AQxmS4fvjHXq3Q1bwNhdysHMjs2QKyESPMkQ
vmr04DsgWX9zsJ/vIVtXxmiBrwwkkHhXTbWNX5h96/BeNtb1rsaaFPYaT7AkHSI5Ll0KHcKtfNLO
//lJuo6BYM9xfJRB7+b+NO/A8jkyO8LM5YU38mtO5qCKhRRw5z86lsVgDngI2iMWVXRXqjb9fgVg
YkqJk/iAzQwUzc3MqH4jqQMu4mUyH399rHfr7flYtkFUiuWp7Kb3bm5sQY7WatxD67JOeOpoxp7w
lY5G+Ovj/CjqogrmnKCSeT4ML3W7ih/PaXCKrqXTk5Job49ZOE8ZJwVsENjDyGYkSWk8b2aCMLAV
kfEWoY2Ik6tff4d39476DlThLHQG/ngHccSP32FcjBxwd893GDuU4sbY4EdZtfgqwrp+qmOPQEnH
XH6znp8v4XePqToshT8nTiuQd+h7ycgYO7hoIzc9Jl5kfmwzpzwRRLVcSwTa+9aUpBD2ePtQvywz
UOaI9K7xOAHk/hOCU9N+oVgtT3lUERCha+UJvQz/WDPt7tdX5+++J4UTWwPyxelavNf755hcpxVX
60EHbve6LOgwgpH8Q36iwpkclOIZtmvG8S7oynoivXMUiwrbi6LjkNfWhd8DDSYTx7xWiEh354xJ
nYU1fO5x/+vv+vNdq/RyJroiZtjOT9YE3aeQQAyQHsnfokOSx96cB1XX9dtfH+fd0sZP9y3ZDeON
wsy/fzemGrS/SOtS2GdssH2mfsC1cOBfIF637399rPfL+flgqiPF29FWkrh3t+cCU7hjhMhyTnMI
sG+EQa9AiE4SSw6SBiS2nKflwkCS+Ukjank/13b/mwtrfIPX/3i7eia+D/Q8bAr4Ou9eYUUrNbQ6
Ijq4w9QuR7cQLKa9j9/yGA9yvaP81F/tJEqDNB3o3SwyyWL+PWdKRV/XvuhitDo+jYlbFMZiAFKZ
URU1BYDzQOTlelUkNLuStBEf1sKM3kYiS54ACK5XKODoC8HTdBSwJj8hXbIvRsYxkhB7SpAzRJEs
PfD6xKxcJrjdhlCXKcH37rTeYdtS/ZUqGUmR0/uXIlr011VjG4dbZUF3NFfRG50YW56qssFeWzEE
PxCZBDc1c8kqZfLUqj1CnVv4eBvBtN2PjC/VUJqPEwy0Biz0iKKvmyPrrRh7awrLfjYT2i5ZchWb
PNkWg8vQaMf0dUhYvOsutt/IEfIEIie2jfBjdS+mr4TdFlitY+0nS2czVLk4dUk6FVva1+4nryHc
9wNkJe43nv443+W1z+GlbGGACixxG70b3E8reS7hjH32ylV/t7NrvgaTb2vbpFMH3SottAe/Npcr
3jPFU9Ms08358kbORJugSvQ7Scp5fqpXrGLHyIgd8yT0MrnKYx8rXrMmmcT5rlarwVgu2n5lhfKM
WftcYcSLA2yvFJVFYdAQSiXXbkEuRF2r6wnTyNT6OOD91QIR69WtmQtXoYz4HDC8yZXTE4FDqEz6
2upAIuhKwOzY+ysCjg1iS/ue7CXz0SMdGsmr4NqWpkhfi7iEUQ7a6iWzUY/R7cMPiYiwXO/sSZuh
6OQtw6ixmW/QAY1JSE82/Vw4PUuTqngNBa7Ymuo+LKc6wjgJ6irA1NrT4pmVktoo63VXjQX30rlb
GE8LKQsRpdey6btxvSttTdcBK7DPISYXW2bGCXSbMpvo3nTcYFu9S+QL6jIdwI/H3WvnaGfaCJDf
YUioGIh20R4AnnLB9Bg/d6xBXM3Bk/orAVozLugblN3Nrs/wFcbTWm+bM9lUq9u7GFvTUVfwU4JT
rQDOXBo6AjSqYVbraUCycaBHHj3EvbutFUq1UVDVReFVIwVaLVd3nyv0KgO3WYnOzE+eArNC9Ieh
B6oVJpMZ6grfykBXBOg02p2v4K7WmfPKVRVPPuxXhPXLKTNIH1BYWCh+9QlVDs0AjUyoXOFjGwWS
xe3fBomCyy4KMysUcLaHPItx17wizeumnXtvg5doDkcFquWFY+7sJn10IiC+SycFPIIiwElsB1Kh
bnO/1AlJRlWWrMypfIXETf3kQ5csr74UaAuQUWRaaYbot6qNUEhdupfPjcrLwRslye+ePd5qxHt/
xgx9IhzCoP2RXicK1JtbzsM4Rhd15cbPPX6yLaMssL5FyQJsqT1SKZZrJzXNK2KZmjsjLbqTpuDA
6+pc5m6zeHJj/cUPZhGBJgwOTx4Wo86QLkQjZmCm2tnJIAzE2ETw3S8Hu+AL1QW8ls24iPURl7+5
m6ciwgw8Cv+iN4zmho2SlYSTw3qRk8Lw2MolfgQVMt0viKXw0XbSi5EnrMtV7q7mNiqxxjFk9/7M
yrQ9zoUzHxM0BxyUXfRVG+sfyISfPrh0E7fmOgxb9f4B4VYrbnMqm/K260kFc3nSiqOlYVrciLyO
ghbuM7Hy0PvzCha0c8ZCW4TPx1bEG8GNffcgM0of/Ft5WCqmtL9ClwbWDWi6laK86fT+yS3WJjSm
dLy2zmjqmDS/LOzPyGo7E8DjFMe6UkRrfZg7oBND/LHP4ukCW0LYKwJ2Ng06AWfoqj+b2dxFG/uM
yx5ZJ49YTZIT5DJw2kKRtdex5MbM2DtQIhTaXYF3fFsu7XOlqNxoccdPg1V5bz3TCACMlSEeRGm7
H+cz1FtXfO9lIAAkqgf2Y9XcHOS6Ar7XGkcZdxbaxLUMtB5eOBW0f/BnA4i4xOHxVQrP20qFrml6
kzhpqOP+GUBuYVdHMVmxhYFOPrgFnPIzsjwyI5PiP0ss2hSt8aClGt2HvvBP/KjEs9kwPHkJg0FH
Kml9mc9sdCL8jjP8AYS+jUAoyi1whqkvUWzvJ0VYdyAHbQm6sx6RZte3wEpM8s6M7Bhl0Nm5gmlo
lmPQjJGxH22bG9uvrmBV6QHdcHEbN4V9sBvXvPQV/b2Vq30f2Y0RomxnGKsDiS9Qzr0MPafEQtME
Y6do8iinVBq1gswnBCnACp5gC8RdFEMgn83rQQdMrytEPazWGgHHmVy/nCn2sAeKPSIh95OdOzRx
FO4eAp1Xh1FkFcCy4eH3lOOQLabhrj/j8s0zOp82Me90C4BQUNWjfU3Fjs8SkyEFgFGfmIf1PF29
vJqysriVjt3fIIqcD2bTJX6QQvEvFc5/8gD7Q73wLmoF+88GzI5WPJavObkwzjYnz/yjBRt156io
AGTSgAWkChAg14xeUla0T24nP5d89LZtapR9PmOMQrmdxhedSApi+TSiCWLCqMFoGwQWNEllh1ZG
rKMRAUDQIRTxi6fYv8UXWq0SZ6SM4JH6Zret4ni5clUugmtU44metRaikJnJljHX/aJCFCya1beG
PnavWZuzZjcFbw0WgRZRRjBabpPbj70+VC4B3Ra14ka3qjl5wyvWkDmD5pkHu0dHYvbaW+MkFQHY
UlyngJsetTgaX6029YgL91vmU+TRMADRgV7z2oNm65YBHZHqoDnWckIJ6jOocMaPSw8pUCfZJ9SA
WBFA0EDZIHHTCNhFxdcLZIKwR4sXAEOJAL4WM9nsVj8frCrTr6wpLUByTrwzasEoJCiGwXHYXdbJ
gDGkmQ8GORknoB1yAOklapazZY3vPTMDoQKSBIYsnXE9MOgOcV8WPmyHbtUe0sLXIYbX/G68FPak
i/cnuabDF0ltRIVBkFqllVwFFB6fI8xdQL7Z4lwlrgSG4op2Pji6GT0toN1eNCG1N+EM02XkkT9n
V2sWGDUfO1uzD5YsHTeCwfDnSFop20kk1U2XPrIxJqkhYlgDYPCDYz7F8YoOivEWdVjETVU+6SgU
NrqnfXDHOYenVK2BDgIdcytC+wpyIVjPcjOzOQldN0k2RtWijKHGBihI8rg/p685Q4oq0KiTkWD2
Na/K+IDJV+wGZ/rar6a/p5a3gqYV/i4H0hzkpXMSXWkHBrB8hPzDzov9OAAaqYVuxO2MPcsg66Xc
D6sBz5cPTurB24ulyTcllJ490arzfeOIJBCDF19l1fimSR1PwVpW0GBGcUIDpW87ulmE4yzFwddp
D4h5hG0r22Evk15/zXvwntT4vHXYCJ0IyrQIpE2bHQJP6LH9nF3iN9znDlwYkw0XgxX4Rv0030yO
bmwSa3YOdtskgV6OxGo0MmR6h/OBreDtbHTEMKEa2nl997VvUQhKrV73hpOq5Ff/c7tocG4W6VxA
bhCbNdaPQEruBlN7SR1rB258YZ/iX+NnOJVa82kq15shj0DJOY+yjSDY1DSM8FpcOO36ljXxE3Fp
H1xRgZHLZVBlxYuvp/ivYUAxv/VfsdZ0wdoqf7Rm2I91keKUqcXr7BtsrLSYRT4Rx8Jp+xAxwy4b
5MWcuBNkUucLXikUpBAfkLJpVATxNJCMY65fZmJdHKSau8YtUoBN/hJ/1LE3r5uWidLJaiXCetS9
aZ2ae4MZZZM+z+PcMfJNLu3mUffG4aHxUEAnXXrvmnFycCcfnUIzDs+aaBGVTWN/YMrZXqJE0g7t
nKnHHJabbabuswOmbZ+WjeOFXTK1x7RxaI9OiLUClELJvK9BsW71tEWRsEJhBrdna+0uKTH+Ccf/
U3eIRztpsqChgwisYyItRsacFz3pKsz/G0Rxt4Vo1eeJJs9eQFgzZ8Q1FvWkh/fc0e6Uy3ZDV9PC
HaFnhbEzOvzpm5z90AEVgatdY8l007AjsaYhEIumqdNNlJxKhdEOIgK2lkdvXYTacsNRGTEAOaMQ
ER6FVCi8mrIo5rYfwprlhT6TmmmAeI4+DTEFQkSSx66qBSi4dJ2vG95xT14TLVeaxbxbEPWw7ZfG
0a8zzU7Hbe8vlB2Dy7I0qdFbZajqxEjn8Wu2iukmcxbjUmeuvzPiNj8l+RR9ikuNJndsucYHo7P7
rWO3VCLxOuqvaNEdm3AoJRMw/R6uVWLL7mNDPkfoYUFlxG+Y7ZG9PR+tOZVGGC0FOnSUeN2dk0B0
kqE/I5sVYdqy/dtYiby1WxKi4S8jokRRsvLKP4ocNUfamdHJTGyaAnAVrrzBpUegJjXn443S0rYL
jMIjcl5mNnkByhsbxfP5P/G9UnwAnuTcM5b39ygL1oMwEYt0ZU8NNreCLgGiw5tpZduD3lfNetbK
ufdzLiaoBXhNSd/szo1iWcyMUebaC4ecvnFB5Ja+SbGP7TWfr4gdKD9BLSRHrrS7jzWWqKNIMz6R
dQStDI0XRu6F8VwOOr96lSPKiMhSOrZ2Nd/mM/vdlWS6w5oP69Usl6UPZoRpR8A40YO0KfuaMZHY
dpas2bNVU8LUoXDbcMyjKYdNRFeE5iWLwYDHItKhaNTWaDfHPML7yf2vrxrOhFi+0PzDEZdndBS9
9cJvkXIS0Ov3tGSgdiS4WdZ61+fTxCy+6fVr25jsizpbmZCtNs2raEW1oe47LQVIBUtQY/vfF0+k
ga53CfpzyqQZhQ+vBijxGrIFmiKUWXfFoK5JMTBlM/i//FbzNZgaLhtNysAy5HolEBfvmTf/Nf51
lwgoeDExOiaoa+dY3AG9pfPZ/qg+sMiceyJftC2hJh6qciRDvZLsgU3Tn0udv5JXFjoYNeUm04Or
ZTizArGZ7nI18kHo0VvfDptJ058TwwapiKrY36cd932isb02XPqsBKlS8BvA6N9WnJwXY8bdZCJF
CTNkGy+0EisTyZAYH3sBwcI3pug0JlH9EhFIdrtECY+OlvAIW+bAbHLqo1MkjfoldzuS4ppZM0lg
Hwsd7mgRGR8oDjjDSji0v6I4ztkBk6q4x1AgLqlb2o+9ry5vSbbhaaiZkuNpFB+mvCdDWz2wosuT
P0vSJDE+pRx6HrrxVPRLdOxpuaIH8LTuhezCINbpyOHWzSBLYdNi8X0d7G4MEtJ/NrKXXyqM8YHP
MG/fjSRh6j2/Tt9HPOwzT2A0EG/XlZW/75WKK0ZdeWXSAr+S5Rh9anGd2MheV+OiiIVxU5lORPiN
UpL3VD52WLEc7nVEed2GsagHgpW7YJK05mxp01KAczMGuQfyaTP5A3cJStVXfHHyhVGkVgfMYnmm
69aOwprqFDAj66NvcaXI5dUeVGbVmxtJTtjv1T3Y6uiAXFtCZ4qFEsmThXvQEMyHcHGhIXpOMn71
HOpkDADG/NzV6fx5Hj2mUB0b8pZWqoy3CdsK3owyI267G6vrZOqHh1SfvD8leZhvaT37p9HG3LaJ
J95MVko83GK7C/J0YPHH0W+iT5ljI8bqWijuoVvT4A7R9NbLt/bz/4QOvxE6CGBHvxQ6XL103cuX
ZGAX1nc/SEO//c2/xA6Oj5QTMQN2dvzsBkPS/0hDz+kiAEEYJP4L8/Evbaj4Q41UIS3BYsLCrDrg
fyGWLOMPYcKRYDdtOmcG8z/Rhr6fLqC2ps3uYre3OdhPMzHfXBwtlxoMwLR4S+qY95BXR5vUQ0j/
69nC3x1J6DrtIwgcAnHHj5MvsHCVRXOTIwkof6UuP0siRDZTlAy/mfH/3ZE4Bh0BZGoMFdWff6de
iIkZZH5Hu6uf8oH1Rb/pxhIdZrM+/eNTUuM08oc4nM6xfjzQ6BaGX7crfbUuf8uL/A060VvG//43
h1EkGlAx/k+/Ue/gXEnsWR4iDe++7xG0oCQMQT6n/8Wl415FS0OyDRqJ83zu+0sn9dKqE85opIl2
OSt0YlTDNGir7DcnpSby3494uPHQ8YC8UigbFa3z47VzR3rUvT/JQzKx8XCG5cMSz0+GtjxJZdr4
9RVU86KfDmYypGOWhEH7vZ6FuqXm2axhAwM4DN2ubA8ZW91NraUvzEJoD1joTpAq9//8VvQcy7SR
0RCP57wfOTttTeJFQl6xJBPxfkC/Q8NEy5+0jH/79TmqC/bTOdoMCWGj6zpP9Y8XdIVLvqQ1NE9S
MdsDbcZli2Y3uv/1Uf7m2fKc746iqDPf3SDAFixUygVHAaTAu35+GkuYVFX731267470br2Y0HHU
Y8WRkmJYQmfOXhRpJvj94/XT0NPz4UMIB60DhCbGre+mjfEwRWw/u/zQKxeMjcB7Qw3PhMy0nhvK
oINmUo4yXhM7m31eELf9b+K87bME6MdfD6Y+dCI1+cYQ817AQlCM7ZW1LA8SDWQo9RE7+yJ73D1W
uWz9CLy64bfGrvFt+4BFqSZ2BmiAiYvzNDagp4KpxobmzfEQtHU1fXGTtKRrHplHJUzaDW7+xmTD
PMarMV5JlzY1nVPl8vTrZlNL/pOFyNitnqNDBupmH9y5Ke+W1hcfc1fURwIto89jSVrnVM72IXLX
HGgmuzbg5PjIoczGAEUGkMW0pZGcN7ib+j6pAPoWFSRXt7rvtcw66f46fWkiXjQgUvjujsFRMgsP
FvjWLEhcL6mhSxb665kukwLZDs6WozLipHNapbvaj+VNLNY6ZIZjE65jAj7ZGKibiIM0e9pGUSt3
UGTmbdawMdMYJwelztmtJWsnY5EeHw1ZupHL+gYVo9qSUDNA45yNXU95REMSntfJKsd0D163vqAf
iqCpbFIytBmguoUuPsaJck7ERvY59uriyZlQsTedKT81Tik+Rpy73GBPl58kNOOV7wQPfUOPzu8D
0yRNeTM7FrtYjUibp25iyMx+urxjS95/jrg0F0nWyBtnyN50g990yBzxEUng29xN0T3E1vo4qdU5
6SCRLIXAV9cWILZZXvwiuc1SgBEZw88jL5U+YGKMJzQuzA07EeS/OKAq9q/IGzYW4RzXMc1qCvi4
enMoV66ZEnERcbJWodAmz9ucn7yii5lT6Vi2mVFV2zzlIpC0TJlt0XMiZDZ+8DBZwAlw0/yzT3Az
DauJFrmdKD95jwIlqNfWKfZpJXR5ZQyj9EMHB8pzEknc2MIYsU4z1MXO5+hVe6lRrn3EWm4/zFVe
vgl8cyfOcdlWIKZV66Q5WDQInmoe7geT/noW2C1DkqC1bOKccBGO9W6YoQ+0M7p+H0wFjIIIXtRm
RstQb7QY66meOf5T17Q8dhblLc1o3rLrQihkz3M/bGyID8lTX2nxuB+8KnvxJ6Dq7MPHKwfBNfAc
n+lAN+IHnhBTP6/tmu9xzfXFDjmjSKGcY05EJu7lRJeB8CMbac6N19WXyvHHs2URLQn/ZLK7xxGB
3Kc4ozx0l4JlfK75su2gmSf0WukS0nXWSJHnl7CTOP/cxKI6zRGR2u0MXJqe3ZvwcIRHBkN0vghN
pbhcQo145SlMSifBlUPC0BAX/j7T+IUGk7cvzcMiSDxIFLjJo/tsBO4bJnJOvlbSJyc5d+jGQbJd
Ly1jeJbdMu7NsqaiIv23wi7jVSfw23SiFKtQA0bcqfjoNv7aD60bJt18zwzy0NcjgoQFnjS2xu0Q
0cLkbezeJQMPpVHxtXSjGK/GvgVQlPOcQ2okBl26+UePqv5C9+cd8xwVADVLILtTTmpQnsKjNPtC
adqVcTMpJNF0Q+bfmOxrMery1AMNW8IRncXG7LJlu7asbrRqx72hXv3S4rxFmb2knebdeBNOd6x+
3p05Yr2u8dw9ZFZknuaBOypnQf08KPulDnckHCtO3+5WHqOSXuRNXw3TF2hp9OBiUqiDxMq9O8Np
m42lFy+MsvARKRqTg9Hvbk2pJgV6gxAsDr5T2xy8u6jO20tjGljJzps95hkNM61yCDNET0Ephjp0
Jg7dwuE5pB0pb8Iwpi+JXSmdfIX9qtO5gzEftGlxY8q+3iWTCRi/K+VN16itfS3qi8KQ3ExTk4DQ
Lg1SW12uDvZ0xCTOYKDQZNVFIPGpzz3jqz6xWo3qHrF1kDSkYqSYued4N6KVZY1jM4MXq7evs9je
dYyMMMu0IrAJEds3PdbKcXXqx3TmCq1uVDGZcUnf0LopIIqZlbvQ8eESSl89jDKOqKCrCnHZgM1k
YO3RYlaPyeehz0dkpaNfDzuTafAmrsb02oyE/uobQ38xakzo83oga7QrDp2jj/sMn+2+9GPtqm/T
GxNJ4bOWZd3NMidkXmfrx1Q3p49ejunWI/ENMqdhH1YkVtsqacobqbXRbZF/cpu2DFMzeatjQNOM
EB55np/aUWdc4dU0JuOSGZVuyhtr6ZjGwG7es7i/krSG1sDlpYc6xjpqaYL8pWLlbStWHJ3ob0p+
g27cyk8qvy2yjtXJ3cpvsKP8YyyEaTjgvV0F41LMw6EUttXuq8TfCAJIJrQgPsx18ntZzDLqTPKy
GW+VSiOeK5mozqBCukow1pZwbsZmBbwqzbTcmDFdORrGU0PyQykeu1KUp6kxESHiMZX4uYbmZBbd
EA5wUUQR4q6vXedimQRdRl4+Rcv6V+LY+dCICc0CvcBE21uwpkiNznxznOn8R6N3skbaSyRRDCbh
HZQDLSEwq9+6b+SxJB5hyHn5VdpOTC85do+z50qDiQmkHHY3Ntlr3cy6vnhuzhSyh3J+W2FsIQvF
GvwBHniMVUomLdn05mCMJWtP99nL9Rx49VzcT5k5FwzAHZgu7O+tdCPdZTwBiMpDWq+vljcgEyAX
RlsIg7FsLdkJsCkhC8d4Z9uZpiQtGooAtyRv3hLLnudUmJs6Q4kzFF5PWDamvbmJXogIyrfuJPKt
0Onv1m5Dm5ZW3jXeNEQWc9zq5D4CzieUwlyveVzjLzFGgWGTGzDxC5fOMJRu7Ugsnu7tAEixvlkO
y7cFO4qBrWtN4DH8wg4lJ3zIhwlogbfYv1M2mj9t8tWGGHG87UANpnWharfvNvlyTlGLIZs4JCQx
nIaxK99qs+EKTtgUmeohsZi3BX1TIjQyo78GXkH1lCfyRhpsq9K2fOHFVZ08gYlqEZQ6XSphzhTL
YF9YAjRK1WbtZe50PsPvBmN3P0T2IY54Bs2ZSgn/Xhndm5DkXiAdA1nCTEZcn2a4d0sEN3ETLXPx
pKdp9vm8BlaV7nvBtOakBv663vkp/ZfiAGooFRVaREy/1ruCp1vX2Bo6vTgw0mHtFdN41cfQtXD5
s2fq2WZfL6bGgFOs7LFyv60vWPzsix6IVrox/N/Vze8FxOfvQ8MGprtCYr8XZqt4YdYDvk9bGk+D
jh4u5/0yuVhyiuFDhMts9+sr8FOhzs2gU6kjWVaq3Pf60472fxlPsmCYxoYUqGjEy5qtSVUlUDqg
LB1/fTzj7+4+3Mp4lVUorum9K2QrPHfon/KCxZWO+oYVsw7TDp1kmHFjIVMGWYS27caxven2/ApG
GGs4+wTY0y4xkPpFOXge2Lbjfu7Y4/z6+/1UZ/smFiRhc1mwj2AC+PHh6MnOc2RqpAefentvazF4
H2v63TP4U8eCo9CoEKBPLczh7x/BgXj4yKnq9OCQrEAqAqtGJUmvaITPJt/JcUIvGTt3ut/j869P
UKgL/EMt6rM/MFX/x1dWqPe1KBJ1a2yLKTlY3RRHgK6hVWhR5H+GyMHYrKYlf+NrNiwba3nK/aVh
hm6TULaMBFVCSk4A2sYtgPGGuTawkl6yl7Ogc7H59S+zuoKqE6lBqBZ1VI3nb/+/fvXv+tX4Qnh0
/39j3lX6JUnjlx841ewN1V/6ly9P/EHGOQ85lAL8JVgG/t2qJjrbQunu/2WisAjw+zfGwPsDEJau
Qv1QXdNI5gP/06p2fFspuKkyeWjAIvwDjIHCMnx/X9LZMsi1R/iPhwqn2HvvFhMusj6LzrioiAIB
LzWi3JwPrU2VzoiscgDLJ/DsLrPc0Cb2mxWoYLng/d50PngiN0X2ZYSwrNTexM6cdWk3lQXH/SIW
SsbrRxXPFto1aEPfXenbb8/O9/62d2sociW+sMel1Vk4kN2oP//uhep1JBdF7dpenDlYRgLpzWaP
dEkgin49aQtl6a8PyJvg/cXiCjF0sMCN01Ximv14SC0tTEkMW3xBV/KSoaUGYGHkVb/PLGBgOhE9
WnMwWh0m4YTZGSCJNbrWwXf+j70z27HbyLLor/QP0OAYJF8v75zzJKX0QqQmzlNwCsbX92JKrrZT
VRLczwUYhgBbyby8ZMSJc/Zem4Vn7yWp1Zzwi3Ca15PPXalFTBPDHoS6DeoMBFGD6/B2jf18LG3I
lQc3rpuLvF8xbjRU2LKtIpZi00lE7pGnRrg0wOu516+4XFSXHLos7b0MdQtxLe9WOEFILyDZST9e
K34vZgI9C4OWgOAbobKFJjPu495YUBKDwZGWw0MwO6z10mHvXVwDKJMe4L/JgCZC5CfZQipzFoLY
fOXxmqkLQooEWvvRsgy6DJmP95wRWt59eKWFJWLm11B2FkB08kBo2dMMGEig4UhvyCbgN8It6JzY
ZVP1JDsv1QADDRsuGslB/YXdMJG41gU6xz0KEdE+2/i80/MgwQv6CdIDelkELN5rCfAMMoGt3jOq
RMru2AN3LutXQhdgTYVHvQ0o7yZZ8JdiAbaKwn1lQrUjqtednU8UVEp3jHsNM8/TW/SEtPMaSB8p
XQKHz58XtfeCshzW48KBYxrR2m3CGUXatsvEXUqHB9FW33GTvuMqhcuo6zmd2WuPrmbgv+M+QmD0
snXeCgGZJoLyhk4/LBq4QjTZnm1dEH8OuOmVTOSvNwfnPUitV+Ru2BkrIrwcCMnQ0zRfpQjJ74zA
TNWG7hQyxwTVJH7BDOxGj7SpBL5Ad2MjhT/72wZD5s6N/QQaYUdwmz2r5RFm60CIdcjBqMpjl9Bd
b2xeknzwrhYQee+MybeuMYSXt45TJC82nYkjjWM3iDK79l/qpJjet6Trqb2leWTTmeH6hFgoiNJ8
LahhCKBPtJXw1M5DDIShv+uHu++4PW/yeWwmuTLVgOwJeYPcy3P2RDQbxBpWK7gOGiC0OO1wZHcN
tJIVGtxN5lAkfFsAELYf+GOVf8NIA9m7ggaXi5Xf2CQr/pP5/xhxbLUeF3v95klF7iCdxDPfbQGe
mR6mD4+VO8PLhaqAl7Jomzne9yZK5edXPiQJL7wIBuEX6pjZrS0Or5Arz9a0JGPVc9iechqGrxBM
hhfdEQIiYEinXrm0fjNyFTpUAL8s3jZwlQq0SOSHK7Fr9Chwmbnb8rHQ2jDeGaOvu8uBGAp5u5Ad
Hu9L6uH5SZPIHD5lrlkV9/FK9FeVIQHUTrCyNLKLaaOXinvJgY57qcyZU0AYJtwIZlASQkhQKqqG
mLen7fAoR68PcqEMvrgGYJTciml9KQbp8lPU7LCGvmYKZKNhoXWwglQ8qzIY7Zs8DlkogsQqms++
M1to7IMV07WKb3AarIh7P05k/lFack6QjI4J2Oc4GIr3khXCSiNYq568aaq6JmBaJUYMrrdMwG3a
gGhWqKqZn3GR8J0PK8Y6R7yo3gdEbhVfPb+2bRpASwewr8KuZt9U7D+aOJgxT8QphlpYobtvSM89
pbbDAR34Dc11I0vMjxkoCORBSXBdY2h89qYxpodqPfhTouYIl8j4tDSLsStIfEQEAM7BGYnFJc02
3tIVzxCGZROccsdavG1KbvmRtouYLxs3Rx1CD5uzzd7l9F3nDAEWvAklouGWwMF3PfrayKnMjwZ9
ls1Ql7S/lnrYZOmsgqNV2Mmnso/9rypxwH1asr4ZSnGJX6tbdgUmqjvR+MlHz5nqXcUmtaXsc+4Z
utUfLTet9nZt0uvxNSlpJpKa2zBBeOy3BYdFm1C3q6xNyic7732SK/sBVdPA+XtSCnhRgh6wmtub
qdTVpUd7YTfOfnnHst5+BNiVPkxueTv7psoPsuvdfbd0CoVdUx8m9IQPSS/Kp7ly+2Qvh7q+JD+H
5mvRadSMIThbhyYBwkEskaVP6ySbnOaRTad9rr2qTbe57mvCXszmfSqQ9FlsPTRZhDfWEeYA6DlC
QUGiDbJNYr//lkn0QuAe3aOt82Q/l7Z97SW9725TJLTLRi2UA9tVaEY3tGoOQdmRJslwpzn5qbL3
iUcIQdy0B1Ol41byGZ/zQtL6QTsjTjXH4Wm3VP543Q1u/BC2qTiAJS72HoLByMgNHeyXRYhrAwna
BQv2cjTresFob4UnjT4Ld4uU0WC7oPUIHj3CJhGPUzbpL6ZZ5heYBPWFrCVEmV9XKD8Vcy7Iq5Vh
vh4qHQ57f69PuqZygrxERqMGYI4FHNbInFd6sGvQj4VW21zgEPldEMibwxuFGOFWHoJgQaWLIXat
mv5SiIFTSf109sJzV7KKZm7GwtAOMFf/2dz39TqrwRdDpe2sqoe/XwfTqRj7kAg3lyY1a6opWbNr
skc8tRICf30r3xyYXy+2jny5ndDlGd7//WIW77CRUASeX6nETQMN+lUfYGRjuPv1pX4uZDmUB9w3
jK8ort8O0jtcNa2BovDsoPa8rkdKb28O8RHgrrjofdpe//h62GvhNRBQIVycsG8+WtDw2paVh6Ug
jd9934JwDLJjePU60uhfmei/vuaboze3kw+3Wm1hgPDlvS3WlypxgW0N7lmKmurKN1alIAsqO3Ct
VsmXi77FAVsOVR+eaM728etf4OeHlCmcx3028fzagA3+/qGb2u1MMnrFefxONYZyqyx4lf+Pq/gW
2SaC6fdPvuISFHAdg2I4o2GX4GvBtPrB8g+7JevNJARltROvuoufZutiwDvhGXyWV+WFINEQ9Sva
yl9/ln/zWHrQZPBjc9rhuPnmjhVQvDK0b97ZjoELI7nlnfue7/MKZh5aNenfHOl+Xr9Y01lN+Fiu
w5/evHQYJ+JlBjwOPzMWzxZuAmajE6XIWNKggo4KL/M7h/vXH/Xnlz3AHw/GiE8b2j+9ESG9dixO
nn0uRt7uuGGdHASCGZ1DWv/1pf7NR+ThQNpEDY565e1i6Zez5FKVfVaS/Oelgtupe8aTpbt2n9cT
nFqfml9f9N99PtAlgYWqCjnGW5nYZKKCTUNhnUuBjKWukCyUZpAeOOjwpf76Wq9dtL90ung6Q7oT
SEBdsCHBz2/aOvM0WU8YlfZEzOZW5aEYxdd4j4NRXjc52h16zTb07ZUtzuBt6a8JkVDxnvmVy+Gi
YVqYwOC30h48K7Jvhu9BIdryN7fl5yc8RDpHNBMrEqq/t1KzOvNm8gtinnAg8w5knKz9sMqGQbvn
dPOwFFLW/+bu/LwOITLkrVpbkejc3vYBk5J+CTkKPOKBQa0LeI3zw6DUQDoMWRARwuz1ec8z67ob
y+7DNHna2jprihBJGOTJdMlI3hRVUnYYFgtPwq9/wX93T1blJDo1h+/utY/5l80czzox3QFvfaUD
im7Tyz9aCZPyvnTqbMPw63dtnJ+eTUSF69tAK4dH9CfwS4cNjaJ/0Wc0uu5Lb+aMRF65u+zsnMZ/
/en+3cXoGxHYKkKWmre7AFKK0EwIQzirhLl2voYfmX3AKcczW05Jv77YT181nwy+PahRZ93x3uZN
VYVhtX1sLmcRexwskwy2BUatlFPiry/0JnGJESRyOMSS7Ah8OEFf7O+bW+mkmQLSOVNByLS//c7j
NsADF08xRqf+os0nOiFuQsxOOqdM3crWd4h/X2HvCvcj0PWCPoExc1hi2KcBMq8c59dwnpCuF2zq
cu1+zB0eiMPMuOR2qJuwqX6zePz8/UAHCxmTsa8h/nxbCmU1Hmsf2835Fdo8M6W4qBiZHxITQP2v
b9pPD7rwgMYIl1EALb2fJiJDYtrDpFJ5libE5cB+RVuv8Q8GTpILfJK/7R++qYHo+bMe2rz6DAEQ
IL/9lmpdOVYnPfcsOuV+FcKezsSmhu9eGyLC7+nqdLrEDaaU/ZuVzn77iMB/Y+wBqoYrrzPINWn2
b0V6icAAnQvudItOEilEOckAAOCFHh1kCWRLfxJWUbjbqWHYe/0aMFA7MsmO9rCgpHjN+jDHii6i
LtZ+TSf99WAxSv4MXcY5yUr0+WHk59/6w2LU/KQ5844heiDGxEXgNHde3jPjXx+v0mAzOCyDtNrz
hPOOQHLRY8OZFa2xPmZ4e1HQOEI/0U2Jvw0SRsBXJNAWEmZ7Ud3NdBuupRgMPJeZuG0Wy9CHxq8Z
7k5DrTem39nmJW1ps4563xtDHIKyJUYMFwZSs1bP22bpNAdonZ3xTVuRO5XeSG6FlXZE2Y9d5g30
vs1pbl4cna+q6pJQIMiZrVVaX2YcdTTFjZz3JSTxhGbokhTp7bQo/uzjAmtOoqFFiWQnjNOjmApO
RXWn+a+6838UnxiE6LyE5VrXdK1oP6Q1ESHf6Jbj3yuwfHFwX6QKi1MSGOq+VbpKb1EJEd9Gtvo0
3PWIb1Zgrc/b3VhVW9zDmmS/kONgdXtGkPDZTaTGpAg0xT0iAKLnmLtqOry5p7+C5iSDRHYE1oMJ
LfmalQmbas9H9168mV/3oUXYzGzQzt3LH3kn7UhvLsOMo/YCFG+1pQ9C52rQKY3woFpwpyMe5CcC
ZotRZM1OfepUPhoPqsm4dFdodi08oCD5Nmnp9PZNPU/ecG9lBsbWgsclveW8iq2DMCtYr8j33NM0
Sego25EYnUi3NQz5V+S9pxOeoBqDG6pLf858YsRiaz6lyoDtMSgLOQux3PS0gnbs9UGVnGE3TMvp
MjJxVvLRqj1yV4LM4wGrU+TVmKcke8NrHUDPnqdPJ4JWA6kI9M1AUDnLRUwjhGQsvTTqG/jz+DbQ
eBO/t+C8cuSXcVJlPbq57b1kwHljmJk9uuzvrxW83pWuyjsz+04evKy0UVIYPDIBLGWlTEHZFTvA
gAgbIik8nqIuEKvYrPS4r3a/9sydvB8/IU6ep71CmHj7fTQDvY5kI2ctJBKX2i5oCP+srHztxEra
85t25d7DdqED/7r9+WKkyZjSu/IvPTDUIFDNTOUY6wo49eh8eE2r1mDSUC4uN9aNJwgWeWgn2V1f
d/wilknvZN+Wdn9fa6tTH+EYOcZEo8crivugCdV45anSehR5XrvRKONs+UqyFI8senHbvVusltCV
dKE2dnj/Zh8Pu8cYAN9mSruCZ8VlmoMs0x0c/z2FeTEgyQQpxhC3xEVl5IDuEQpELOEe9lnZ061f
SpqS8GRqHdCSQG12rkxT0WqjQz4ENMj0OOXz9x3/v3PS38xJHce02cr/85z08Wtdf+37r1//6un5
8bf+HJRaf6CBX4MjKcn5YT9Q7wxJ2bOYT5Lmyy7Nv/81JHXEHyTt4iijaFx57mu18GdkuvsH1fWr
8JuaiDLM/SdDUmiW7I5/OdOsY0aOR4zwLcaxFO5vDqY+0mKDFld9Mqait9oDMV5JPuH2nWe65RVT
3s3Kppvp2S/Idhn/bK1eOQefduWxq2h+Ev3Xky/kMUfpO1c8KtRUO5GZ9TZJRO9FyAF3VSLUc6VU
120X7A8vYVJbJ7s1y2gMvRl4ROLu/Nj/MtbtcJqcPjl4xChvBRrYyIpJydN6GA/LZBJNEgIEQBEG
XcVDdgcHPgAanS/Ns9t2rDi8I6cREvDezLDn9b6/NYcJkWOeJTeWjINjvWTlo506tKmn3uWF4wjV
YMQcO0zZhj5jigxX9LYQn2LUZSlxu22JDlwmyVUjl+GpYM25JMbKvKd9bZNU5d9NoxVeMSkmsLBK
ko/gwtJN6KwIS3+ctjD8oDHlpjwwrKyPc4aCUjrLXdM2/onRXr3HVbWs7y2ORT88J3WxJRujuDWC
mLz3GIi7tczBrkzwGoxF5z1I06l3c+eakald9zIEg3JiEzDw/GiLLmJqnMu+btndOhJ/jFxve7Ji
riBh+OmO4SkLyzyPj1bWuuioPf8ywVFwcFuLTnuHF9HUvb7DW9BfMdSNN8VoPwpVqc9LMYpdP+fp
JvaL/k6zy8MAFFBaxkZtjVYt926W+5/GWEWEuXwk2r0/WK2TH8cpsQ/EYcXvpiBr9nkeiy9BJorl
alzs/CrxqmJTBoiII06MTBKrkjB1zMJIM6Xcw2DIGMVb9o7WEdb0AIg3VO7wE1Cp+VvC7GivTYwE
URdXaGxpyt+5y9yXl0vePqWjlT8FWHBfDFwdzqbWnnkFMW1CQ0950mAuI+4vTNtdmwS45u0YAawu
gnMMkvfGsabmqpytJzbeFtSU43ZHMuKLO04XxhlA/HRjVzK8cBmSKlK13FxGmWVU/nE0xmzZE+G3
KtJGtygiPRLqKnAI5/h2w41WK9DebcltA5tJEkhjV8dlDPKoxqsKA8gdKfJQ31OJzHqyt/AX/G1v
VevQWVeE4lGEesAqUuLzrqSwX5qy8+NL8sBUekE1914wT7gnJPIQG4FlnHri6WP7UA5OXvhg2uY6
/KyZNWW7BCnYDTt9f9uPTJg+h7UTo9+uwT8Fw/jktcq5lcFIWMquLPxHN+7zHdJMa5eUdXjGTGLj
eAXmumwZKbTUcwZsMQgmU3JsXb+QT3Y5u4XaekDihxSOut/457r3gt7YVpCTzBsWSu57NZELsCKA
BGVfEptwwbt5iMzWSK67xa/89ybt+k4Cjlusu1qFY/wlh83L0FmH2ACohi2wTztzbB54cr1igwVj
hNAnXauI1FQywwNInH/yEdEbR1BtRCjBakE5hoQVHfv3sXfM9IQIu6QK31ULYpCCljNPirlYyclK
B/q8dUc6WD347pfFdYbiYMeKMbi/kPu8JTUjJF7SQgS1q72CS+oy4ZxcKca3Dk73KkJ0TDfAXDOZ
vpczQ0EYDPaadYdHCpgjoc7CurmhyWo3AowTbJzhokD1b+JLnwxsE8pPdsQAihs1CbX3XApwhjAT
eS8e95jYyHh5xMZuX0hkEXJTNLJbGXDhjKjDEVd16GLUz0Lee4Wd2StKF3k4sltOOnZ6qP0pODSp
LG5BxlzqhEDKjcQZB3TaSy/itvX3zTwQLsas3OelAnbdbYFLW0QwCPsc+BK1G3NC3tWc9SsR2U4m
jWPsQW+ZDxxU8p2wew09Z/aMjTDq+hqgYXMfTL64HkQ3ffCYOC8bJMAXy2o9ASxqbQvlJgdkvZpB
vh5LE5KFXj4zsvvEHiWvaceQNODHBiG2mUkGmdmZD3iY4r3iWPjkuUl/5+KfYHMgJ6pM/P6mGQJj
XxqgPqbajD9rW3i3jMm2vS+SE0tnfMTXYz4XvgVbowqDDxOVIJav2G6P6MrVha99feXSyiDfShXb
dl7yjzQbrLPXNXDCErUfjJrg1cEEpjM4KVz/fIJuki+xvhVhnu9WT3pPnskTw/rhtADFP6zl3cGb
KoTruTXPke6NiVCEJr1hTAUwWCo7uMgclnhagCh8JcFjM9d/UKHrofbG4JCQnXELb21GUJ8WOxeO
EZiIMNiDKJvKjTW7KUujdp8dpwN1NXlh+zIF9nDFPNn6Oo12w2kJJlthxRbhG53z3lBcDwfYSqJl
HEoAWLsD3lNeF+bcvRt5D69GOchbj/7EJeDumoyBGrpNqlD2O+l0DYcUdY9dimOpp49d4GaXi5um
7+GTmddxjDdnzHtBJUAUB8SAxoyY+5nXPVqaIcp48289QgoPhOHIl8CvgQ+JYusQwnuHYkYhyK4C
AWC1D+9ItdAXVl40n+Y+gUIJOWlXLA0zczN5H6OojyzCoCgefB8zwuLsSEqBBmpaxjPITXM3p013
pepwuXCAqZbr7t9tYSa0W9dK3XyjrOHJsEdSwEdi/+gW4KYLjbkhB1UJqEgE7EQ6DBa09ImNDrMi
aYc4uUJYyZq/MAcQ/Hip5TQAMM6875Gfyk1RUfhmzkogJdBA3iqxpP6DQ3xLwpaHgi1JH3uxtNl3
lO5/6/vf1PcUN6uG+z/X91cZcntaPX8t73/8pT/L+/AP1N4hUq1VA/mX+t77w1+DB16FjP+SP5p/
oJAnt8TGkGGvCU//V9mLP5j82vjdLZD2/7SyR93998qeZpxvr2MRpmiMevEA/L0vJi2BnZGy4ky5
o7oNpg8xDRv3dVFthTt9MJPKRxrlNfdZu9TXAACRTwdIjKI6HPOdta7T+VDoZSdtVdzAG2UhZ6GG
3MHirsLMOWNhgqz1uvR7AR3/TRMTYb2JkbRhEGWfmMq5uTRfN4+GbQQjQnHrE9l6qMwwPcTU/Af3
deOB/RNv+7EQB52l8lSsO9TYQ4LTuNkNdCp01DbVupthXxTvM5YnMrWxr0Tk5CWRk44YeAwbiFPd
xPdN5+J+gEquTiMErkI3L35RBle6AFK4kSoYdvwPqP3WnZNoTnEzxyqg1SXC0iRxmoVitX8cC2kb
n2c2zm9+m2ESy+uApJNKfk2UHXdkabbWbZa2I94/R967vTufqayoMRdyEKsIdttX6m4yTDxe7BYr
DdYnVGfXiVknF32rjc+1wB+8wdZDd0Z39WnJuucpVN19Pq9KrDSYntJ2GB7CcGCBKw0tP60St2dp
FEUYjZ4L9xG3yrjRdch0JaiZf9HFZOeDn5mSm+dHtFTlS0f7biSYdH4vbGFzp+vyE1iv4RjqbNhb
BAl91uZYXmamvDF04p0LObRnGWt90cblFNWe3+99FZBTJUW24J9bRltuGjspnsOM2HS0hN3IT6uM
fm/3Tkm2vQ93s6kEH1SFRBhY8UgEnmewbZrpAQ9M+cjwOn1fDBmk17luHXuzqKaBtufl1pbqzQTN
CjsJTRMP4KmT7ng1uqHuo7ExHRzPFuLTdCVcl8li9tHcg80ptYPJEsHf/C3L7VGCoF7nO3VJj6zN
0/o2Q6q3cSkmLxPZgKTU5A/aMqiuWhzHl7ZB0w903OxSEbqLv2w84sbeYWC2BVV84n7q1OxCi0UF
dfBLyf+FAu2oWzDD28l3ASgHpJciVArvKKrTaIad1aYQKtNl2grpXQPsmz7XvlOczFWnOueGkW6n
flwObp2qC066ArhzONRPYZPHz0YFWOYcd3ZHxV371pduNnsSvsx5vJ80ELjdtBTWhyEs4zpK6m68
szgNAH4jrzBsZ+uFo6acMIQNy32P8Ck4uk4xQ8IMwga939JvwspR7gYKE0r8Mbacd85kphcd8tdP
o+jMekNFDbjHl7o8tkkdfMx9078qPLWYJzq44aOeigbSaM6+DVarnMpty0l1H6R19UKfMXySGfY2
it2toFDBySuWr14rF8AUltXUO3Iw6+c8GXsrKmU++HxZtfxAbQ2dcfHz9hTERHtWBmFBcHi98DK1
1bBtB3nHXJFcrS7jfcbJSxppIN1dQBMcYxv7Lali/Va5bbZ103DEejp056Kx/LNn9uzPTpoH3Ac3
PzTjyLLGmdyPYFWah6l0s3u6Ad6hyUyOLUZIFCY2I2l+sIsUv6/LijphS16isK6y/IAPt1xTOLvr
wiVgm1R3Z7iHuOhyY/0qf4/xtFs2nTU4MytaPJ5I163JuTTm9uPkL2iaXKZaRxx4Cd5Oc+lv3F4a
nxvPxzfbW/l0S+o8jwEAw3CTc47GTQuqaG8EafcRP+D8tSvT+cPi1taV08Pb3+G9CsAQeouMozB2
upt0CeNiG9hthYt6jlEPGtg2LbN9SIq+3QZFOHNSkBmS1qLbito/u+0y4FqtS9JwyemYkiw+5QXL
ZmO53UGZ1WNSe+OhlzPTDAahE9poDpyIJJc6CodJ7FCm6C8aAWO1myzREdY9Ag1o0gl5shmQzmXi
4R0v3BLi8wCtmfPQe+INyvq4+C64sudgKURhb1LpWMPwPI5Ln9/Eiq6IHebixsoRkILIlveiKs17
YfnJLcuiQppS6BOZZ+88t67vO9pe96PVx/YGeHT8bkaq8+zQiOd0SyzdOWXA8S5Y01M3PW2R+wD7
2crvrW6R6Hf7PoEhOWSFy+yo6qNm0vYu92TCss2WF6lqya5HOxz3XeB3+dbpq+o6D01+XVEYYPrK
lBvDWIhXPbTdjSV7cYk+WdxoNdhXUJlidK16iB/cQIoTiW/zIwYemvDpFKdfHW0sN7jJxwoCW9cw
+Vni67Bp2wfNMw4dsDQ/t1mHx3KR3gHLw7hXcac/Fm6u8Ip25P4kVrnsc3ex17IVRPoAo5mUOtaj
MbP0hT1o/wTevMEknd/iwkFT2tnOTdyQGcAiW8T3YMJPjcjtK1ASSUN7wl19piM4XmTDh/V+Pspm
pZDlWh5ZLvxD3knjpiiAZO9se/buylCnX+IBdXVG2qOxkZ3CaeGZw3JetL/cUX7Ph3AJw9Nkjf07
GTfV7USA15H3SSwb5qUSpiaxrHxFCa07vSzmdoCThi3YCbu72aHXtIE0GEYImq1d6mXmEWysC84S
nD4BverUszEyJ7DJhg+Dz2aThZ+t3rEboru97jkby/SjSaTcqW+M9sA42wiQc7LU8PilbNIkrHmR
Y5r+Ppvy4jYOm/lj6/vwtwdLfLCbLLixl5o3L10XTXRudnbQ84yZX0rbbh7qJXxGVI6wd0rJB0fA
2Y1WRDQyfFEUquEHGhbFA2envrsVss/6o+Mjid9oIQCJV7nVmZe2IOL5QAxwbcLkhqtOsBpeeGKW
mCs/SPj9inTRZe+kgLTbUPhRigo5jkBQ32nLbvKLQZZ9BRjTSJ+91vGyF1vwikfox01vJ2fQnUjH
heq0uLIspaaBEHHgDeOZR9aG1OhPNe2Ely7WH6h91fuiMOrP+aQgrA+j/0gjqz2j0H/san/ZVU5H
uHPXtxF9UCZxjboXJcGH8fjNzdKXfBAf/HEeP6HkpIJwJU2v3hs/+KGRH4UflLedVe5mtzIu+XKY
dMFpOtXMG7852ptIBG+7goDLzgkQ3o4ZLkdo8HeONxNcN45uysFPgn1+DMQod5W29V2qqXfIrZ+9
yvg+4f/vEeo3R6jV5crZ4j8foR4aMKv/s32BQfzy12PUj7/44xgVij9ctDnYMEMYZ65YJxE/JiWW
Sc4bwh3H/fOY9a9Jiev9gaDOZiSyHphexys/BiUu9rTAIxYXrQrnrXWG8g/cZIgZ3h6n+BFIczm7
EWpnIqr/+3EqNPt6iOPOuMD5Ot2hLMRbwQN7qkqNj5sR7NakRXvvlALrcePqnTUt4Wk1FmyTopkf
2ciqC0bCuO27ITjySk0eQ4G8BmFi5ZEv6pRFOblPWufoFsO0iUG9RMA1381jcbsmwePoSILIWF3L
nO2IoO7dkOKtJlECejJWNLe0H4aaF6lt7bW8SaprrKb9IyGmKThBsiTpOJRfTGPcLIHzlDf5N6cd
OiYM4x1M3eE+b4R36GY2TYawY3WfwfM+N23QXSw+wZkb1VXFYQLUAE6oVpfLLPxTlbC557kezq6M
w/3Qj5gvSOoVjFBMEyUDqpPN7HKSQ47fVhtf0QraLGa9HLUpzR04ceDjTEUvTRkcCUK9b01ajYB5
rKuqwL0XqwrkZUheZzDYu4IIik3XBfEe7EAV8cA0OwpuFD9JwYlvJpG8IPWOL6u60INb7H3P8M9V
noso5uS2GV2/3Sub6uuoauZzkderBAeCfui8utvOS/ouXCz7aa48cVKuP32orYYCpO/Crbk4TXxN
4WqbO1pxmaTRA2LTvJjq2NEPxP8WxbjL5iYwPhOgTh+NgITRIFQA/YjcjHXT46DyQKTCBhi6gWI2
X+47pw6oLELAoHPQOYrBxtTNh8pGoof7i2IGI0m9yYiqu1FVPdwbEBeGzZIZVTqAju2daTMkmXdJ
m52TpqWyYmcUpHJsBoJYGI0xerg2lgyD39ZgBpcgJ2mllvIKwSLCBBJXGyzt3oYf1Pth1E6q1vWZ
SdUg5IfGjr17oHUz5pAQOqVBD4ABtcznu3goqkPdNYGf0L1fDVt7BCEmMipXt3K4D3uY6OIJ8FBv
PhiktHPANkLotCBtk2rErUBHL1D0wwrR0KO4mlFJtd2e4JB6jKzStN4TE6zuZjajCv8yVJi9nVl5
ExVGorYZYuU4MsAlhBjSJuNdWnhZsbW1X5F6Iip1RZwtPeA67L4gplglMWQE3SO5pBRjJenowxag
emIPWtC1kS+2FVXtYjIGmcVESxhYRUTbHRqFhfHjDI05PSIvN3aZBiHNwW5kx41T6BLUkmyEHOwA
3HfC+dilrr0l9iW56dKluxEcUCAXtC0oF4s4EH4B80qbvcdctDN3qi71MVvq9hbnYv2Ow78ix6UD
V4sPKO9p1YZAPAkfpGYPRHxCSGagOyXootgk+Mm2JFYPCIOs2ucr10UF28MZlg2JbDbo0H64Hye/
vu2CNjn4ncuEZPJuwnxKHuOyVRe0JWxv0xmJ/vC6yv93Q/zNhrjmRWJ4/s8b4lVTD28iT3/8nR97
4euGh7AS7fbq1EAx+H97oUWbEB0yfmZAC0j8aCD+SQGlEQl4AmmrYAr6fQf9czN0CY9n9/TpOaKt
x87yTzZD11kxFn9RDaC1BvTh8I/DtC34CcfY6qawY7obN35LLRqVBAwwCE5tltOOme7Rxwha7/EH
pvCWWHmuEhvQQkn3+ksfB7rZgCshMhpnZ0fAi+7A6TcMXD5raYe7qs4IdHB5Fy+brpDl+0y73SVr
p/kldxJFdvRY8Iase/SydgUm55AZIIP8YfDtEwv1NJ2Vk8n5Srai3qXouegj2NBxi0UUV6vuK7LG
mFTWxbg0R5rpG9yzSWTltba33SI/MvzArGenRMhMylxobcA1QnQ7epsFD+o+DGJeLfjIXhq5Is2u
ShSBp7Ec/aMhoS1PTZW3G5nV6m7qjIMNup7Uh/D9XKOcSI1ywDearPl5y6Lz98qjPnZGZgsjtso0
tNAx5dqSlrUlXSIetmNTMuDfoGv1OHPWNpPhBi1QpDkvaGvDN89dNvVIL9LOvDNIJca4ZLeIixlg
7GfuyHJRgP6J5aMWrT5hguwN98KXiSp2ubQ2mE2Fag8yaNNyZyt7Zmtwy8wtj3650K1GoKCDagK0
w7RmcI55ppiPqKgvIJ75F4y1sXzpyKKdYytmJ8WYc+YNE6ZU08liFw+ni3IOwcxRQ9BjDV5lf77f
bll63A+TY1v3fb/AwO9CQ32hzdXm38Lc6r8tsQkn/9pmVPy/7J3HktxY2mRfZWz2oEFcqDGbDYCQ
GRmpBbmBJRW01nj6OTdY/Itkqal9rbq6uzKRgYD4xHH3Ah0jwS9bOiDJZ0IG2q/1hFaO0CZ3PE0k
wh6h/gAu7TYLY3/Jh/SQCDbZmzbP7pg0kUSQME4JMZu/6ZZ8ZBqQYJOVzxlpEjWx4kiztaND9bKJ
yMLerkTE7QjouIGTmO97axBJECo5DvJuSxQFRuXR0XGYU/nC4Gz7euqEexUVUL/JjYXScFbbLQ1H
91bpdf5J7xvNIKqjs/BoI6fM6x0M+HmEpy37087Vjp3RT54wovxI/FGqkRwyfIhTuE9/rYR5y8sz
MZlK1tGHqBXqFcZvxRZ7RYWaTJSBzeGuc8uoiUDQ5ruy6rUdBvGMWYQW2rjrORPmQbqK6bYWNZgD
6d3I2McqD+OkMpfEXIsJQZ+LEwjqemQsoXprqi5BNtCqtUa6ddQCb8g8Olsxo/pgENYJURIa8DkL
P9Aku1t03iNjVtabWUMc/KDZ9RNo7NksbfNOXtk3odapASNyXBQb7XpNmbDSxfa+Y9QmQsmaobIw
avVrRezZTWVm0WtUJ4gKG4EOlfD5fZdbNdWPFe3SdMx2iJKAaxppjofF2662WvchEorpEW6pn5zM
fl6hC0ojbXx2/sRdraN5YmDCGDrtpheWtDLaPpun05wY+vvCXObZG1CsR96Uq8a9pYtho6FG/apg
NlkQ1jbE22xN+wOWfZ9AuFyfIGe82pRhaVwvGy3xUBsTIAsRzNUncclRSUWkepi1mR/7Atei0u06
fketHNAtI5ulNPOaYSRmWLWqY0aZ7Tu4TG1QQs9bo4yc/WxaoTfVeMp7A+amW8LsiSOyhz650tx4
eOxZrPg55+exm5s7LmsW6fpycid2J2YWuniOxzXuWUZjH50WPoHxYe58nuk6bt3cSXDwrcrPbHzc
IFeZBXg1UKFFyoFQqdU1kg7Se0zRncPCMC/IuLofNAUDUtbIi753ByP0p359clQG98tsRrZn2w2+
b4hCPJa7xocqjzB4jAeFIFUNy3tUgeZ7LHlcINt6vcfBPPGZr04vWdyVuNul1bWe14z+R3v+xOJ5
3Iy60X+lyFf8zGzWTQVkBSKtG686/PnNqrGfGWdnvV1Ks9pqedTf6m1bX0GygRtouCz6uDZmBCuQ
cLjpqkZ9A5xtAzEDHWDoio3nMsUGsv5B8YTWR19n0lL25UiME3YLqxKsXFobKmHMDzGvsTwniqeg
JJni4EzsAWxntK7hrSKfO9LYioguImrc+sqZzPhYuW3NNCMeg75RmYwubrx8ITu8fzDHqElx6gnj
oFMXSLNY6wo/nBHya9qoH9aWYFMfpPhLUSTGRpsrl7GuXl3PaZ36Csv7E84E011OAgdxTO51g243
8ewlicODAVl2HasaqWUsED7k3ag/UlLW13btLA/qBMvnKVbs3gt3Znfm9POhmsNEsMgTgANxot6Q
wZG9FPi+vkRO2d6WQx4+11mYXA0Uql7MKvtJa8VCpVmlu6Udl0240FTCTiEyp81RK585p9ofKHNH
4jzs4QkzEnXxEtGVgZKYKKFNujgWDupt09mRsbEZ+B/LiSbJLzICRGmTigyjMMl/VcLgPPbTq5jp
WcwxtnbLXJD+ljKSOmqJZn3S+f2KX4VlQlwYA0IrVd2XZTW7vSpWXvROyabLY2+fbK0ks042IMNj
aI9EDinoWaiqSRIXgTPNp6Gp2m1XC+Ta/xXHZZ/0yz8UxyyiZcn618Xx85e2oD7+aVD07Wd+K45t
7R0Yq5RWwfthGCSL098GRbbxTuBAxQpdfBv5/FAcm+/kAEd39N9B3O/Fsf4OpRySGdxvoG6Raf6r
4vjn0lhHtkoEEmp1g3EUF9oviiVHG4c1IZ5v76BS4omHZ2EaoXb44Zz8iUXQL8t9THqw2tIQjAMK
oOL5dbkfDiMTegC5/ZCWJVGQyIM9Zw6rD2UPrk/gHjrIleI5qHC4+dbXfZr/T/Sl+pNjy+/rx+r/
cnA6ALTdnDY0rb98RMzkyTbLHHcfCRfJl912E8MdjeOC992njJnfyGKtXa8rEyMA0Eq+zAot9MZq
LSPA8gLPE3SAu350ct/AWehIGHN80zkpTkdpHrJtWdp60xEjBgNgh/eFlU/B35/AP/0QtE8uUwI6
BVomPuSPcsBW1EbRr+6+WWd9MwsSVAulEIfEnpanxlCJGtEynIuUggQPTUWMTyAIlrdVRMJIj2rx
1ipRelYdpqPqiHep68Yk0wAjsxQdMYYY8YItkqHfLuVK2gn5x/9S/Hr5HtBZopdGiwdH/ouOuSPZ
ZUBH4u7psKYA9W3uzUiOyCf5JxvBXyRl345EgDXCZdORXns/nywTsyBQB440Ykm15/HOl2c5zbHt
jeZONfHF/ftvR15BP/SXl+PJyAohPRHQL8sr8IcvR9e6siyUnONFSXvHEwXcb8AN7u+PApvz61Hg
3rGsgcVxkO//cv5ctjJ4ICjOvkUmzdAWlx3DTfZZ5zz+/YEuLn+/fB68jVgNceMRiPTrQyGlFnDh
ORxcPbT8sNodgxkWEbtl4YtbCqNlyBOT2FVVfXaPMZ5zqnPQNuyqw3vg3vUKT5TmriV9I/Gs0aT7
0ZgfE/FosN2TthhVXi67hGvzCVFZSbAn4aUwouT7Uk5HHGSuhb7RHD3Zd+jRXiZrTfZ//yG/CQt/
+pQOwwqN0wncJPX7v4zIQ8Q/WAMRKIiNKlhQRGWETKA7KNRd2yrrkLgb1dcZaELSpgxEWe7v8yId
tqNW91sCztpznSWT9I8xAlbC6oumZ8nZdBfxwUY0R7VubVpt0h80t2iA5KZc81sLkISuhlTfNSmD
fsRrK45KwHwMvXZZtGV7Hn3gcZbtLegBxFG6ucfapbri7RLvizrUNwZ46l4B9/MrMyk2sS60XWdU
zmMbmukBMVwRlFrDuBVbnk9kNlkoIbLoIOp1vKlzbQIGWG1xKhxkzDgxmpt61IWPGePgW4NV5X6v
RRU0UZU9953sHBnal8Wi3ABdLp+JruvwF4qJM8p6Y2eGIsXjzIp1f81qK1DsVdyZsaE+smUoXuwo
zr7WWoxuL1NdRBmyGaU5AInx0HHNr7aDfsAu9HZv4u5+wAp6Pq2Na91YBBsHvZOUFJBFQoIdy4KP
RPiZb2rTbRQgHdCn7IuSKc41/lQKTrIJI1u7PRaFxV9taQ2KAvcwj0p5rkI8oPW5nHovail/Fbvc
qXV6kuczYGDBSMN1FA//x87TCuO9GWN/I+ZYPURZUZxEWC9PSp71yKyICTtrgwL1uMiRpcr7xU+L
ydjplescQFSNtza0utuU81QeiP1k7m53xmMmtmVcc0WMuA0NjWG8VfiybzPIhsCoZweVo162T+XS
DX5Fh8dXM7PiZ4W9n5aBEGjjTg/JDOfZNh76vFq8Bc9AkJBY/wxyWUA6afXd0mIvhCu9r0wjfHiU
43EcZq0Hk4qGTVWPtS5NnSJQj9Sdo4cyja7DyPoQw8fs475X70MNhi5tLSJEszedaX4wtR2le4rN
Wk8I39ZoW+1kz8N0BBd3PQiDmQQCI0Itz/4X+UqI7EWJeUQN0sapTH2RVvOVQp7lLutmtrcoRd4r
dbzwx+A2EOuZIMCadF8CqJqRi2uc7IDXULbFHMoi0nxKkoDIRX3Xdp1yZa5VdcIqVfXb2VwwgevU
u4E8MobnCwNAT9XT+matVL4hZjxsgxZNHOJyzveawZrdrrhdLAW8lh1Bgx/TsNEntlSITVAS9nGI
YVdafmpHEb2moTZ8lpLgV2Nsp2PhOOMhG93eG6NanFpsyTABz0LfDNXxMGjcX8qS1dhk4NZGnmqK
wdahTFxcxAKtIW27gGL0ZmWdn8TInAo5V3zA9L/eiLwSfrrgP+saQ7KDPilPySx16uQmA3XxX/FD
ywimZdl9BPrJAqsCwlIsNCBNp2bbMB2Xr/jLT9VZXSIsrWuKgnVcVK+tdEBvvXCCJOLNoa2hRM2H
eoOoVsdTEO21bbGsmtqFhUSM7e7aq93L6k7iBhMI9bwkajMEWKNbgHR1NX7R0nYKYA/X/ZKm7afY
xi/dqhL7OU768gR8R56ySn2BD1EMVjFRnYyUfDSfKnavLFWCMEdd5Q0aXu701tl9HonmNU2NLMhU
NMEJbli3ilkvBBNryDNFk23ryB2eq77LD2iCu8+XKMA8xSMvhR5Dtkv5ZeUEzq/4Ke+XxajPRkwi
nw3ls1smA70xyR9ZgOcOGHo78smzJL5x1WIKTLTXgCaQMgLoHiP3Ouy8TKz8jO7m3QuyXRPBJO5u
hC65AFdjz0dCnxN5PbskjGGz1NywtzRvNB4MQA5dssN6ad2Tv0AcsT1glsQU3K9Dy/WoI1uyQbhe
NSNevlIDj8/J2PJcr/TmmDLqy2mZhb7T1KLZhaWC4XJbKfcLB4gDJefNu2Krz58NtPphwtQgwoE8
7u9Vu+afsmi4b1W9CVo71l5VB1dbjNx29thUuy6V+VTUi8aVOas7tnqsrtrBOI9GI7a1nG8XmU7q
SJ7G24p8V2mF+aiFCtL0vk88M5vMDXOX2zYs3dHLYmIj2hqr/B2n384+tcJp4lPbFc3I1cz8t5/L
gf1WgT14a+hteHKRbhHfPi8dvptYQMfn+Zvp+uX1/t825x8aVp0REoXhXzesN3FS/dit/vYD3+lw
9Z2J8YOq6pg+yE3O792qI96h/NSQ10lBJ6g2Vff3VY72zrWBF3Duoa6XTe7vmLjzzpAZPNAOOkAb
tf+/6Vb/YJ+NnRpVn8kDhHRo/Q+bnHAip4TobvPAoqMOAz1ds3tSMUhNlEmIzPm6F9dI122NG8JW
w00B2zA6SnIj5iezdOr3wkq7F8a53NMzz54fzuSftJq/trn8dbrKx+cPZB1mXezWf+gDaLhaNO+u
OKSjqN7MWMy3jInkA3GmEm6SfNnx5B79jjRi8Q8tNk4mv/YHcr2lCbB+WhGMSH7petjx5LU1JA2w
ZvhaNKHhwyol7rW0bbcCq0Y3qatwg5wmy76ahZs88RxPPsxruX62h64Zg3pdjGOEcHOT4Z+6w+9x
yDZEqlt3duxAj85EyxLJWvQnVJL4XkNDeGvLSyslh0ZaN3TFTawvJCzYGvsX1WnASNnq2MEwrOy5
keQpDbAE0sMR2dV7RnQELXUINNfOqa7sDhClBUK4x6iv3FbwobAHveFgr9vQsEKGkshj4Lv5olDE
bRiXPw7zKsETpgc40Vl1eW4FhIQSU/7w4jPG/aIUISv41fCgPngWrfY0kq/BA9Ov4zIGvZ2X1zKV
UnSFrcYJ7+IQ8nnpX5wJj0MvUXPeWiqeuCNPZcfaO0a2bKc4txAV6IlPbgI1o2rpzb07KOmd2iWJ
FjBEUd/nlWrhbIFBHjHSs7uZBqNNtqMxg7om3Er3uH1EhKE0jZV7BA31j9pQxQQA2dNwwJwwjwLk
tv39nBCh7WvGxO4gsTR1W0A5Uu2ANBg4elo1cc4iWo2rcm7VyYuiRCddIwZCSdtV8LWmitibuHMS
xCAsskJN89VOFwfs0Cpvs7KdoUYbVhkDnr9wbYCKXqSSF4X3brtt+wmNWa4ru1V3os9NrI9bvAm2
ILNjwJ3qHizdLu5XfRkNWLUhPZIGlAaO2dtvMaTxfqVi3rh53WPEBsO+7fWeLGw7Bbfwm1HMJFLh
tLFDsKEx/3bmo+to4TNqhGHvTPFUSweD+IuY1PFGq7TZ9JLSLr7ggJhV2GkyrGqQXyPoZE2UUJOv
Jp7ydmulAffeQxwpqXEesmTgtZOGhTU94BGczLWH9rHiLW6ETeSnc8hcyqn77HOZxmHieH2b7nS1
mj5DhRaMrDKgeFClsh7Va1aUbfI2JjkBbm45Cv2m68h+XYdV+nkZ6fhqzQn9/8Lc+21VDF6yoTvM
LXcFCUKfiBmgAmrdnpR0q69EsumHlgzoihT7azK3aYg71e61zYDAO3kA41mWPZQNJhRKWOLFUpVt
EeEtEkf1B+FOtONQjcSlYt9ctn40ZWQkI6XhVUA11sa4zwaNalRvXcWgTSP5nUt9Rkm64N94z85V
PgxjPn9GR3oDRGWfieJpXBaMLkdr5WcjP818QF+hTZvG7KiO4lF0L31ipYLN8chfP0f2um+qGTik
mur3mPVW76cRiajnmmM9BqTAGs6mA1RWvEGdh49q2g7qNTYYpnp2wwm/mVqvq7e2y0m+rZV83V4e
5S6fnL01S+lNn0oj7Uzpx/Oc6Otz3mHdDF8zGSu7tFl29CgkIN6WN5NgdLU+Oogh+Y8swuiO6whB
LGq4Slun8bWM5jzpkNOZ5RtyHXDcpcWhichL69x0Gn/xiP+csp3YWqXSuJNS39Hzm6Uk/tyj2mXK
A+o+03pE+o3A47YlZMjJb1ozZyNWRlBCJO+MI8ZONn0je9a4OOETbMMe8Bdw7Ra1OJSa5qC7bMhw
91bDDIcAi3b7gzKW0+JxcpDN5NFaagg1LMpcMqYcmrnGnt5XrLRw+13cInCstPJCRxWHiH34Jpu6
6mOn9U/GPFnk6bqpSSCdO90NZJnkgQKkDPUXO9A1mpMUIwt62CSBgnWrDSobGGMMZerRUp5ifPIe
9WyYMWSOB/MTHKuVeqOhUR5OrOP1SsHHWTPnk8hTXE3jMT5hmtx2Xt84zBbBeMyNM7caysScJGcd
4AkYKFQeM94zOBYZLhEwLo6lntYUts5ypevYGlb4HEEMMxzalZOBMEUbrbQNeI5HvhmZAmqcB35X
GN3Lf4Xj/8+mg+GhzD3468Lx/OVj+9ZlPzGxv/3QdybWxCJECFokQkhZTMjf9yMTa0IHWQ5p1Rfw
9XvtaIABUcw4xPFgyPVTwoL6b2pFdiU/F0QqGxJm5ULWnwY7OfHL4D83BgX1QTyejGJ1xxg5HSNU
9mWGaFIubdzOxVIXB8wu4y+sepEwZFLNYEpdQycVDnnhIHYo+fOvW6mA0KUWYr7IInqpkNAvYgnd
aJUt9lXDq5BaivYiq+DBN/CGdJKzLlUX2UWAgdWWvmEWhv5/MY1zL5UaOBg1W3V0CqQgannbS0WH
exF34O+fPbfLNB2la/DgzVIHojYTjvdqrGBUhaXPfR47xX2r98+Yj6yHztEAMKWuxGrM9R65Snsv
Lay3htSfrGE/b5TJ6I9ZDf+CrXjmj5Y2b0QsZKGTNfnjkKTzm20XDflrVRh5YsXSqIFXuAVdjl8g
aofFZ3VaB0Y06ls3tuFczCa+N2cr3YyqGNlK4m1xanEKOzlN91Sg2yP+CsdiZruwM75q1Otj2Q+Z
r2rzx2yeeVgY2LngcjcmpyYpYTbL2uw+kLQA7NDwHT7lWVqcnWmMt0ofr8e2EBgcxNBNQT46tnRQ
Yq+Rhkpyywsn3St5dDNlabq1UzTua2ymfscIeK9OFeBEXA6nUtHIl9EKLM97zNwfWBIM2wx9mN+j
4LlxSBzcL3pTXtuNOp1Y/S57aHDjDS+C6pi6Wv9AjE7O3CtTsg1x5z2caaw7Bx7pw/WK9mHbaLYS
4Pxc3hEaaDz0i+jfY3qaf130Tn3UxyEJLFCvm6IzlbOR2Jhhq/0r54o6u0HLfdt0TvFKwThuNacu
g5Kt9GYqM2z/VFPZKEY7I67ruhutr3FAm/vZJ5eMkMKUC4coBMV1Pxlw0a3ftAyDPSpgTPznXIrr
4Sjuym5kAGa5Tb9ZULATWl2NWwfXSTwoxNuoj87VxQKZhUR9Fq0W+QOzKGqCFQ//Dp+AWSMmdzOC
+ZxqbF32eVQ7e2CB/EtaRumtWmPflmTRepOZaU3tZYbKJwcxbeGFUae5XjNZ+eyB8g5XZWLZNL5x
fEwg6Bj3hmkgTaReE6atL7wa55PlZuomFt1wndg1ksiqbsa7VmKgzYUIVS5wqJlEj67IzBv5bgMQ
ixjVAJMmEivV5bQ2MyVrOly4U00iqIzW8NqKJZhqXRjVbirhVROJrhoSYmUn1x7MC9nqXChXWAd4
PqsNi2ceIzUEB0BsSb2/QfFnbhKJyzJ5gZwlA5ROSOK0rQRrC4nYthK2tSR2m18IXO7t+aW7cLmz
RHRRz0Drkp+mEKoJwgtJUxyHFdGLV1wY31FpzHFbSvSXAFxN8ylgJBGcOdEzJgZwwrbFtNsXTRPy
JEnqNViL6nN+oYsHCRobF+Y4ufDHqUSRo1FSyemFUM4lrGxcuGXc9mCYsUGCZ64l2qxLyLm98M5R
rbfAz/k3FFr7jYyG4ZegNAwGXiQUoheIelYlUR1+w6sju6j7e3wlhnFfSWfj8rjWekcR0TtpMWNY
MOrZ9NCmc+R8EhFkXElsbq5O5lOBT1hjbygolGyrDEOffl4AOrWM3FqtbXlx8XL7b4D0jwMk02Lo
89d1wA1y8ernoCVx+ZHvNDDIL69+Vu1EAuGGKreL36sAXbwzAdkc9CYYgF8KhO9lgPVOt2TMEi9r
XteENP3PCEkwXaI8h1FgqoFVs+r+m7KAsdMvZYHJE8tiXAWmQb/OpIv//4cpTdYNZNgMbnKbZjQY
rm+wLie7NsqsGzeshbgTVoPTX5WT0rvFFIcxmTeNieVnIdzsfG4gjbnJIAa9Dp1lb9zHTq7k84vp
EGyt+hZxlF49ltmeul2dbvu8UT/j2jTRmtswBo7farGjevqgVdgoVaw/nHFXuSLaFHGTov4ota9G
RAIdEobG+aiwVPRn5AhHOxMNQ/SId3dv5/fwaOEOf541MJjFM2dP6GdLwxoGj2Yeh6o1r1sM9gyh
PNmq8tGZLdx6TNhnJDY2VOSYHJJ1TU9zJpKDPZrDh0m2WYx1XMvDdSS+b5GmAnpV83ILKBK6rBGm
ot0YNZ+Yac7a09Hx/A1cNUaDHTKnGROm4dFkfUymsX/qRitOz6Y+K7jZ1/ZN0qo4HSwAuQkLOokm
2DHxgqELhOB1ap8sVBN9XwZ8E8truKBmUFSXnOKFHOAH/JxDMI0KE0KfyN7xkFhhfLVO8/yKI4Bm
7iwxs7DD5GrjYqpaUmCkIKA2ewuGQ2AHL5h40iBDsHW+Y4/FUelKlaRkE7bOL8KViFy8IAbPyKVi
Ol0TmhB7jrs1SGlLSGXJ7eU9Q6TGuuWT6KqvMxyY2YTECDzUwaC9bTFOUtL4q93mgvDUJNt3iRi2
U2RYgdkkbOOq2L5rVqZUHlEzUaCTiIQBTNEewRfx3C8a7Y4EoGlTjoV1DIW9ID9tTevzBLsezFBC
Z5twKbwGlqqIob8WxiXbplTqE9hmulyrJQmO9ZGl2uTUJGuWMB8bToSofUYYvLBEhkzksJZodDzV
oFoovRhzM8Y/RSdOSEpLLfGYBzgOYCX1tQhIJk6MO7xj+K5WbbQfirokFdVmCVs/k5VqN7xHAWUX
zM0ZGKgxnlHGPNsd5qBo649pFbbuyaoB6osG/TjYjI2lV+4saCVHXtqdH2J5diakODmN2EFdWWE5
sXzEncvLumnYLHhQL4c5YuPhd3JP6rEHUWP2T8SD77EXz3Fy0pYe6HuNlH6vtoW9ZaWe4Me5aLjK
NSNxvhUvbe5sjPKIS66XpA/aVC4p67Aex9NKDd8QCi4Mv0IYZAQ1kfBS8qq0q5eyb6esLtWk89ti
KOzreS2mc96Z6q7N7CGIIyOiNEZOzOrDJgUASU5yVqoqH7cjblkx0Teq1QZF7kyvOtX1rkc7Ex2F
2t0jrU7XO8aHn5TVLbmnEAjMvgNIaJ77yuiYmTUscLfRsFSvcFOq8JxliB/X1dEr0snqttzxP7LY
dZUSlwyeRMuDaFyStnTTwvCWURX+HLka60AOlA0HA1HVV5DFJ3PAWt9gobY+jJmOKdiUyXi0lhDS
wKkV+vauQ/4DbH0nyklm3Qo3RUIX8TQzMXxDpdCku3U2nGOqoH+HQ1Tm+XTJdLCNrkTHVLe8op2w
2+RaJL2u+K6qbVSvKeonYdwplDLj1hjiPMBfSr+qrNLdkJ9COJOS1DLwK8bClRIzCVRCxfieMxGl
H9vGTt9StVee4FHG90z4x5bhsRDca2IeA2wEcXLULKU/4IUofNrBtNuAgkftFf+CGDxNYcrksdfA
dsqzHDx9jygNTDSPi7DNWsWmMWd6Og+MivXOQrNoWi1rXRLExj2UiFFtQpqHqPcqk/RIdDT1ANdG
zf+ICbHxPE7ri+ASJlboEn3mlqq+t5zJvrNMRsRRHy5Br8fNwUZCoG5YeOubXDHxh6lkfFaJYvKc
k4o94udkF9r11FbV9dqvVrpzmsp4bfr5NULz7KIfSzAb1hKCpfxxVPuOCjedh+uiLjD3WLTuvkA+
2fosYOfoTpsxIcdVX+TLuuwLw+5tGiR8xoh0aTCFcc7CyX5LWv2vnvqnekr6jP9dPXX+Mv2v/VtR
dygwv/y0mfv2k9850osVEz2mYJVAcfSdIdXfsQ1jDqM6MhsEuvL3rRzjGHRPUDNE5zCVkbu83xlS
1lT86wZrb5AI1fg3JdUf8DcmNwbyLwFQRa7tr2yiUKw5wkxiJegI7sRYeQXoVvT8w0n5k90aH/Fn
+k0eBJ94gFU+5x/yOnpMBGsMYdf9gEuox6tlJfJrtP06E/3m7w/FmOoPhxKcFtsU1KLmrzhfVdDh
pRGs2jwm3Lt5ggRFJwdMkwqCnPiAfaG1GJ6vpvAwTav+4fB/OJ1sNiEXsX1g2YqmV9avP9Sner46
5sQ6aZ+W06OOh6STdMHff8JfSmDhyEOYyPVICGFOYf1SArM7WwY11Jq9qU2Ps2k8s/iq/AHZH8Ks
5svfH8xwJEn3M2mnCVaLTASxv2e7zIX44ycijV1YMyKSvZiM5ghQpRHB7irFMTNpbvNRPIlLVDvZ
nT2x7UaVFl6DBQcWWpdodyZRKAT0iKEBHjjZgUQ0YuAZz7sNAw0ZD0//ys5Kb7RayjZcAtRdHQ1q
YXzU02lHf9t/LYVcHrS9qj8vRKb6yuLiVMrixDjHzYCwAwIpGNRlfl6Qnp1Q7EzSbNdueQE1bvFo
mXn0kiw2VXnRGndhVJk3Zl9m95asqEdB0U+0XnQeRjYptL8hE/uBukg1my2183qgQb8eUoVXXVF8
FdTvVSI+oVS7A+4o0Ko5xbFW5w/RSIXsFqm1ge4vvIJ1dpDVa7PLWHP5LZsAs0unL8iXeHGk8U0N
ZonEC7mY0KHDmHBZ5xng2XcVKzzqvIdsRQuPKcsgHAjt2kvGEcN5xX2coVSCRUvT8+o20WNvCQyO
HcZy7hiRt4e1zzyFmAInebhJSWi7RtbmDzE1Kouq6cqMAHeAhpR+ka1+5B5o4Yd5m5Ar+djgxxnE
jHt93UnsU80mUSXaFnPGLUvK1noSpa28xNnY3mAowO9xCFt4rDRsbvM2GfbAvUwk2xbvf72RDp5F
gwI8x/RDL2GB8B/hEikaDGCqaiE+sdQwlhr0LUs59VlUkIOsjWZfiRN9eD/ALzG/UhftRHBk9JjE
KHLKhNz60CrIqmsswuinRIbGKSAqYRi3d/WKeqRou1PoLsb7ZnX6RzEY2V5K6K+12bD2Rcm1gPFI
soVMnHcl1GCMZgrdZjJgN2kb8150iXunYni2w4uxvaYyrW5hwwId/6zraGaGhelVrm7biZBW3AyY
2yVUyTj1mMmudcVwlYRT5hHsRsOBo1kYGhXjs97W5LbzQzpkMUY35ss8UkcWIZ6P9XRXL9kTYkTm
sGOq7ERRjlc9zpNkG4LWjUM03ZG4qe10ycLhp5Tvl6IXB7PuIOUu0JwamdVNcUHphkhnQkploN6x
J13eOkndEdvJ9DxKlateMnnGjAG1ReECqFfgT5+Fjc2+UYJ8mBsA9bmKQkUtSb9QMn+zpP+crC+p
+SECozCcrmb0Y/itUIpbkhxkNBly72N6ogvKLjyqmLRK1tAArT+ueqydpHEMzBtMYlVVKXNYYFrL
jt9wzHtxJcEYSZaR4l/d66PxweZ7VZw8eshk8cyEnHs7WY+9wJdvlHzkKpQ+CCUz2TiEYlpreq10
TX2HTicPCGD4DIrIYop4NjCGMBoPISZHG01R72bgzF5Smqky0GLgYrZbM34tiEHz1GqKjQlQNylB
LWnPQa+MNzy7wR4kC9rNW8A149E0a9cvtawtDzjZdreDUhtvPLedQyLJUugDRrdyfhnHA1ijCcp7
Di84qkGj/FRpTn7igbQeNFJKPWSq71tJsuJEongT8iQfRgYbPTU+gVzsYknAFiMbSVgBNrx5oZXn
rnAO+ag/ZUXMbCLEDjVyWlwyHKRkSHeDUHK2EcBtKMnbFQTXHnTxNqii/pgO+ErXrD9cz5TULo8E
6yaRJC9u7vnBknQvrjdZUE3r9Ep1a6CibDmy6kLJMgngBvKUcpYyWiV/gVBWUTjBEZP4YQUEfmoY
LBRgxpWZY+Yu2WOLqAnuE2v+XEgyOZOMckfLn7FffTZjE08uNwFlbtocxI16309xn9zkknkeJP2c
G9hv0AXCbBado+w1Khu/aexPtmZQ0o8u33sjeWondezHvJu1HfkQxabVxeLb40IgSyYhdUllD5LP
rubB3JuS2bYSLdvHCtbqjjRNSKAYl5jTL1lv+CCCQhiPsclY8keD5FbfVLWa0J8+02narI0l2fF+
ycSHmfHJGRnK+tKBmBP7DGye1nDnw4VAlyx6L6l0TClbL7e4yHh5fi0lux5Kit2SPDvvx+kwSsbd
xQrYtq56rUBfHuh5N3yrK/4r8v+pyDctiWP99dD0ltwFqdF+KxPm0F8uC9nD5//7v+m+5Q9+r/HF
OwpbKDvLsVGt8E//U+c7EsxzNcx8vgF2ki37PjrVGZ3i2wq0Z2gU4ib17G91vuG+o77HVUhzNCRo
kpf7N65Cl7rwp0IOiZhsGVRdUJ1S8f9cyOWs29eiVpc9wb/ZEjDApI81iQs5YyhOMqCrp8QTI/xs
i+3UWwiM9a5tD8KpgJbWhtecH+eqAhDf9TmZveyRYe4BVoPW/VSP/f9j78x621aSKPxXgnmnweYi
kg9zgdFiWfb1HsfxE8HICkmJi8RV5K+/HyUrEb0mlwLmYjBCgCCRVGy2ml3VVafOsS/LXq86Cysh
DzU/X4t+HRJDkFFLU+oTlTase4GCrrGaAnky6gqKewVxG2WUzL16LNHL9SVJK1Jp85V3AShRHhlS
Xd/Z8GT6MKIhJ5BYwP5HJKhWEAkm8OrICMSbQ7GWDaeeI8SD3k/cpIpQcSpBO1uLITUNe5h70Ylv
1P5MEsKdltB4nq/5zle9iuf5kGqb9qeHujYKSwYYF9gPLKhQct1VRrEEfsoy3eCsoAx76cdedl6U
qTQW9hz1c9nWgn5MH9yIdC661QaCFtD80N+/hgO1LyXAfYMwtNZ9a2nL/SLQ1TsTefgBngUpiRzA
9im0rPkoovXtRFFW7kixmHnN18RpWVvhVSapveOsV4fX9FzFV3NgipeeTTcTjXh0vXO8JCFn1qDk
Ss84RqVPzgYNwyj0na48qoweVdiEEBSif12+B82X/ZnH2ldkwbNbwZ5rjsE9oqGrSHN32Q8JIccR
mOIvyHwqx7gGcxwuXRigitq2z4nNCDpVeTGgr7KGT7BIbyhYmfCrI892irq2/J30VzTSQnFjFFeh
FaAgDAB8THbzSkM1NG4SgOqFkNL8QVRL9y6BEfSySOf6wAqJmpFrHaDPQIuzl4VjFdz/KVq7II+X
8+iaGqt2zr5975dab0gwsBhWvbw6jmiVua1yfTXqSXp4UlLplGORDRZUkW/sfCVf5lJqDO21Vk5A
9owXc8BMoQbXuZfL8dCGJd/vW0Vsn8wtW4dCKVx8t8pyKmxLOiYpZaOhkwXihkUObIWaGggDEZKh
t+iR5rxHk7qiQWOpX8estoEwrDNiMa8fmitaarz0ax1CplCvDenYA2jb1yuTUaZkQ92cQF3kwucg
5UlfqaO4k2XgrW70YLk8r6BZOTXMdEU91YMamdzPINAS70ItVqwbli1iy71KGS9BeMH55EGWJWvk
14GSAtwB2HNTlZlOv4OvxTCya2HlijuU+tb+MYfGssEfilrr5TRpeK5n3kDNAeMBLR6Wmd8qykIv
b3VyZxyVkX7wxBcBH8R8hJyhf9ZLZOM6Mz3bu19rNW0OOcJe6nFkxRzUAmh7uT6yURyxFVC9y1ju
B3MBOWxiqx6nHRFL+lfCwGg+KWMF9cYgrufczRyRkWgMYD4pbgvf18pbRNhz0H/uBgq4UOVi/rBY
ZEkdDeGCjeC98vRUGVTLnlUPixQ86JBl5roPofBdens8Qa57IcUo9aplXEGBVNWCyo3w19y+WVYG
MAS4ls3RKkRcwaXj0NQe8phmo6mxsMSi98AcWeTxgjyLTwHlqRSwI5vSEX/1oHCEdRn1AYLLPLM/
R4u8RyJ5RWVroGSJAsxZAqSxcT//99QfeGoUFZqC4Nue+i5zvH0P/fSFXXFThrVIJ8tFMIhjpTny
h4cWoqH9k+mohg+pqW6SBfnpoek0xAkb+k/XbDT0R7IKQskgE9cUPH/DNW88755nBuuE55dpCu2p
dAnjm9qeOV7FMKJW4EetqJYgjzDLZVUdg3ZFEqSRmQVmg9JY4brLs1TXkHStKn+8ppnoaqPxmaxK
GgyXMXprjfJu6Iv1jVdV+hV9tGnTqcfzblMOUqFHK+oTGuzI2EDtVq2j1SC3CiAjdx4Hg3B5ksNy
TpMPIGuahQJburRCjUobHGzI0A4UiG3M71CjVhzyS0iK1sXENdi97IltrKX5KRixVXG7LJjkWylC
qWW01GhwHNEcmqCRQM5OpUiHYA99dQBy3aWMomeouEC6tRpSQKBBKN6VgX+B9B3KuoZSq7B193iu
QoWKCeUUmihFDPN2Ln0rvdD/bM61BKX00Jtfr2MKLutkNakpSh17sZ07lpBJG6VAUkCzwDfcQzhp
YMVFFRgoDtaGEp3OqXrqhtunrgz6sgSovDpTjDqMBMgkc33huYtCmqxJzcBOAxtcdStVIq/loYzG
nntsa0geG2OFqmhO058cZysO5q4tGiWHRbFaNDSkEKSfL6n+oR/VD2EOCIvJ/9aO8LS1DZ3MAQEP
dcN1Pkuqm1maB1m6e3Sad69iP8o+x3/vQ+8beorcP9hjyKwSgre2mM2YNgN+z0TgcF/54+zf/1KN
I3LAiOMiDb95cRIIYuqV27eJMS2UGehcFhr0Dc1r/8d+bxbev8HtdL7/mdYdTOM8ypqfwfWfg0LY
Gn9lDp5Z2JsD60gnzUdRH9xo8+KgtD8HFluxoBdJRfhy89pecG+dvLUS3r+/354D5zEkueSnWeJP
s33fIaiIgH75lVl4ZuPnLGjyEY1OQtN19O6aFwb3Z8G0jrgMnYsQHWxf/6WV8OwOfp5xYVxrSiid
ZkExj/SGqgT5pGe33/DmGvg8Eyrrp0XClf5Bi4BD+QtA1e9uB7ADU/xSOHtDQvt0l/uLwNCP4NOA
55Devc1rG+L8g2ZBpQRJ8NNpEahQ6YAeg3YZrGLzerYpsiGozFCjJLOdhe2z90uz8Asf+uFkBp4f
PG7ciz9LX/NCb31gt++8fP9pT92khIgpWx9svM322ttnqvn3H62nbbPc997cLf/NdZ6+/nSDLy/d
utburnb/eeLPEocG7mrzRvU0zAsnxEf9J3C+OWErncXv0mSz3u43+PH7f2D4WZ8BwR4lys52afqM
o/aA0Rc7hOGFE6VOurPU/IygAlmeXYc8cAL/e5w8yxpuA4zOtpGnTpzHVjcw9ONsHd0tozI7zfxp
3nKHVPB5IrsaH84Cp3TaUAmwDweY7J0L/xR//zSgyzT81k7WWqJpre46fkgPEv+xvQq3HrKr5fEs
Rge+bRmvQFjU1fIJM+77Ozub5U1HzQFWyuTR8VoLUJBYPsAWMgkCP4r99hO5jca6zsUkevSf0SET
gDXNR50tx2X7xyONQBKhq9mzl3sTrekHeF7OGFk+XVS7IW7WBUWGAzwkf8YQtryYZmojB1gb544f
zVpjhkvvAGM+d+icdaLHfdOKTHS6+49Xj42/5BHPnTR1pl6ezrKstabhx9YOMSX+1PNdp43q54x5
gCf83G8Ux59paSgcWw/wwDRqh82f5bK1NyF4KB/I+ltaih0jHKCgb1Gqd7T8XpdmZ9OF0/ZbUI2o
BwifPkRAdh54+el0lqSz1k7FuUwc4NFsBn8+W/vTlhvDeHPm7bp1N8Yf4mSxs7Q5H2zPk51Nxwky
NwMHOg2/HRNDXSIO4B0uNhd4qaODeeUAIclbPDYd18rlIiAiaZ9qoMixDrDJvt041XHMVx+ACzqa
v/Hix9mnSfrCtxkoM+xW5t/3bbcbvaXXFiIpA3EAv7y9wMuF2Jg/wHnkM7M/S9NZK6SgFtOAtLs+
pJ9n6/ap8imN0tXuW0WujivlHTLkrpZ9TjbPTsGqjlRE9zm+d1LPj9ysnb4mn6odYBO8n6XZpy+v
DZ583QEW372fTmNguq3IDeqppj7YdZHc0z/GxOwMNb4H4i/lQ5/5WqbpR0b2Zf5pl25/7Wvt5Frz
iWkwc5I//gIAAP//AAAA//8=</cx:binary>
              </cx:geoCache>
            </cx:geography>
          </cx:layoutPr>
          <cx:valueColors>
            <cx:maxColor>
              <a:srgbClr val="7030A0"/>
            </cx:maxColor>
          </cx:valueColors>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40410</xdr:colOff>
      <xdr:row>29</xdr:row>
      <xdr:rowOff>16163</xdr:rowOff>
    </xdr:from>
    <xdr:to>
      <xdr:col>8</xdr:col>
      <xdr:colOff>588818</xdr:colOff>
      <xdr:row>39</xdr:row>
      <xdr:rowOff>115453</xdr:rowOff>
    </xdr:to>
    <xdr:graphicFrame macro="">
      <xdr:nvGraphicFramePr>
        <xdr:cNvPr id="2" name="Chart 1">
          <a:extLst>
            <a:ext uri="{FF2B5EF4-FFF2-40B4-BE49-F238E27FC236}">
              <a16:creationId xmlns:a16="http://schemas.microsoft.com/office/drawing/2014/main" id="{23C2CAFC-5B05-4F74-AA99-DA0259656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181840</xdr:colOff>
      <xdr:row>14</xdr:row>
      <xdr:rowOff>23092</xdr:rowOff>
    </xdr:from>
    <xdr:to>
      <xdr:col>22</xdr:col>
      <xdr:colOff>69273</xdr:colOff>
      <xdr:row>25</xdr:row>
      <xdr:rowOff>57728</xdr:rowOff>
    </xdr:to>
    <xdr:graphicFrame macro="">
      <xdr:nvGraphicFramePr>
        <xdr:cNvPr id="3" name="Chart 2">
          <a:extLst>
            <a:ext uri="{FF2B5EF4-FFF2-40B4-BE49-F238E27FC236}">
              <a16:creationId xmlns:a16="http://schemas.microsoft.com/office/drawing/2014/main" id="{5EB7D3AE-22AA-4A6A-85BF-E1B98E9A1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160483</xdr:colOff>
      <xdr:row>14</xdr:row>
      <xdr:rowOff>25979</xdr:rowOff>
    </xdr:from>
    <xdr:to>
      <xdr:col>16</xdr:col>
      <xdr:colOff>80819</xdr:colOff>
      <xdr:row>25</xdr:row>
      <xdr:rowOff>69272</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D1EDF4FA-F88A-4776-92D4-50D7C721A8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646883" y="3524829"/>
              <a:ext cx="4187536" cy="206894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196272</xdr:colOff>
      <xdr:row>29</xdr:row>
      <xdr:rowOff>163944</xdr:rowOff>
    </xdr:from>
    <xdr:to>
      <xdr:col>22</xdr:col>
      <xdr:colOff>80818</xdr:colOff>
      <xdr:row>38</xdr:row>
      <xdr:rowOff>152399</xdr:rowOff>
    </xdr:to>
    <xdr:graphicFrame macro="">
      <xdr:nvGraphicFramePr>
        <xdr:cNvPr id="5" name="Chart 4">
          <a:extLst>
            <a:ext uri="{FF2B5EF4-FFF2-40B4-BE49-F238E27FC236}">
              <a16:creationId xmlns:a16="http://schemas.microsoft.com/office/drawing/2014/main" id="{1BE6B3EC-F965-4B45-B748-26F4FAFDD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6</xdr:col>
      <xdr:colOff>379229</xdr:colOff>
      <xdr:row>5</xdr:row>
      <xdr:rowOff>69850</xdr:rowOff>
    </xdr:from>
    <xdr:ext cx="9411317" cy="819150"/>
    <xdr:sp macro="" textlink="">
      <xdr:nvSpPr>
        <xdr:cNvPr id="6" name="Rectangle 5">
          <a:extLst>
            <a:ext uri="{FF2B5EF4-FFF2-40B4-BE49-F238E27FC236}">
              <a16:creationId xmlns:a16="http://schemas.microsoft.com/office/drawing/2014/main" id="{E9AD3DFC-17C5-465C-8D3A-6FD7CC587EFA}"/>
            </a:ext>
          </a:extLst>
        </xdr:cNvPr>
        <xdr:cNvSpPr/>
      </xdr:nvSpPr>
      <xdr:spPr>
        <a:xfrm>
          <a:off x="3427229" y="69850"/>
          <a:ext cx="9411317" cy="819150"/>
        </a:xfrm>
        <a:prstGeom prst="rect">
          <a:avLst/>
        </a:prstGeom>
        <a:solidFill>
          <a:schemeClr val="tx1"/>
        </a:solidFill>
      </xdr:spPr>
      <xdr:txBody>
        <a:bodyPr wrap="square" lIns="91440" tIns="45720" rIns="91440" bIns="45720">
          <a:noAutofit/>
        </a:bodyPr>
        <a:lstStyle/>
        <a:p>
          <a:pPr algn="ctr"/>
          <a:r>
            <a:rPr lang="en-US" sz="5400" b="1" i="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Comprehensive Coffee Trends   </a:t>
          </a:r>
        </a:p>
      </xdr:txBody>
    </xdr:sp>
    <xdr:clientData/>
  </xdr:oneCellAnchor>
  <xdr:twoCellAnchor editAs="oneCell">
    <xdr:from>
      <xdr:col>22</xdr:col>
      <xdr:colOff>198583</xdr:colOff>
      <xdr:row>14</xdr:row>
      <xdr:rowOff>46183</xdr:rowOff>
    </xdr:from>
    <xdr:to>
      <xdr:col>25</xdr:col>
      <xdr:colOff>191656</xdr:colOff>
      <xdr:row>20</xdr:row>
      <xdr:rowOff>80818</xdr:rowOff>
    </xdr:to>
    <mc:AlternateContent xmlns:mc="http://schemas.openxmlformats.org/markup-compatibility/2006" xmlns:a14="http://schemas.microsoft.com/office/drawing/2010/main">
      <mc:Choice Requires="a14">
        <xdr:graphicFrame macro="">
          <xdr:nvGraphicFramePr>
            <xdr:cNvPr id="7" name="Payment Method 1">
              <a:extLst>
                <a:ext uri="{FF2B5EF4-FFF2-40B4-BE49-F238E27FC236}">
                  <a16:creationId xmlns:a16="http://schemas.microsoft.com/office/drawing/2014/main" id="{EE2C416F-F427-47D0-AEB4-73F76F1CBB47}"/>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3660583" y="3556001"/>
              <a:ext cx="1828800" cy="11429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198583</xdr:colOff>
      <xdr:row>21</xdr:row>
      <xdr:rowOff>1</xdr:rowOff>
    </xdr:from>
    <xdr:to>
      <xdr:col>25</xdr:col>
      <xdr:colOff>191656</xdr:colOff>
      <xdr:row>29</xdr:row>
      <xdr:rowOff>138547</xdr:rowOff>
    </xdr:to>
    <mc:AlternateContent xmlns:mc="http://schemas.openxmlformats.org/markup-compatibility/2006" xmlns:a14="http://schemas.microsoft.com/office/drawing/2010/main">
      <mc:Choice Requires="a14">
        <xdr:graphicFrame macro="">
          <xdr:nvGraphicFramePr>
            <xdr:cNvPr id="8" name="State 1">
              <a:extLst>
                <a:ext uri="{FF2B5EF4-FFF2-40B4-BE49-F238E27FC236}">
                  <a16:creationId xmlns:a16="http://schemas.microsoft.com/office/drawing/2014/main" id="{C07F9983-34BB-43FB-9434-60E351909492}"/>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3660583" y="4802910"/>
              <a:ext cx="1828800" cy="1616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210129</xdr:colOff>
      <xdr:row>30</xdr:row>
      <xdr:rowOff>46183</xdr:rowOff>
    </xdr:from>
    <xdr:to>
      <xdr:col>25</xdr:col>
      <xdr:colOff>203202</xdr:colOff>
      <xdr:row>42</xdr:row>
      <xdr:rowOff>23092</xdr:rowOff>
    </xdr:to>
    <mc:AlternateContent xmlns:mc="http://schemas.openxmlformats.org/markup-compatibility/2006" xmlns:a14="http://schemas.microsoft.com/office/drawing/2010/main">
      <mc:Choice Requires="a14">
        <xdr:graphicFrame macro="">
          <xdr:nvGraphicFramePr>
            <xdr:cNvPr id="9" name="Coffee Type 1">
              <a:extLst>
                <a:ext uri="{FF2B5EF4-FFF2-40B4-BE49-F238E27FC236}">
                  <a16:creationId xmlns:a16="http://schemas.microsoft.com/office/drawing/2014/main" id="{C450DF17-8232-4D65-A3F3-C615EFBCC530}"/>
                </a:ext>
              </a:extLst>
            </xdr:cNvPr>
            <xdr:cNvGraphicFramePr/>
          </xdr:nvGraphicFramePr>
          <xdr:xfrm>
            <a:off x="0" y="0"/>
            <a:ext cx="0" cy="0"/>
          </xdr:xfrm>
          <a:graphic>
            <a:graphicData uri="http://schemas.microsoft.com/office/drawing/2010/slicer">
              <sle:slicer xmlns:sle="http://schemas.microsoft.com/office/drawing/2010/slicer" name="Coffee Type 1"/>
            </a:graphicData>
          </a:graphic>
        </xdr:graphicFrame>
      </mc:Choice>
      <mc:Fallback xmlns="">
        <xdr:sp macro="" textlink="">
          <xdr:nvSpPr>
            <xdr:cNvPr id="0" name=""/>
            <xdr:cNvSpPr>
              <a:spLocks noTextEdit="1"/>
            </xdr:cNvSpPr>
          </xdr:nvSpPr>
          <xdr:spPr>
            <a:xfrm>
              <a:off x="13672129" y="6511638"/>
              <a:ext cx="1828800" cy="2193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277092</xdr:colOff>
      <xdr:row>14</xdr:row>
      <xdr:rowOff>23091</xdr:rowOff>
    </xdr:from>
    <xdr:to>
      <xdr:col>33</xdr:col>
      <xdr:colOff>588819</xdr:colOff>
      <xdr:row>42</xdr:row>
      <xdr:rowOff>57727</xdr:rowOff>
    </xdr:to>
    <xdr:sp macro="" textlink="">
      <xdr:nvSpPr>
        <xdr:cNvPr id="10" name="TextBox 9">
          <a:extLst>
            <a:ext uri="{FF2B5EF4-FFF2-40B4-BE49-F238E27FC236}">
              <a16:creationId xmlns:a16="http://schemas.microsoft.com/office/drawing/2014/main" id="{55C899D1-B011-4E5B-923B-0F8C2341A6B0}"/>
            </a:ext>
          </a:extLst>
        </xdr:cNvPr>
        <xdr:cNvSpPr txBox="1"/>
      </xdr:nvSpPr>
      <xdr:spPr>
        <a:xfrm>
          <a:off x="16798637" y="1685636"/>
          <a:ext cx="5207000" cy="5207000"/>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kern="1200"/>
            <a:t>Analysis:</a:t>
          </a:r>
        </a:p>
        <a:p>
          <a:endParaRPr lang="en-US" sz="1400" kern="1200"/>
        </a:p>
        <a:p>
          <a:r>
            <a:rPr lang="en-US" sz="1600" kern="1200">
              <a:solidFill>
                <a:schemeClr val="tx1"/>
              </a:solidFill>
            </a:rPr>
            <a:t>There are 4 visuals for our analysis:</a:t>
          </a:r>
        </a:p>
        <a:p>
          <a:r>
            <a:rPr lang="en-US" sz="1600" kern="1200">
              <a:solidFill>
                <a:schemeClr val="tx1"/>
              </a:solidFill>
            </a:rPr>
            <a:t>1. The first</a:t>
          </a:r>
          <a:r>
            <a:rPr lang="en-US" sz="1600" kern="1200" baseline="0">
              <a:solidFill>
                <a:schemeClr val="tx1"/>
              </a:solidFill>
            </a:rPr>
            <a:t> one is telling us about which hour is a peak hour based on the weekdays. The denser the color the more people are there in the store.</a:t>
          </a:r>
        </a:p>
        <a:p>
          <a:endParaRPr lang="en-US" sz="1600" kern="1200" baseline="0">
            <a:solidFill>
              <a:schemeClr val="tx1"/>
            </a:solidFill>
          </a:endParaRPr>
        </a:p>
        <a:p>
          <a:r>
            <a:rPr lang="en-US" sz="1600" kern="1200" baseline="0">
              <a:solidFill>
                <a:schemeClr val="tx1"/>
              </a:solidFill>
            </a:rPr>
            <a:t>2. Map is showing the demand of coffee in multiple states. Clearly, the california is beating all the other states when it comes to consumption of coffee for this particular store.</a:t>
          </a:r>
        </a:p>
        <a:p>
          <a:endParaRPr lang="en-US" sz="1600" kern="1200" baseline="0">
            <a:solidFill>
              <a:schemeClr val="tx1"/>
            </a:solidFill>
          </a:endParaRPr>
        </a:p>
        <a:p>
          <a:r>
            <a:rPr lang="en-US" sz="1600" kern="1200" baseline="0">
              <a:solidFill>
                <a:schemeClr val="tx1"/>
              </a:solidFill>
            </a:rPr>
            <a:t>3.Tourist are the people who bought coffee and visited this store.</a:t>
          </a:r>
        </a:p>
        <a:p>
          <a:endParaRPr lang="en-US" sz="1600" kern="1200" baseline="0">
            <a:solidFill>
              <a:schemeClr val="tx1"/>
            </a:solidFill>
          </a:endParaRPr>
        </a:p>
        <a:p>
          <a:r>
            <a:rPr lang="en-US" sz="1600" kern="1200" baseline="0">
              <a:solidFill>
                <a:schemeClr val="tx1"/>
              </a:solidFill>
            </a:rPr>
            <a:t>4. Famous method for payment is Mobile application</a:t>
          </a:r>
        </a:p>
        <a:p>
          <a:endParaRPr lang="en-US" sz="1600" kern="1200" baseline="0">
            <a:solidFill>
              <a:schemeClr val="tx1"/>
            </a:solidFill>
          </a:endParaRPr>
        </a:p>
        <a:p>
          <a:r>
            <a:rPr lang="en-US" sz="1600" kern="1200" baseline="0">
              <a:solidFill>
                <a:schemeClr val="tx1"/>
              </a:solidFill>
            </a:rPr>
            <a:t>5. The average rating for all the coffee is 3.07</a:t>
          </a:r>
          <a:endParaRPr lang="en-US" sz="1600" kern="1200">
            <a:solidFill>
              <a:schemeClr val="tx1"/>
            </a:solidFill>
          </a:endParaRPr>
        </a:p>
      </xdr:txBody>
    </xdr:sp>
    <xdr:clientData/>
  </xdr:twoCellAnchor>
  <xdr:twoCellAnchor>
    <xdr:from>
      <xdr:col>22</xdr:col>
      <xdr:colOff>323274</xdr:colOff>
      <xdr:row>61</xdr:row>
      <xdr:rowOff>80819</xdr:rowOff>
    </xdr:from>
    <xdr:to>
      <xdr:col>26</xdr:col>
      <xdr:colOff>1</xdr:colOff>
      <xdr:row>67</xdr:row>
      <xdr:rowOff>150091</xdr:rowOff>
    </xdr:to>
    <xdr:sp macro="" textlink="">
      <xdr:nvSpPr>
        <xdr:cNvPr id="20" name="TextBox 19">
          <a:extLst>
            <a:ext uri="{FF2B5EF4-FFF2-40B4-BE49-F238E27FC236}">
              <a16:creationId xmlns:a16="http://schemas.microsoft.com/office/drawing/2014/main" id="{123D5DFA-CC74-1374-2FE9-B7B292DC9054}"/>
            </a:ext>
          </a:extLst>
        </xdr:cNvPr>
        <xdr:cNvSpPr txBox="1"/>
      </xdr:nvSpPr>
      <xdr:spPr>
        <a:xfrm>
          <a:off x="15009092" y="10425546"/>
          <a:ext cx="2124364" cy="11776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b="1" kern="1200"/>
        </a:p>
      </xdr:txBody>
    </xdr:sp>
    <xdr:clientData/>
  </xdr:twoCellAnchor>
  <xdr:twoCellAnchor>
    <xdr:from>
      <xdr:col>1</xdr:col>
      <xdr:colOff>34636</xdr:colOff>
      <xdr:row>10</xdr:row>
      <xdr:rowOff>173182</xdr:rowOff>
    </xdr:from>
    <xdr:to>
      <xdr:col>9</xdr:col>
      <xdr:colOff>23091</xdr:colOff>
      <xdr:row>25</xdr:row>
      <xdr:rowOff>69274</xdr:rowOff>
    </xdr:to>
    <xdr:sp macro="" textlink="">
      <xdr:nvSpPr>
        <xdr:cNvPr id="16" name="Rectangle 15">
          <a:extLst>
            <a:ext uri="{FF2B5EF4-FFF2-40B4-BE49-F238E27FC236}">
              <a16:creationId xmlns:a16="http://schemas.microsoft.com/office/drawing/2014/main" id="{11DAB157-FE83-3F14-4BF3-477D194A56FE}"/>
            </a:ext>
          </a:extLst>
        </xdr:cNvPr>
        <xdr:cNvSpPr/>
      </xdr:nvSpPr>
      <xdr:spPr>
        <a:xfrm>
          <a:off x="646545" y="1096818"/>
          <a:ext cx="4883728" cy="26670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446FD9"/>
              </a:solidFill>
            </a:rPr>
            <a:t>Uncovering the Hottest </a:t>
          </a:r>
          <a:r>
            <a:rPr lang="en-US" sz="1600" b="1">
              <a:solidFill>
                <a:srgbClr val="446FD9"/>
              </a:solidFill>
              <a:latin typeface="+mn-lt"/>
              <a:ea typeface="+mn-ea"/>
              <a:cs typeface="+mn-cs"/>
            </a:rPr>
            <a:t>Hours</a:t>
          </a:r>
          <a:r>
            <a:rPr lang="en-US" sz="1600" b="1">
              <a:solidFill>
                <a:schemeClr val="accent1"/>
              </a:solidFill>
            </a:rPr>
            <a:t> </a:t>
          </a:r>
          <a:r>
            <a:rPr lang="en-US" sz="1600" b="1">
              <a:solidFill>
                <a:srgbClr val="446FD9"/>
              </a:solidFill>
            </a:rPr>
            <a:t>for </a:t>
          </a:r>
          <a:r>
            <a:rPr lang="en-US" sz="1600" b="1" i="1">
              <a:solidFill>
                <a:srgbClr val="7D3CDC"/>
              </a:solidFill>
            </a:rPr>
            <a:t>Coffee</a:t>
          </a:r>
          <a:r>
            <a:rPr lang="en-US" sz="1600" b="1">
              <a:solidFill>
                <a:srgbClr val="446FD9"/>
              </a:solidFill>
            </a:rPr>
            <a:t> Lovers!</a:t>
          </a:r>
        </a:p>
      </xdr:txBody>
    </xdr:sp>
    <xdr:clientData/>
  </xdr:twoCellAnchor>
  <xdr:twoCellAnchor>
    <xdr:from>
      <xdr:col>9</xdr:col>
      <xdr:colOff>161634</xdr:colOff>
      <xdr:row>11</xdr:row>
      <xdr:rowOff>5773</xdr:rowOff>
    </xdr:from>
    <xdr:to>
      <xdr:col>16</xdr:col>
      <xdr:colOff>80817</xdr:colOff>
      <xdr:row>25</xdr:row>
      <xdr:rowOff>51954</xdr:rowOff>
    </xdr:to>
    <xdr:sp macro="" textlink="">
      <xdr:nvSpPr>
        <xdr:cNvPr id="19" name="Rectangle 18">
          <a:extLst>
            <a:ext uri="{FF2B5EF4-FFF2-40B4-BE49-F238E27FC236}">
              <a16:creationId xmlns:a16="http://schemas.microsoft.com/office/drawing/2014/main" id="{56D6738C-59AA-47F5-B775-A9F8AD365ACF}"/>
            </a:ext>
          </a:extLst>
        </xdr:cNvPr>
        <xdr:cNvSpPr/>
      </xdr:nvSpPr>
      <xdr:spPr>
        <a:xfrm>
          <a:off x="5668816" y="1114137"/>
          <a:ext cx="5426365" cy="26323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0"/>
        <a:lstStyle/>
        <a:p>
          <a:pPr algn="ctr"/>
          <a:r>
            <a:rPr lang="en-US" sz="1600" b="1">
              <a:solidFill>
                <a:srgbClr val="446FD9"/>
              </a:solidFill>
              <a:effectLst/>
              <a:latin typeface="+mn-lt"/>
              <a:ea typeface="+mn-ea"/>
              <a:cs typeface="+mn-cs"/>
            </a:rPr>
            <a:t>Hot Coffee Beans and </a:t>
          </a:r>
          <a:r>
            <a:rPr lang="en-US" sz="1600" b="1" i="1">
              <a:solidFill>
                <a:srgbClr val="7D3CDC"/>
              </a:solidFill>
              <a:effectLst/>
              <a:latin typeface="+mn-lt"/>
              <a:ea typeface="+mn-ea"/>
              <a:cs typeface="+mn-cs"/>
            </a:rPr>
            <a:t>States</a:t>
          </a:r>
          <a:endParaRPr lang="en-US" sz="1600" b="1" i="1">
            <a:solidFill>
              <a:srgbClr val="7D3CDC"/>
            </a:solidFill>
          </a:endParaRPr>
        </a:p>
      </xdr:txBody>
    </xdr:sp>
    <xdr:clientData/>
  </xdr:twoCellAnchor>
  <xdr:twoCellAnchor>
    <xdr:from>
      <xdr:col>16</xdr:col>
      <xdr:colOff>196273</xdr:colOff>
      <xdr:row>10</xdr:row>
      <xdr:rowOff>167409</xdr:rowOff>
    </xdr:from>
    <xdr:to>
      <xdr:col>22</xdr:col>
      <xdr:colOff>80818</xdr:colOff>
      <xdr:row>13</xdr:row>
      <xdr:rowOff>92364</xdr:rowOff>
    </xdr:to>
    <xdr:sp macro="" textlink="">
      <xdr:nvSpPr>
        <xdr:cNvPr id="21" name="Rectangle 20">
          <a:extLst>
            <a:ext uri="{FF2B5EF4-FFF2-40B4-BE49-F238E27FC236}">
              <a16:creationId xmlns:a16="http://schemas.microsoft.com/office/drawing/2014/main" id="{0E45E1FA-D61E-46D1-BB0A-4FEB772D5768}"/>
            </a:ext>
          </a:extLst>
        </xdr:cNvPr>
        <xdr:cNvSpPr/>
      </xdr:nvSpPr>
      <xdr:spPr>
        <a:xfrm>
          <a:off x="11210637" y="1091045"/>
          <a:ext cx="3555999" cy="47913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rgbClr val="446FD9"/>
              </a:solidFill>
              <a:effectLst/>
              <a:latin typeface="+mn-lt"/>
              <a:ea typeface="+mn-ea"/>
              <a:cs typeface="+mn-cs"/>
            </a:rPr>
            <a:t>Sales</a:t>
          </a:r>
          <a:r>
            <a:rPr lang="en-US" sz="1600" b="1" baseline="0">
              <a:solidFill>
                <a:srgbClr val="446FD9"/>
              </a:solidFill>
              <a:effectLst/>
              <a:latin typeface="+mn-lt"/>
              <a:ea typeface="+mn-ea"/>
              <a:cs typeface="+mn-cs"/>
            </a:rPr>
            <a:t> </a:t>
          </a:r>
          <a:r>
            <a:rPr lang="en-US" sz="1600" b="1" i="1" baseline="0">
              <a:solidFill>
                <a:srgbClr val="7D3CDC"/>
              </a:solidFill>
              <a:effectLst/>
              <a:latin typeface="+mn-lt"/>
              <a:ea typeface="+mn-ea"/>
              <a:cs typeface="+mn-cs"/>
            </a:rPr>
            <a:t>Channels</a:t>
          </a:r>
          <a:r>
            <a:rPr lang="en-US" sz="1600" b="1" baseline="0">
              <a:solidFill>
                <a:srgbClr val="446FD9"/>
              </a:solidFill>
              <a:effectLst/>
              <a:latin typeface="+mn-lt"/>
              <a:ea typeface="+mn-ea"/>
              <a:cs typeface="+mn-cs"/>
            </a:rPr>
            <a:t> Breakdown</a:t>
          </a:r>
          <a:endParaRPr lang="en-US" sz="1600" b="1">
            <a:solidFill>
              <a:srgbClr val="446FD9"/>
            </a:solidFill>
            <a:effectLst/>
          </a:endParaRPr>
        </a:p>
        <a:p>
          <a:pPr algn="ctr"/>
          <a:endParaRPr lang="en-US" sz="1400" b="0">
            <a:solidFill>
              <a:srgbClr val="446FD9"/>
            </a:solidFill>
          </a:endParaRPr>
        </a:p>
      </xdr:txBody>
    </xdr:sp>
    <xdr:clientData/>
  </xdr:twoCellAnchor>
  <xdr:twoCellAnchor>
    <xdr:from>
      <xdr:col>1</xdr:col>
      <xdr:colOff>34636</xdr:colOff>
      <xdr:row>26</xdr:row>
      <xdr:rowOff>57727</xdr:rowOff>
    </xdr:from>
    <xdr:to>
      <xdr:col>8</xdr:col>
      <xdr:colOff>588817</xdr:colOff>
      <xdr:row>39</xdr:row>
      <xdr:rowOff>103909</xdr:rowOff>
    </xdr:to>
    <xdr:sp macro="" textlink="">
      <xdr:nvSpPr>
        <xdr:cNvPr id="22" name="Rectangle 21">
          <a:extLst>
            <a:ext uri="{FF2B5EF4-FFF2-40B4-BE49-F238E27FC236}">
              <a16:creationId xmlns:a16="http://schemas.microsoft.com/office/drawing/2014/main" id="{D36A51A1-012A-49CA-8AD5-48779699BEA9}"/>
            </a:ext>
          </a:extLst>
        </xdr:cNvPr>
        <xdr:cNvSpPr/>
      </xdr:nvSpPr>
      <xdr:spPr>
        <a:xfrm>
          <a:off x="646545" y="3937000"/>
          <a:ext cx="4837545" cy="244763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446FD9"/>
              </a:solidFill>
              <a:effectLst/>
              <a:latin typeface="+mn-lt"/>
              <a:ea typeface="+mn-ea"/>
              <a:cs typeface="+mn-cs"/>
            </a:rPr>
            <a:t>Who</a:t>
          </a:r>
          <a:r>
            <a:rPr lang="en-US" sz="1600" b="1" baseline="0">
              <a:solidFill>
                <a:srgbClr val="446FD9"/>
              </a:solidFill>
              <a:effectLst/>
              <a:latin typeface="+mn-lt"/>
              <a:ea typeface="+mn-ea"/>
              <a:cs typeface="+mn-cs"/>
            </a:rPr>
            <a:t> is </a:t>
          </a:r>
          <a:r>
            <a:rPr lang="en-US" sz="1600" b="1" i="1" baseline="0">
              <a:solidFill>
                <a:srgbClr val="7D3CDC"/>
              </a:solidFill>
              <a:effectLst/>
              <a:latin typeface="+mn-lt"/>
              <a:ea typeface="+mn-ea"/>
              <a:cs typeface="+mn-cs"/>
            </a:rPr>
            <a:t>Sipping</a:t>
          </a:r>
          <a:r>
            <a:rPr lang="en-US" sz="1600" b="1" baseline="0">
              <a:solidFill>
                <a:srgbClr val="446FD9"/>
              </a:solidFill>
              <a:effectLst/>
              <a:latin typeface="+mn-lt"/>
              <a:ea typeface="+mn-ea"/>
              <a:cs typeface="+mn-cs"/>
            </a:rPr>
            <a:t> the most?</a:t>
          </a:r>
          <a:endParaRPr lang="en-US" sz="1600">
            <a:solidFill>
              <a:srgbClr val="446FD9"/>
            </a:solidFill>
            <a:effectLst/>
          </a:endParaRPr>
        </a:p>
        <a:p>
          <a:pPr algn="ctr"/>
          <a:endParaRPr lang="en-US" sz="1600" b="0">
            <a:solidFill>
              <a:srgbClr val="446FD9"/>
            </a:solidFill>
          </a:endParaRPr>
        </a:p>
      </xdr:txBody>
    </xdr:sp>
    <xdr:clientData/>
  </xdr:twoCellAnchor>
  <xdr:twoCellAnchor>
    <xdr:from>
      <xdr:col>16</xdr:col>
      <xdr:colOff>184726</xdr:colOff>
      <xdr:row>26</xdr:row>
      <xdr:rowOff>144318</xdr:rowOff>
    </xdr:from>
    <xdr:to>
      <xdr:col>22</xdr:col>
      <xdr:colOff>103909</xdr:colOff>
      <xdr:row>39</xdr:row>
      <xdr:rowOff>109682</xdr:rowOff>
    </xdr:to>
    <xdr:sp macro="" textlink="">
      <xdr:nvSpPr>
        <xdr:cNvPr id="23" name="Rectangle 22">
          <a:extLst>
            <a:ext uri="{FF2B5EF4-FFF2-40B4-BE49-F238E27FC236}">
              <a16:creationId xmlns:a16="http://schemas.microsoft.com/office/drawing/2014/main" id="{A0BDF491-0E7A-4D70-8464-0C8061606F49}"/>
            </a:ext>
          </a:extLst>
        </xdr:cNvPr>
        <xdr:cNvSpPr/>
      </xdr:nvSpPr>
      <xdr:spPr>
        <a:xfrm>
          <a:off x="11199090" y="4023591"/>
          <a:ext cx="3590637" cy="23668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rgbClr val="446FD9"/>
              </a:solidFill>
              <a:effectLst/>
              <a:latin typeface="+mn-lt"/>
              <a:ea typeface="+mn-ea"/>
              <a:cs typeface="+mn-cs"/>
            </a:rPr>
            <a:t>Average Coffee </a:t>
          </a:r>
          <a:r>
            <a:rPr lang="en-US" sz="1600" b="1" i="1">
              <a:solidFill>
                <a:srgbClr val="7D3CDC"/>
              </a:solidFill>
              <a:effectLst/>
              <a:latin typeface="+mn-lt"/>
              <a:ea typeface="+mn-ea"/>
              <a:cs typeface="+mn-cs"/>
            </a:rPr>
            <a:t>Rating</a:t>
          </a:r>
          <a:endParaRPr lang="en-US" sz="1600" b="1" i="1">
            <a:solidFill>
              <a:srgbClr val="7D3CDC"/>
            </a:solidFill>
            <a:effectLst/>
          </a:endParaRPr>
        </a:p>
        <a:p>
          <a:pPr algn="ctr"/>
          <a:endParaRPr lang="en-US" sz="1600" b="1">
            <a:solidFill>
              <a:srgbClr val="446FD9"/>
            </a:solidFill>
          </a:endParaRPr>
        </a:p>
      </xdr:txBody>
    </xdr:sp>
    <xdr:clientData/>
  </xdr:twoCellAnchor>
  <xdr:twoCellAnchor>
    <xdr:from>
      <xdr:col>10</xdr:col>
      <xdr:colOff>611908</xdr:colOff>
      <xdr:row>30</xdr:row>
      <xdr:rowOff>184726</xdr:rowOff>
    </xdr:from>
    <xdr:to>
      <xdr:col>12</xdr:col>
      <xdr:colOff>92363</xdr:colOff>
      <xdr:row>45</xdr:row>
      <xdr:rowOff>23090</xdr:rowOff>
    </xdr:to>
    <xdr:sp macro="" textlink="">
      <xdr:nvSpPr>
        <xdr:cNvPr id="24" name="Rectangle 23">
          <a:extLst>
            <a:ext uri="{FF2B5EF4-FFF2-40B4-BE49-F238E27FC236}">
              <a16:creationId xmlns:a16="http://schemas.microsoft.com/office/drawing/2014/main" id="{D3E669DD-26F3-4DD6-B76C-C1C43D2CEB0C}"/>
            </a:ext>
          </a:extLst>
        </xdr:cNvPr>
        <xdr:cNvSpPr/>
      </xdr:nvSpPr>
      <xdr:spPr>
        <a:xfrm>
          <a:off x="6730999" y="4802908"/>
          <a:ext cx="1928091" cy="260927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0">
            <a:solidFill>
              <a:srgbClr val="446FD9"/>
            </a:solidFill>
          </a:endParaRPr>
        </a:p>
      </xdr:txBody>
    </xdr:sp>
    <xdr:clientData/>
  </xdr:twoCellAnchor>
  <xdr:twoCellAnchor>
    <xdr:from>
      <xdr:col>9</xdr:col>
      <xdr:colOff>588817</xdr:colOff>
      <xdr:row>29</xdr:row>
      <xdr:rowOff>72158</xdr:rowOff>
    </xdr:from>
    <xdr:to>
      <xdr:col>11</xdr:col>
      <xdr:colOff>444999</xdr:colOff>
      <xdr:row>35</xdr:row>
      <xdr:rowOff>43795</xdr:rowOff>
    </xdr:to>
    <xdr:sp macro="" textlink="$K$33">
      <xdr:nvSpPr>
        <xdr:cNvPr id="26" name="TextBox 25">
          <a:extLst>
            <a:ext uri="{FF2B5EF4-FFF2-40B4-BE49-F238E27FC236}">
              <a16:creationId xmlns:a16="http://schemas.microsoft.com/office/drawing/2014/main" id="{2D0EE2A7-2EEF-686D-040D-4407DBA00544}"/>
            </a:ext>
          </a:extLst>
        </xdr:cNvPr>
        <xdr:cNvSpPr txBox="1"/>
      </xdr:nvSpPr>
      <xdr:spPr>
        <a:xfrm>
          <a:off x="6095999" y="4505613"/>
          <a:ext cx="1080000" cy="108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5B63A1-B6C7-40AA-9881-483B318FCFC0}" type="TxLink">
            <a:rPr lang="en-US" sz="1600" b="1" i="0" u="none" strike="noStrike">
              <a:solidFill>
                <a:srgbClr val="000000"/>
              </a:solidFill>
              <a:latin typeface="Calibri"/>
              <a:ea typeface="Calibri"/>
              <a:cs typeface="Calibri"/>
            </a:rPr>
            <a:pPr algn="ctr"/>
            <a:t>4.98</a:t>
          </a:fld>
          <a:endParaRPr lang="en-US" sz="1600" b="1"/>
        </a:p>
      </xdr:txBody>
    </xdr:sp>
    <xdr:clientData/>
  </xdr:twoCellAnchor>
  <xdr:twoCellAnchor>
    <xdr:from>
      <xdr:col>9</xdr:col>
      <xdr:colOff>565726</xdr:colOff>
      <xdr:row>29</xdr:row>
      <xdr:rowOff>18885</xdr:rowOff>
    </xdr:from>
    <xdr:to>
      <xdr:col>11</xdr:col>
      <xdr:colOff>438727</xdr:colOff>
      <xdr:row>34</xdr:row>
      <xdr:rowOff>180522</xdr:rowOff>
    </xdr:to>
    <xdr:sp macro="" textlink="">
      <xdr:nvSpPr>
        <xdr:cNvPr id="27" name="Rectangle 26">
          <a:extLst>
            <a:ext uri="{FF2B5EF4-FFF2-40B4-BE49-F238E27FC236}">
              <a16:creationId xmlns:a16="http://schemas.microsoft.com/office/drawing/2014/main" id="{BA543F62-FACD-4B04-865F-992AF6A0DB9A}"/>
            </a:ext>
          </a:extLst>
        </xdr:cNvPr>
        <xdr:cNvSpPr/>
      </xdr:nvSpPr>
      <xdr:spPr>
        <a:xfrm>
          <a:off x="6072908" y="4452340"/>
          <a:ext cx="1096819" cy="108527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rgbClr val="446FD9"/>
              </a:solidFill>
            </a:rPr>
            <a:t>Avg. Unit</a:t>
          </a:r>
          <a:r>
            <a:rPr lang="en-US" sz="1400" b="0" baseline="0">
              <a:solidFill>
                <a:srgbClr val="446FD9"/>
              </a:solidFill>
            </a:rPr>
            <a:t> Price </a:t>
          </a:r>
        </a:p>
        <a:p>
          <a:pPr algn="ctr"/>
          <a:endParaRPr lang="en-US" sz="1400" b="0" baseline="0">
            <a:solidFill>
              <a:srgbClr val="446FD9"/>
            </a:solidFill>
          </a:endParaRPr>
        </a:p>
        <a:p>
          <a:pPr algn="ctr"/>
          <a:r>
            <a:rPr lang="en-US" sz="1400" b="0" baseline="0">
              <a:solidFill>
                <a:srgbClr val="446FD9"/>
              </a:solidFill>
            </a:rPr>
            <a:t>($)</a:t>
          </a:r>
          <a:endParaRPr lang="en-US" sz="1400" b="0">
            <a:solidFill>
              <a:srgbClr val="446FD9"/>
            </a:solidFill>
          </a:endParaRPr>
        </a:p>
      </xdr:txBody>
    </xdr:sp>
    <xdr:clientData/>
  </xdr:twoCellAnchor>
  <xdr:twoCellAnchor>
    <xdr:from>
      <xdr:col>12</xdr:col>
      <xdr:colOff>461816</xdr:colOff>
      <xdr:row>29</xdr:row>
      <xdr:rowOff>63498</xdr:rowOff>
    </xdr:from>
    <xdr:to>
      <xdr:col>14</xdr:col>
      <xdr:colOff>317998</xdr:colOff>
      <xdr:row>35</xdr:row>
      <xdr:rowOff>35135</xdr:rowOff>
    </xdr:to>
    <xdr:sp macro="" textlink="$N$32">
      <xdr:nvSpPr>
        <xdr:cNvPr id="32" name="TextBox 31">
          <a:extLst>
            <a:ext uri="{FF2B5EF4-FFF2-40B4-BE49-F238E27FC236}">
              <a16:creationId xmlns:a16="http://schemas.microsoft.com/office/drawing/2014/main" id="{EBCA4852-5C90-E037-517D-39C5EEB22DE4}"/>
            </a:ext>
          </a:extLst>
        </xdr:cNvPr>
        <xdr:cNvSpPr txBox="1"/>
      </xdr:nvSpPr>
      <xdr:spPr>
        <a:xfrm>
          <a:off x="7804725" y="4496953"/>
          <a:ext cx="1080000" cy="108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12907B-6D34-42A3-AE8A-CD4EBC74F4DB}" type="TxLink">
            <a:rPr lang="en-US" sz="1600" b="1" i="0" u="none" strike="noStrike">
              <a:solidFill>
                <a:srgbClr val="000000"/>
              </a:solidFill>
              <a:latin typeface="Calibri"/>
              <a:ea typeface="Calibri"/>
              <a:cs typeface="Calibri"/>
            </a:rPr>
            <a:pPr algn="ctr"/>
            <a:t>1000</a:t>
          </a:fld>
          <a:endParaRPr lang="en-US" sz="1600" b="1"/>
        </a:p>
      </xdr:txBody>
    </xdr:sp>
    <xdr:clientData/>
  </xdr:twoCellAnchor>
  <xdr:twoCellAnchor>
    <xdr:from>
      <xdr:col>12</xdr:col>
      <xdr:colOff>450273</xdr:colOff>
      <xdr:row>29</xdr:row>
      <xdr:rowOff>21521</xdr:rowOff>
    </xdr:from>
    <xdr:to>
      <xdr:col>14</xdr:col>
      <xdr:colOff>306455</xdr:colOff>
      <xdr:row>34</xdr:row>
      <xdr:rowOff>177885</xdr:rowOff>
    </xdr:to>
    <xdr:sp macro="" textlink="">
      <xdr:nvSpPr>
        <xdr:cNvPr id="30" name="Rectangle 29">
          <a:extLst>
            <a:ext uri="{FF2B5EF4-FFF2-40B4-BE49-F238E27FC236}">
              <a16:creationId xmlns:a16="http://schemas.microsoft.com/office/drawing/2014/main" id="{691DBD17-65F2-4743-A775-20BAE21BBCD1}"/>
            </a:ext>
          </a:extLst>
        </xdr:cNvPr>
        <xdr:cNvSpPr/>
      </xdr:nvSpPr>
      <xdr:spPr>
        <a:xfrm>
          <a:off x="7793182" y="4454976"/>
          <a:ext cx="1080000" cy="1080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a:solidFill>
                <a:srgbClr val="446FD9"/>
              </a:solidFill>
            </a:rPr>
            <a:t>Price</a:t>
          </a:r>
          <a:r>
            <a:rPr lang="en-US" sz="1400" b="0" baseline="0">
              <a:solidFill>
                <a:srgbClr val="446FD9"/>
              </a:solidFill>
            </a:rPr>
            <a:t> per Unit </a:t>
          </a:r>
        </a:p>
        <a:p>
          <a:pPr algn="ctr"/>
          <a:endParaRPr lang="en-US" sz="1400" b="0" baseline="0">
            <a:solidFill>
              <a:srgbClr val="446FD9"/>
            </a:solidFill>
          </a:endParaRPr>
        </a:p>
        <a:p>
          <a:pPr algn="ctr"/>
          <a:r>
            <a:rPr lang="en-US" sz="1400" b="0" baseline="0">
              <a:solidFill>
                <a:srgbClr val="446FD9"/>
              </a:solidFill>
            </a:rPr>
            <a:t>($)</a:t>
          </a:r>
          <a:endParaRPr lang="en-US" sz="1400" b="0">
            <a:solidFill>
              <a:srgbClr val="446FD9"/>
            </a:solidFill>
          </a:endParaRPr>
        </a:p>
      </xdr:txBody>
    </xdr:sp>
    <xdr:clientData/>
  </xdr:twoCellAnchor>
  <xdr:twoCellAnchor editAs="oneCell">
    <xdr:from>
      <xdr:col>4</xdr:col>
      <xdr:colOff>127000</xdr:colOff>
      <xdr:row>2</xdr:row>
      <xdr:rowOff>115455</xdr:rowOff>
    </xdr:from>
    <xdr:to>
      <xdr:col>6</xdr:col>
      <xdr:colOff>323272</xdr:colOff>
      <xdr:row>10</xdr:row>
      <xdr:rowOff>57728</xdr:rowOff>
    </xdr:to>
    <xdr:pic>
      <xdr:nvPicPr>
        <xdr:cNvPr id="14" name="Picture 13">
          <a:extLst>
            <a:ext uri="{FF2B5EF4-FFF2-40B4-BE49-F238E27FC236}">
              <a16:creationId xmlns:a16="http://schemas.microsoft.com/office/drawing/2014/main" id="{833B8B55-6B32-D1F3-B92F-2047007F353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574636" y="1408546"/>
          <a:ext cx="1420091" cy="1420091"/>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0.37603</cdr:x>
      <cdr:y>0.3876</cdr:y>
    </cdr:from>
    <cdr:to>
      <cdr:x>0.6286</cdr:x>
      <cdr:y>0.53543</cdr:y>
    </cdr:to>
    <cdr:sp macro="" textlink="">
      <cdr:nvSpPr>
        <cdr:cNvPr id="2" name="TextBox 6">
          <a:extLst xmlns:a="http://schemas.openxmlformats.org/drawingml/2006/main">
            <a:ext uri="{FF2B5EF4-FFF2-40B4-BE49-F238E27FC236}">
              <a16:creationId xmlns:a16="http://schemas.microsoft.com/office/drawing/2014/main" id="{8148A04C-7B45-72E2-C0EF-3ECE72146572}"/>
            </a:ext>
          </a:extLst>
        </cdr:cNvPr>
        <cdr:cNvSpPr txBox="1"/>
      </cdr:nvSpPr>
      <cdr:spPr>
        <a:xfrm xmlns:a="http://schemas.openxmlformats.org/drawingml/2006/main">
          <a:off x="1337163" y="639935"/>
          <a:ext cx="898139" cy="244067"/>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34D9DB74-3DEA-4F32-B0AF-2AED44FF811E}" type="TxLink">
            <a:rPr lang="en-US" sz="1600" b="1" i="0" u="none" strike="noStrike" kern="1200">
              <a:solidFill>
                <a:srgbClr val="7030A0"/>
              </a:solidFill>
              <a:latin typeface="Calibri"/>
              <a:ea typeface="Calibri"/>
              <a:cs typeface="Calibri"/>
            </a:rPr>
            <a:pPr algn="ctr"/>
            <a:t>3.07 / 5</a:t>
          </a:fld>
          <a:endParaRPr lang="en-US" sz="1600" b="1" kern="1200">
            <a:solidFill>
              <a:srgbClr val="7030A0"/>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14</xdr:col>
      <xdr:colOff>114300</xdr:colOff>
      <xdr:row>1</xdr:row>
      <xdr:rowOff>165100</xdr:rowOff>
    </xdr:from>
    <xdr:to>
      <xdr:col>19</xdr:col>
      <xdr:colOff>53340</xdr:colOff>
      <xdr:row>8</xdr:row>
      <xdr:rowOff>138793</xdr:rowOff>
    </xdr:to>
    <xdr:sp macro="" textlink="">
      <xdr:nvSpPr>
        <xdr:cNvPr id="2" name="Rectangle: Rounded Corners 1">
          <a:extLst>
            <a:ext uri="{FF2B5EF4-FFF2-40B4-BE49-F238E27FC236}">
              <a16:creationId xmlns:a16="http://schemas.microsoft.com/office/drawing/2014/main" id="{0D53F4ED-AC6F-3703-CC47-59692A4187E7}"/>
            </a:ext>
          </a:extLst>
        </xdr:cNvPr>
        <xdr:cNvSpPr/>
      </xdr:nvSpPr>
      <xdr:spPr>
        <a:xfrm>
          <a:off x="7931150" y="349250"/>
          <a:ext cx="2987040" cy="1262743"/>
        </a:xfrm>
        <a:prstGeom prst="roundRect">
          <a:avLst/>
        </a:prstGeom>
        <a:solidFill>
          <a:srgbClr val="7D3CDC"/>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b="1"/>
            <a:t>#7D3CDC</a:t>
          </a:r>
        </a:p>
        <a:p>
          <a:pPr algn="ctr"/>
          <a:r>
            <a:rPr lang="en-US" b="1"/>
            <a:t>RGB(125,60,220)</a:t>
          </a:r>
        </a:p>
      </xdr:txBody>
    </xdr:sp>
    <xdr:clientData/>
  </xdr:twoCellAnchor>
  <xdr:twoCellAnchor>
    <xdr:from>
      <xdr:col>14</xdr:col>
      <xdr:colOff>196850</xdr:colOff>
      <xdr:row>11</xdr:row>
      <xdr:rowOff>0</xdr:rowOff>
    </xdr:from>
    <xdr:to>
      <xdr:col>19</xdr:col>
      <xdr:colOff>135890</xdr:colOff>
      <xdr:row>17</xdr:row>
      <xdr:rowOff>142298</xdr:rowOff>
    </xdr:to>
    <xdr:sp macro="" textlink="">
      <xdr:nvSpPr>
        <xdr:cNvPr id="5" name="Rectangle: Rounded Corners 4">
          <a:extLst>
            <a:ext uri="{FF2B5EF4-FFF2-40B4-BE49-F238E27FC236}">
              <a16:creationId xmlns:a16="http://schemas.microsoft.com/office/drawing/2014/main" id="{03699666-6E46-A58C-37E9-0A004F0A0A9F}"/>
            </a:ext>
          </a:extLst>
        </xdr:cNvPr>
        <xdr:cNvSpPr/>
      </xdr:nvSpPr>
      <xdr:spPr>
        <a:xfrm>
          <a:off x="8013700" y="2025650"/>
          <a:ext cx="2987040" cy="1247198"/>
        </a:xfrm>
        <a:prstGeom prst="roundRect">
          <a:avLst/>
        </a:prstGeom>
        <a:solidFill>
          <a:srgbClr val="446FD9"/>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b="1"/>
            <a:t>#446FD9</a:t>
          </a:r>
        </a:p>
        <a:p>
          <a:pPr algn="ctr"/>
          <a:r>
            <a:rPr lang="en-US" b="1"/>
            <a:t>RGB(68,111,217)</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304800</xdr:colOff>
      <xdr:row>2</xdr:row>
      <xdr:rowOff>25400</xdr:rowOff>
    </xdr:from>
    <xdr:to>
      <xdr:col>9</xdr:col>
      <xdr:colOff>527050</xdr:colOff>
      <xdr:row>12</xdr:row>
      <xdr:rowOff>0</xdr:rowOff>
    </xdr:to>
    <xdr:graphicFrame macro="">
      <xdr:nvGraphicFramePr>
        <xdr:cNvPr id="2" name="Chart 1">
          <a:extLst>
            <a:ext uri="{FF2B5EF4-FFF2-40B4-BE49-F238E27FC236}">
              <a16:creationId xmlns:a16="http://schemas.microsoft.com/office/drawing/2014/main" id="{4DA40DCF-923E-BAA8-93A5-971ACC1B4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323850</xdr:colOff>
      <xdr:row>1</xdr:row>
      <xdr:rowOff>158750</xdr:rowOff>
    </xdr:from>
    <xdr:to>
      <xdr:col>10</xdr:col>
      <xdr:colOff>254000</xdr:colOff>
      <xdr:row>15</xdr:row>
      <xdr:rowOff>12700</xdr:rowOff>
    </xdr:to>
    <xdr:graphicFrame macro="">
      <xdr:nvGraphicFramePr>
        <xdr:cNvPr id="2" name="Chart 1">
          <a:extLst>
            <a:ext uri="{FF2B5EF4-FFF2-40B4-BE49-F238E27FC236}">
              <a16:creationId xmlns:a16="http://schemas.microsoft.com/office/drawing/2014/main" id="{FD9671D6-8681-4FEF-ACEF-319D9C0BF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149224</xdr:colOff>
      <xdr:row>2</xdr:row>
      <xdr:rowOff>180974</xdr:rowOff>
    </xdr:from>
    <xdr:to>
      <xdr:col>14</xdr:col>
      <xdr:colOff>31749</xdr:colOff>
      <xdr:row>19</xdr:row>
      <xdr:rowOff>101599</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ED5EC9E2-92F3-C502-FC07-CC1CBB678E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19624" y="549274"/>
              <a:ext cx="5368925" cy="30511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669925</xdr:colOff>
      <xdr:row>8</xdr:row>
      <xdr:rowOff>149225</xdr:rowOff>
    </xdr:from>
    <xdr:to>
      <xdr:col>10</xdr:col>
      <xdr:colOff>250825</xdr:colOff>
      <xdr:row>18</xdr:row>
      <xdr:rowOff>12700</xdr:rowOff>
    </xdr:to>
    <xdr:graphicFrame macro="">
      <xdr:nvGraphicFramePr>
        <xdr:cNvPr id="6" name="Chart 5">
          <a:extLst>
            <a:ext uri="{FF2B5EF4-FFF2-40B4-BE49-F238E27FC236}">
              <a16:creationId xmlns:a16="http://schemas.microsoft.com/office/drawing/2014/main" id="{0C1370C3-47BE-3834-7ADE-F2011E656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495300</xdr:colOff>
      <xdr:row>13</xdr:row>
      <xdr:rowOff>88900</xdr:rowOff>
    </xdr:from>
    <xdr:to>
      <xdr:col>7</xdr:col>
      <xdr:colOff>349250</xdr:colOff>
      <xdr:row>16</xdr:row>
      <xdr:rowOff>31750</xdr:rowOff>
    </xdr:to>
    <xdr:sp macro="" textlink="G5">
      <xdr:nvSpPr>
        <xdr:cNvPr id="7" name="TextBox 6">
          <a:extLst>
            <a:ext uri="{FF2B5EF4-FFF2-40B4-BE49-F238E27FC236}">
              <a16:creationId xmlns:a16="http://schemas.microsoft.com/office/drawing/2014/main" id="{8148A04C-7B45-72E2-C0EF-3ECE72146572}"/>
            </a:ext>
          </a:extLst>
        </xdr:cNvPr>
        <xdr:cNvSpPr txBox="1"/>
      </xdr:nvSpPr>
      <xdr:spPr>
        <a:xfrm>
          <a:off x="5365750" y="2482850"/>
          <a:ext cx="1085850" cy="4953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D9DB74-3DEA-4F32-B0AF-2AED44FF811E}" type="TxLink">
            <a:rPr lang="en-US" sz="1600" b="1" i="0" u="none" strike="noStrike" kern="1200">
              <a:solidFill>
                <a:srgbClr val="7030A0"/>
              </a:solidFill>
              <a:latin typeface="Calibri"/>
              <a:ea typeface="Calibri"/>
              <a:cs typeface="Calibri"/>
            </a:rPr>
            <a:pPr algn="ctr"/>
            <a:t>3.07 / 5</a:t>
          </a:fld>
          <a:endParaRPr lang="en-US" sz="1600" b="1" kern="1200">
            <a:solidFill>
              <a:srgbClr val="7030A0"/>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75045</xdr:colOff>
      <xdr:row>9</xdr:row>
      <xdr:rowOff>4619</xdr:rowOff>
    </xdr:from>
    <xdr:to>
      <xdr:col>14</xdr:col>
      <xdr:colOff>30595</xdr:colOff>
      <xdr:row>17</xdr:row>
      <xdr:rowOff>68696</xdr:rowOff>
    </xdr:to>
    <xdr:graphicFrame macro="">
      <xdr:nvGraphicFramePr>
        <xdr:cNvPr id="2" name="Chart 1">
          <a:extLst>
            <a:ext uri="{FF2B5EF4-FFF2-40B4-BE49-F238E27FC236}">
              <a16:creationId xmlns:a16="http://schemas.microsoft.com/office/drawing/2014/main" id="{94AF2E28-41CB-4142-BF6D-0DCA6F95C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77931</xdr:colOff>
      <xdr:row>17</xdr:row>
      <xdr:rowOff>92364</xdr:rowOff>
    </xdr:from>
    <xdr:to>
      <xdr:col>14</xdr:col>
      <xdr:colOff>34637</xdr:colOff>
      <xdr:row>28</xdr:row>
      <xdr:rowOff>11546</xdr:rowOff>
    </xdr:to>
    <xdr:graphicFrame macro="">
      <xdr:nvGraphicFramePr>
        <xdr:cNvPr id="3" name="Chart 2">
          <a:extLst>
            <a:ext uri="{FF2B5EF4-FFF2-40B4-BE49-F238E27FC236}">
              <a16:creationId xmlns:a16="http://schemas.microsoft.com/office/drawing/2014/main" id="{4608B747-266D-4204-8230-55677F22D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114301</xdr:colOff>
      <xdr:row>20</xdr:row>
      <xdr:rowOff>95251</xdr:rowOff>
    </xdr:from>
    <xdr:to>
      <xdr:col>8</xdr:col>
      <xdr:colOff>34636</xdr:colOff>
      <xdr:row>35</xdr:row>
      <xdr:rowOff>138546</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9487F294-4E87-4BE4-8BE0-644AFF1C28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4301" y="3778251"/>
              <a:ext cx="4797135" cy="280554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88899</xdr:colOff>
      <xdr:row>28</xdr:row>
      <xdr:rowOff>46183</xdr:rowOff>
    </xdr:from>
    <xdr:to>
      <xdr:col>14</xdr:col>
      <xdr:colOff>115454</xdr:colOff>
      <xdr:row>35</xdr:row>
      <xdr:rowOff>80820</xdr:rowOff>
    </xdr:to>
    <xdr:graphicFrame macro="">
      <xdr:nvGraphicFramePr>
        <xdr:cNvPr id="5" name="Chart 4">
          <a:extLst>
            <a:ext uri="{FF2B5EF4-FFF2-40B4-BE49-F238E27FC236}">
              <a16:creationId xmlns:a16="http://schemas.microsoft.com/office/drawing/2014/main" id="{3B9396C2-9BDB-476E-909C-E01826491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379229</xdr:colOff>
      <xdr:row>0</xdr:row>
      <xdr:rowOff>69850</xdr:rowOff>
    </xdr:from>
    <xdr:ext cx="9411317" cy="819150"/>
    <xdr:sp macro="" textlink="">
      <xdr:nvSpPr>
        <xdr:cNvPr id="6" name="Rectangle 5">
          <a:extLst>
            <a:ext uri="{FF2B5EF4-FFF2-40B4-BE49-F238E27FC236}">
              <a16:creationId xmlns:a16="http://schemas.microsoft.com/office/drawing/2014/main" id="{129CC204-6FE1-1548-FD11-E62B4012B66B}"/>
            </a:ext>
          </a:extLst>
        </xdr:cNvPr>
        <xdr:cNvSpPr/>
      </xdr:nvSpPr>
      <xdr:spPr>
        <a:xfrm>
          <a:off x="3438774" y="69850"/>
          <a:ext cx="9411317" cy="819150"/>
        </a:xfrm>
        <a:prstGeom prst="rect">
          <a:avLst/>
        </a:prstGeom>
        <a:solidFill>
          <a:schemeClr val="tx1"/>
        </a:solidFill>
      </xdr:spPr>
      <xdr:txBody>
        <a:bodyPr wrap="square" lIns="91440" tIns="45720" rIns="91440" bIns="45720">
          <a:noAutofit/>
        </a:bodyPr>
        <a:lstStyle/>
        <a:p>
          <a:pPr algn="ctr"/>
          <a:r>
            <a:rPr lang="en-US" sz="5400" b="1" i="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Comprehensive Coffee Trends   </a:t>
          </a:r>
        </a:p>
      </xdr:txBody>
    </xdr:sp>
    <xdr:clientData/>
  </xdr:oneCellAnchor>
  <xdr:twoCellAnchor editAs="oneCell">
    <xdr:from>
      <xdr:col>14</xdr:col>
      <xdr:colOff>94673</xdr:colOff>
      <xdr:row>8</xdr:row>
      <xdr:rowOff>173183</xdr:rowOff>
    </xdr:from>
    <xdr:to>
      <xdr:col>17</xdr:col>
      <xdr:colOff>87745</xdr:colOff>
      <xdr:row>15</xdr:row>
      <xdr:rowOff>23090</xdr:rowOff>
    </xdr:to>
    <mc:AlternateContent xmlns:mc="http://schemas.openxmlformats.org/markup-compatibility/2006" xmlns:a14="http://schemas.microsoft.com/office/drawing/2010/main">
      <mc:Choice Requires="a14">
        <xdr:graphicFrame macro="">
          <xdr:nvGraphicFramePr>
            <xdr:cNvPr id="7" name="Payment Method">
              <a:extLst>
                <a:ext uri="{FF2B5EF4-FFF2-40B4-BE49-F238E27FC236}">
                  <a16:creationId xmlns:a16="http://schemas.microsoft.com/office/drawing/2014/main" id="{A5808418-D0E4-DB65-35CC-30F7CCCE3CBF}"/>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8661400" y="1651001"/>
              <a:ext cx="1828800" cy="11429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106219</xdr:colOff>
      <xdr:row>15</xdr:row>
      <xdr:rowOff>115455</xdr:rowOff>
    </xdr:from>
    <xdr:to>
      <xdr:col>17</xdr:col>
      <xdr:colOff>99291</xdr:colOff>
      <xdr:row>24</xdr:row>
      <xdr:rowOff>69273</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135BC099-72E6-1681-3433-01D1917A73F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672946" y="2886364"/>
              <a:ext cx="1828800" cy="1616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106219</xdr:colOff>
      <xdr:row>24</xdr:row>
      <xdr:rowOff>138546</xdr:rowOff>
    </xdr:from>
    <xdr:to>
      <xdr:col>17</xdr:col>
      <xdr:colOff>99291</xdr:colOff>
      <xdr:row>36</xdr:row>
      <xdr:rowOff>115455</xdr:rowOff>
    </xdr:to>
    <mc:AlternateContent xmlns:mc="http://schemas.openxmlformats.org/markup-compatibility/2006" xmlns:a14="http://schemas.microsoft.com/office/drawing/2010/main">
      <mc:Choice Requires="a14">
        <xdr:graphicFrame macro="">
          <xdr:nvGraphicFramePr>
            <xdr:cNvPr id="9" name="Coffee Type">
              <a:extLst>
                <a:ext uri="{FF2B5EF4-FFF2-40B4-BE49-F238E27FC236}">
                  <a16:creationId xmlns:a16="http://schemas.microsoft.com/office/drawing/2014/main" id="{27E15040-8B15-50A5-20F6-CA5760801DD9}"/>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8672946" y="4572001"/>
              <a:ext cx="1828800" cy="2193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288636</xdr:colOff>
      <xdr:row>9</xdr:row>
      <xdr:rowOff>0</xdr:rowOff>
    </xdr:from>
    <xdr:to>
      <xdr:col>25</xdr:col>
      <xdr:colOff>600364</xdr:colOff>
      <xdr:row>36</xdr:row>
      <xdr:rowOff>127000</xdr:rowOff>
    </xdr:to>
    <xdr:sp macro="" textlink="">
      <xdr:nvSpPr>
        <xdr:cNvPr id="10" name="TextBox 9">
          <a:extLst>
            <a:ext uri="{FF2B5EF4-FFF2-40B4-BE49-F238E27FC236}">
              <a16:creationId xmlns:a16="http://schemas.microsoft.com/office/drawing/2014/main" id="{FE09DAA8-BC01-8D11-F38B-61DD2AB48BEA}"/>
            </a:ext>
          </a:extLst>
        </xdr:cNvPr>
        <xdr:cNvSpPr txBox="1"/>
      </xdr:nvSpPr>
      <xdr:spPr>
        <a:xfrm>
          <a:off x="10691091" y="1293091"/>
          <a:ext cx="5207000" cy="5114636"/>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kern="1200"/>
            <a:t>Analysis:</a:t>
          </a:r>
        </a:p>
        <a:p>
          <a:endParaRPr lang="en-US" sz="1400" kern="1200"/>
        </a:p>
        <a:p>
          <a:r>
            <a:rPr lang="en-US" sz="1600" kern="1200">
              <a:solidFill>
                <a:schemeClr val="tx1"/>
              </a:solidFill>
            </a:rPr>
            <a:t>There are 4 visuals for our analysis:</a:t>
          </a:r>
        </a:p>
        <a:p>
          <a:r>
            <a:rPr lang="en-US" sz="1600" kern="1200">
              <a:solidFill>
                <a:schemeClr val="tx1"/>
              </a:solidFill>
            </a:rPr>
            <a:t>1. The first</a:t>
          </a:r>
          <a:r>
            <a:rPr lang="en-US" sz="1600" kern="1200" baseline="0">
              <a:solidFill>
                <a:schemeClr val="tx1"/>
              </a:solidFill>
            </a:rPr>
            <a:t> one is telling us about which hour is a peak hour based on the weekdays. The denser the color the more people are there in the store.</a:t>
          </a:r>
        </a:p>
        <a:p>
          <a:endParaRPr lang="en-US" sz="1600" kern="1200" baseline="0">
            <a:solidFill>
              <a:schemeClr val="tx1"/>
            </a:solidFill>
          </a:endParaRPr>
        </a:p>
        <a:p>
          <a:r>
            <a:rPr lang="en-US" sz="1600" kern="1200" baseline="0">
              <a:solidFill>
                <a:schemeClr val="tx1"/>
              </a:solidFill>
            </a:rPr>
            <a:t>2. Map is showing the demand of coffee in multiple states. Clearly, the california is beating all the other states when it comes to consumption of coffee for this particular store.</a:t>
          </a:r>
        </a:p>
        <a:p>
          <a:endParaRPr lang="en-US" sz="1600" kern="1200" baseline="0">
            <a:solidFill>
              <a:schemeClr val="tx1"/>
            </a:solidFill>
          </a:endParaRPr>
        </a:p>
        <a:p>
          <a:r>
            <a:rPr lang="en-US" sz="1600" kern="1200" baseline="0">
              <a:solidFill>
                <a:schemeClr val="tx1"/>
              </a:solidFill>
            </a:rPr>
            <a:t>3.Tourist are the people who bought coffee and visited this store.</a:t>
          </a:r>
        </a:p>
        <a:p>
          <a:endParaRPr lang="en-US" sz="1600" kern="1200" baseline="0">
            <a:solidFill>
              <a:schemeClr val="tx1"/>
            </a:solidFill>
          </a:endParaRPr>
        </a:p>
        <a:p>
          <a:r>
            <a:rPr lang="en-US" sz="1600" kern="1200" baseline="0">
              <a:solidFill>
                <a:schemeClr val="tx1"/>
              </a:solidFill>
            </a:rPr>
            <a:t>4. Famous method for payment is Mobile application</a:t>
          </a:r>
        </a:p>
        <a:p>
          <a:endParaRPr lang="en-US" sz="1600" kern="1200" baseline="0">
            <a:solidFill>
              <a:schemeClr val="tx1"/>
            </a:solidFill>
          </a:endParaRPr>
        </a:p>
        <a:p>
          <a:r>
            <a:rPr lang="en-US" sz="1600" kern="1200" baseline="0">
              <a:solidFill>
                <a:schemeClr val="tx1"/>
              </a:solidFill>
            </a:rPr>
            <a:t>5. The average rating for all the coffee is 3.07</a:t>
          </a:r>
          <a:endParaRPr lang="en-US" sz="1600" kern="1200">
            <a:solidFill>
              <a:schemeClr val="tx1"/>
            </a:solidFill>
          </a:endParaRPr>
        </a:p>
      </xdr:txBody>
    </xdr:sp>
    <xdr:clientData/>
  </xdr:twoCellAnchor>
  <xdr:twoCellAnchor>
    <xdr:from>
      <xdr:col>0</xdr:col>
      <xdr:colOff>46182</xdr:colOff>
      <xdr:row>5</xdr:row>
      <xdr:rowOff>103909</xdr:rowOff>
    </xdr:from>
    <xdr:to>
      <xdr:col>8</xdr:col>
      <xdr:colOff>34636</xdr:colOff>
      <xdr:row>8</xdr:row>
      <xdr:rowOff>103910</xdr:rowOff>
    </xdr:to>
    <xdr:sp macro="" textlink="">
      <xdr:nvSpPr>
        <xdr:cNvPr id="12" name="Rectangle 11">
          <a:extLst>
            <a:ext uri="{FF2B5EF4-FFF2-40B4-BE49-F238E27FC236}">
              <a16:creationId xmlns:a16="http://schemas.microsoft.com/office/drawing/2014/main" id="{403DD7E8-8F46-8FDC-C199-D63C7AA05B6C}"/>
            </a:ext>
          </a:extLst>
        </xdr:cNvPr>
        <xdr:cNvSpPr/>
      </xdr:nvSpPr>
      <xdr:spPr>
        <a:xfrm>
          <a:off x="46182" y="1027545"/>
          <a:ext cx="4883727" cy="554183"/>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7030A0"/>
              </a:solidFill>
            </a:rPr>
            <a:t>Uncovering the Hottest Hours for Coffee Lovers</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0.37278</cdr:x>
      <cdr:y>0.60869</cdr:y>
    </cdr:from>
    <cdr:to>
      <cdr:x>0.62535</cdr:x>
      <cdr:y>0.75652</cdr:y>
    </cdr:to>
    <cdr:sp macro="" textlink="">
      <cdr:nvSpPr>
        <cdr:cNvPr id="2" name="TextBox 6">
          <a:extLst xmlns:a="http://schemas.openxmlformats.org/drawingml/2006/main">
            <a:ext uri="{FF2B5EF4-FFF2-40B4-BE49-F238E27FC236}">
              <a16:creationId xmlns:a16="http://schemas.microsoft.com/office/drawing/2014/main" id="{8148A04C-7B45-72E2-C0EF-3ECE72146572}"/>
            </a:ext>
          </a:extLst>
        </cdr:cNvPr>
        <cdr:cNvSpPr txBox="1"/>
      </cdr:nvSpPr>
      <cdr:spPr>
        <a:xfrm xmlns:a="http://schemas.openxmlformats.org/drawingml/2006/main">
          <a:off x="1378527" y="808180"/>
          <a:ext cx="934028" cy="196274"/>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34D9DB74-3DEA-4F32-B0AF-2AED44FF811E}" type="TxLink">
            <a:rPr lang="en-US" sz="1600" b="1" i="0" u="none" strike="noStrike" kern="1200">
              <a:solidFill>
                <a:srgbClr val="7030A0"/>
              </a:solidFill>
              <a:latin typeface="Calibri"/>
              <a:ea typeface="Calibri"/>
              <a:cs typeface="Calibri"/>
            </a:rPr>
            <a:pPr algn="ctr"/>
            <a:t>3.07 / 5</a:t>
          </a:fld>
          <a:endParaRPr lang="en-US" sz="1600" b="1" kern="1200">
            <a:solidFill>
              <a:srgbClr val="7030A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ant Singh" refreshedDate="45672.638691435182" createdVersion="8" refreshedVersion="8" minRefreshableVersion="3" recordCount="1001" xr:uid="{816618F4-F749-4DF4-879B-BD52D5A66F12}">
  <cacheSource type="worksheet">
    <worksheetSource ref="A1:N1048576" sheet="Coffee_Sales_Dataset"/>
  </cacheSource>
  <cacheFields count="14">
    <cacheField name="Date" numFmtId="14">
      <sharedItems containsNonDate="0" containsDate="1" containsString="0" containsBlank="1" minDate="2024-12-15T08:09:00" maxDate="2024-12-30T17:57:00" count="947">
        <d v="2024-12-29T17:48:00"/>
        <d v="2024-12-27T10:12:00"/>
        <d v="2024-12-26T11:01:00"/>
        <d v="2024-12-22T11:01:00"/>
        <d v="2024-12-25T15:44:00"/>
        <d v="2024-12-22T10:22:00"/>
        <d v="2024-12-23T10:48:00"/>
        <d v="2024-12-24T10:00:00"/>
        <d v="2024-12-23T11:50:00"/>
        <d v="2024-12-29T15:22:00"/>
        <d v="2024-12-18T10:44:00"/>
        <d v="2024-12-27T08:12:00"/>
        <d v="2024-12-25T09:50:00"/>
        <d v="2024-12-28T12:37:00"/>
        <d v="2024-12-27T16:13:00"/>
        <d v="2024-12-20T17:11:00"/>
        <d v="2024-12-16T13:07:00"/>
        <d v="2024-12-22T14:18:00"/>
        <d v="2024-12-18T09:57:00"/>
        <d v="2024-12-25T09:07:00"/>
        <d v="2024-12-24T14:07:00"/>
        <d v="2024-12-30T15:32:00"/>
        <d v="2024-12-26T09:31:00"/>
        <d v="2024-12-25T16:49:00"/>
        <d v="2024-12-27T16:34:00"/>
        <d v="2024-12-15T10:35:00"/>
        <d v="2024-12-24T15:42:00"/>
        <d v="2024-12-24T14:39:00"/>
        <d v="2024-12-15T13:24:00"/>
        <d v="2024-12-25T17:05:00"/>
        <d v="2024-12-24T14:17:00"/>
        <d v="2024-12-27T09:44:00"/>
        <d v="2024-12-18T09:53:00"/>
        <d v="2024-12-16T13:17:00"/>
        <d v="2024-12-21T16:20:00"/>
        <d v="2024-12-28T17:31:00"/>
        <d v="2024-12-20T10:15:00"/>
        <d v="2024-12-19T12:41:00"/>
        <d v="2024-12-27T12:29:00"/>
        <d v="2024-12-27T12:42:00"/>
        <d v="2024-12-19T09:57:00"/>
        <d v="2024-12-26T09:33:00"/>
        <d v="2024-12-26T11:59:00"/>
        <d v="2024-12-15T16:23:00"/>
        <d v="2024-12-28T08:41:00"/>
        <d v="2024-12-29T09:34:00"/>
        <d v="2024-12-28T10:58:00"/>
        <d v="2024-12-22T14:59:00"/>
        <d v="2024-12-21T16:47:00"/>
        <d v="2024-12-18T12:20:00"/>
        <d v="2024-12-22T10:16:00"/>
        <d v="2024-12-29T17:14:00"/>
        <d v="2024-12-15T17:27:00"/>
        <d v="2024-12-21T15:52:00"/>
        <d v="2024-12-21T11:38:00"/>
        <d v="2024-12-30T11:39:00"/>
        <d v="2024-12-30T14:43:00"/>
        <d v="2024-12-20T11:30:00"/>
        <d v="2024-12-19T14:42:00"/>
        <d v="2024-12-17T13:45:00"/>
        <d v="2024-12-29T12:57:00"/>
        <d v="2024-12-23T15:03:00"/>
        <d v="2024-12-30T15:02:00"/>
        <d v="2024-12-16T12:11:00"/>
        <d v="2024-12-17T09:15:00"/>
        <d v="2024-12-24T09:53:00"/>
        <d v="2024-12-20T08:41:00"/>
        <d v="2024-12-26T16:38:00"/>
        <d v="2024-12-27T12:41:00"/>
        <d v="2024-12-28T16:12:00"/>
        <d v="2024-12-21T14:05:00"/>
        <d v="2024-12-25T16:05:00"/>
        <d v="2024-12-23T12:36:00"/>
        <d v="2024-12-25T17:52:00"/>
        <d v="2024-12-28T08:05:00"/>
        <d v="2024-12-18T09:47:00"/>
        <d v="2024-12-27T09:08:00"/>
        <d v="2024-12-25T14:53:00"/>
        <d v="2024-12-29T15:31:00"/>
        <d v="2024-12-16T14:26:00"/>
        <d v="2024-12-24T17:59:00"/>
        <d v="2024-12-29T14:56:00"/>
        <d v="2024-12-19T11:30:00"/>
        <d v="2024-12-26T14:26:00"/>
        <d v="2024-12-17T11:10:00"/>
        <d v="2024-12-20T12:22:00"/>
        <d v="2024-12-18T12:21:00"/>
        <d v="2024-12-26T15:51:00"/>
        <d v="2024-12-25T11:58:00"/>
        <d v="2024-12-20T10:07:00"/>
        <d v="2024-12-16T13:45:00"/>
        <d v="2024-12-29T16:50:00"/>
        <d v="2024-12-21T14:48:00"/>
        <d v="2024-12-21T16:55:00"/>
        <d v="2024-12-22T11:56:00"/>
        <d v="2024-12-29T16:37:00"/>
        <d v="2024-12-20T08:48:00"/>
        <d v="2024-12-18T12:18:00"/>
        <d v="2024-12-28T13:29:00"/>
        <d v="2024-12-18T09:23:00"/>
        <d v="2024-12-26T14:52:00"/>
        <d v="2024-12-16T11:29:00"/>
        <d v="2024-12-20T12:02:00"/>
        <d v="2024-12-17T17:26:00"/>
        <d v="2024-12-28T14:30:00"/>
        <d v="2024-12-23T15:48:00"/>
        <d v="2024-12-29T13:34:00"/>
        <d v="2024-12-23T09:41:00"/>
        <d v="2024-12-23T08:07:00"/>
        <d v="2024-12-24T14:37:00"/>
        <d v="2024-12-16T09:34:00"/>
        <d v="2024-12-30T10:01:00"/>
        <d v="2024-12-15T11:48:00"/>
        <d v="2024-12-23T09:30:00"/>
        <d v="2024-12-25T10:19:00"/>
        <d v="2024-12-23T14:58:00"/>
        <d v="2024-12-19T12:53:00"/>
        <d v="2024-12-19T14:44:00"/>
        <d v="2024-12-29T13:40:00"/>
        <d v="2024-12-15T10:41:00"/>
        <d v="2024-12-23T09:34:00"/>
        <d v="2024-12-28T08:07:00"/>
        <d v="2024-12-28T12:51:00"/>
        <d v="2024-12-30T14:07:00"/>
        <d v="2024-12-17T09:08:00"/>
        <d v="2024-12-24T16:56:00"/>
        <d v="2024-12-25T15:31:00"/>
        <d v="2024-12-15T11:21:00"/>
        <d v="2024-12-19T09:01:00"/>
        <d v="2024-12-30T08:52:00"/>
        <d v="2024-12-16T08:58:00"/>
        <d v="2024-12-24T14:04:00"/>
        <d v="2024-12-27T17:00:00"/>
        <d v="2024-12-20T11:06:00"/>
        <d v="2024-12-21T17:28:00"/>
        <d v="2024-12-19T16:49:00"/>
        <d v="2024-12-15T16:52:00"/>
        <d v="2024-12-25T15:38:00"/>
        <d v="2024-12-29T08:31:00"/>
        <d v="2024-12-27T14:13:00"/>
        <d v="2024-12-22T17:58:00"/>
        <d v="2024-12-18T11:01:00"/>
        <d v="2024-12-19T11:23:00"/>
        <d v="2024-12-27T11:34:00"/>
        <d v="2024-12-19T10:20:00"/>
        <d v="2024-12-27T17:04:00"/>
        <d v="2024-12-26T16:44:00"/>
        <d v="2024-12-29T15:55:00"/>
        <d v="2024-12-27T12:28:00"/>
        <d v="2024-12-20T15:20:00"/>
        <d v="2024-12-28T16:34:00"/>
        <d v="2024-12-20T13:16:00"/>
        <d v="2024-12-27T12:52:00"/>
        <d v="2024-12-28T11:14:00"/>
        <d v="2024-12-20T11:27:00"/>
        <d v="2024-12-22T13:21:00"/>
        <d v="2024-12-29T10:21:00"/>
        <d v="2024-12-21T15:06:00"/>
        <d v="2024-12-16T08:23:00"/>
        <d v="2024-12-22T09:24:00"/>
        <d v="2024-12-23T15:17:00"/>
        <d v="2024-12-24T09:18:00"/>
        <d v="2024-12-29T14:29:00"/>
        <d v="2024-12-19T16:18:00"/>
        <d v="2024-12-27T16:49:00"/>
        <d v="2024-12-21T14:54:00"/>
        <d v="2024-12-16T16:42:00"/>
        <d v="2024-12-16T14:10:00"/>
        <d v="2024-12-29T16:13:00"/>
        <d v="2024-12-24T08:49:00"/>
        <d v="2024-12-30T13:52:00"/>
        <d v="2024-12-16T13:20:00"/>
        <d v="2024-12-20T10:00:00"/>
        <d v="2024-12-20T09:56:00"/>
        <d v="2024-12-24T14:43:00"/>
        <d v="2024-12-24T17:28:00"/>
        <d v="2024-12-26T11:39:00"/>
        <d v="2024-12-18T17:28:00"/>
        <d v="2024-12-20T11:34:00"/>
        <d v="2024-12-22T08:04:00"/>
        <d v="2024-12-28T11:15:00"/>
        <d v="2024-12-24T12:18:00"/>
        <d v="2024-12-22T16:39:00"/>
        <d v="2024-12-24T10:35:00"/>
        <d v="2024-12-17T15:12:00"/>
        <d v="2024-12-21T12:41:00"/>
        <d v="2024-12-30T13:32:00"/>
        <d v="2024-12-15T13:40:00"/>
        <d v="2024-12-29T10:53:00"/>
        <d v="2024-12-16T17:49:00"/>
        <d v="2024-12-15T09:49:00"/>
        <d v="2024-12-18T10:32:00"/>
        <d v="2024-12-19T14:28:00"/>
        <d v="2024-12-15T11:30:00"/>
        <d v="2024-12-23T08:24:00"/>
        <d v="2024-12-30T11:23:00"/>
        <d v="2024-12-26T10:01:00"/>
        <d v="2024-12-25T08:40:00"/>
        <d v="2024-12-21T17:50:00"/>
        <d v="2024-12-26T16:56:00"/>
        <d v="2024-12-17T15:07:00"/>
        <d v="2024-12-30T08:10:00"/>
        <d v="2024-12-16T13:55:00"/>
        <d v="2024-12-30T14:51:00"/>
        <d v="2024-12-24T10:54:00"/>
        <d v="2024-12-30T13:49:00"/>
        <d v="2024-12-20T12:53:00"/>
        <d v="2024-12-19T09:17:00"/>
        <d v="2024-12-17T11:54:00"/>
        <d v="2024-12-30T16:25:00"/>
        <d v="2024-12-19T11:44:00"/>
        <d v="2024-12-24T15:44:00"/>
        <d v="2024-12-16T10:24:00"/>
        <d v="2024-12-25T17:27:00"/>
        <d v="2024-12-30T14:49:00"/>
        <d v="2024-12-16T09:07:00"/>
        <d v="2024-12-27T10:24:00"/>
        <d v="2024-12-17T08:25:00"/>
        <d v="2024-12-27T11:42:00"/>
        <d v="2024-12-18T10:05:00"/>
        <d v="2024-12-18T08:33:00"/>
        <d v="2024-12-23T11:44:00"/>
        <d v="2024-12-18T13:17:00"/>
        <d v="2024-12-16T12:43:00"/>
        <d v="2024-12-24T16:38:00"/>
        <d v="2024-12-16T09:43:00"/>
        <d v="2024-12-19T09:24:00"/>
        <d v="2024-12-16T13:44:00"/>
        <d v="2024-12-17T16:35:00"/>
        <d v="2024-12-25T10:24:00"/>
        <d v="2024-12-17T13:51:00"/>
        <d v="2024-12-27T09:40:00"/>
        <d v="2024-12-23T15:51:00"/>
        <d v="2024-12-26T14:00:00"/>
        <d v="2024-12-15T15:10:00"/>
        <d v="2024-12-20T09:21:00"/>
        <d v="2024-12-15T17:25:00"/>
        <d v="2024-12-24T13:19:00"/>
        <d v="2024-12-22T09:33:00"/>
        <d v="2024-12-21T12:23:00"/>
        <d v="2024-12-26T08:22:00"/>
        <d v="2024-12-25T15:42:00"/>
        <d v="2024-12-17T09:50:00"/>
        <d v="2024-12-26T14:30:00"/>
        <d v="2024-12-19T09:55:00"/>
        <d v="2024-12-24T11:54:00"/>
        <d v="2024-12-21T17:12:00"/>
        <d v="2024-12-21T08:32:00"/>
        <d v="2024-12-29T10:02:00"/>
        <d v="2024-12-19T15:23:00"/>
        <d v="2024-12-23T13:15:00"/>
        <d v="2024-12-30T11:12:00"/>
        <d v="2024-12-23T10:02:00"/>
        <d v="2024-12-22T16:59:00"/>
        <d v="2024-12-26T14:31:00"/>
        <d v="2024-12-21T12:13:00"/>
        <d v="2024-12-19T11:18:00"/>
        <d v="2024-12-19T08:41:00"/>
        <d v="2024-12-30T16:16:00"/>
        <d v="2024-12-30T16:42:00"/>
        <d v="2024-12-18T12:13:00"/>
        <d v="2024-12-17T10:52:00"/>
        <d v="2024-12-29T14:43:00"/>
        <d v="2024-12-17T08:38:00"/>
        <d v="2024-12-30T17:00:00"/>
        <d v="2024-12-29T10:19:00"/>
        <d v="2024-12-16T12:06:00"/>
        <d v="2024-12-20T17:21:00"/>
        <d v="2024-12-17T14:09:00"/>
        <d v="2024-12-27T10:49:00"/>
        <d v="2024-12-17T13:08:00"/>
        <d v="2024-12-17T11:24:00"/>
        <d v="2024-12-27T11:44:00"/>
        <d v="2024-12-29T13:54:00"/>
        <d v="2024-12-28T08:09:00"/>
        <d v="2024-12-26T12:30:00"/>
        <d v="2024-12-24T10:32:00"/>
        <d v="2024-12-19T11:27:00"/>
        <d v="2024-12-17T16:38:00"/>
        <d v="2024-12-25T11:17:00"/>
        <d v="2024-12-16T17:00:00"/>
        <d v="2024-12-15T13:05:00"/>
        <d v="2024-12-20T16:06:00"/>
        <d v="2024-12-25T09:56:00"/>
        <d v="2024-12-25T13:28:00"/>
        <d v="2024-12-30T17:04:00"/>
        <d v="2024-12-22T15:20:00"/>
        <d v="2024-12-19T15:16:00"/>
        <d v="2024-12-28T10:28:00"/>
        <d v="2024-12-29T08:39:00"/>
        <d v="2024-12-24T09:14:00"/>
        <d v="2024-12-16T10:46:00"/>
        <d v="2024-12-16T15:02:00"/>
        <d v="2024-12-27T15:13:00"/>
        <d v="2024-12-16T14:05:00"/>
        <d v="2024-12-16T14:21:00"/>
        <d v="2024-12-20T17:24:00"/>
        <d v="2024-12-29T10:31:00"/>
        <d v="2024-12-16T11:47:00"/>
        <d v="2024-12-20T16:27:00"/>
        <d v="2024-12-17T14:24:00"/>
        <d v="2024-12-16T08:39:00"/>
        <d v="2024-12-25T14:13:00"/>
        <d v="2024-12-21T14:00:00"/>
        <d v="2024-12-15T08:09:00"/>
        <d v="2024-12-21T13:33:00"/>
        <d v="2024-12-28T10:20:00"/>
        <d v="2024-12-21T10:29:00"/>
        <d v="2024-12-27T08:17:00"/>
        <d v="2024-12-19T10:05:00"/>
        <d v="2024-12-22T09:13:00"/>
        <d v="2024-12-25T08:07:00"/>
        <d v="2024-12-24T16:01:00"/>
        <d v="2024-12-16T10:17:00"/>
        <d v="2024-12-30T11:16:00"/>
        <d v="2024-12-30T15:27:00"/>
        <d v="2024-12-20T09:28:00"/>
        <d v="2024-12-15T10:51:00"/>
        <d v="2024-12-24T16:13:00"/>
        <d v="2024-12-20T13:12:00"/>
        <d v="2024-12-20T14:15:00"/>
        <d v="2024-12-15T16:58:00"/>
        <d v="2024-12-27T14:05:00"/>
        <d v="2024-12-28T17:06:00"/>
        <d v="2024-12-16T13:52:00"/>
        <d v="2024-12-20T17:50:00"/>
        <d v="2024-12-27T14:40:00"/>
        <d v="2024-12-18T12:49:00"/>
        <d v="2024-12-18T11:29:00"/>
        <d v="2024-12-28T09:58:00"/>
        <d v="2024-12-17T12:55:00"/>
        <d v="2024-12-15T16:28:00"/>
        <d v="2024-12-21T13:03:00"/>
        <d v="2024-12-21T17:17:00"/>
        <d v="2024-12-15T08:36:00"/>
        <d v="2024-12-16T12:31:00"/>
        <d v="2024-12-29T17:30:00"/>
        <d v="2024-12-27T09:19:00"/>
        <d v="2024-12-15T13:19:00"/>
        <d v="2024-12-17T14:54:00"/>
        <d v="2024-12-26T11:58:00"/>
        <d v="2024-12-29T14:37:00"/>
        <d v="2024-12-24T13:18:00"/>
        <d v="2024-12-23T10:19:00"/>
        <d v="2024-12-16T15:19:00"/>
        <d v="2024-12-25T16:09:00"/>
        <d v="2024-12-15T13:15:00"/>
        <d v="2024-12-21T13:51:00"/>
        <d v="2024-12-16T17:59:00"/>
        <d v="2024-12-23T13:29:00"/>
        <d v="2024-12-16T10:39:00"/>
        <d v="2024-12-17T08:29:00"/>
        <d v="2024-12-24T13:55:00"/>
        <d v="2024-12-26T15:08:00"/>
        <d v="2024-12-16T08:09:00"/>
        <d v="2024-12-15T09:19:00"/>
        <d v="2024-12-16T10:40:00"/>
        <d v="2024-12-22T12:42:00"/>
        <d v="2024-12-28T10:01:00"/>
        <d v="2024-12-30T15:56:00"/>
        <d v="2024-12-16T10:22:00"/>
        <d v="2024-12-21T15:38:00"/>
        <d v="2024-12-20T17:53:00"/>
        <d v="2024-12-20T11:49:00"/>
        <d v="2024-12-28T09:28:00"/>
        <d v="2024-12-30T17:35:00"/>
        <d v="2024-12-27T11:05:00"/>
        <d v="2024-12-24T09:21:00"/>
        <d v="2024-12-20T16:54:00"/>
        <d v="2024-12-19T09:31:00"/>
        <d v="2024-12-16T10:18:00"/>
        <d v="2024-12-24T12:41:00"/>
        <d v="2024-12-29T08:15:00"/>
        <d v="2024-12-29T16:30:00"/>
        <d v="2024-12-19T11:01:00"/>
        <d v="2024-12-26T14:44:00"/>
        <d v="2024-12-18T09:37:00"/>
        <d v="2024-12-16T10:28:00"/>
        <d v="2024-12-25T09:16:00"/>
        <d v="2024-12-19T11:33:00"/>
        <d v="2024-12-18T10:53:00"/>
        <d v="2024-12-26T15:07:00"/>
        <d v="2024-12-21T08:55:00"/>
        <d v="2024-12-25T08:34:00"/>
        <d v="2024-12-21T14:50:00"/>
        <d v="2024-12-27T12:10:00"/>
        <d v="2024-12-27T12:21:00"/>
        <d v="2024-12-24T13:53:00"/>
        <d v="2024-12-25T16:13:00"/>
        <d v="2024-12-19T15:08:00"/>
        <d v="2024-12-28T17:20:00"/>
        <d v="2024-12-24T13:06:00"/>
        <d v="2024-12-16T14:56:00"/>
        <d v="2024-12-24T10:23:00"/>
        <d v="2024-12-27T13:13:00"/>
        <d v="2024-12-24T17:40:00"/>
        <d v="2024-12-20T11:53:00"/>
        <d v="2024-12-22T14:23:00"/>
        <d v="2024-12-18T10:59:00"/>
        <d v="2024-12-19T16:45:00"/>
        <d v="2024-12-23T16:58:00"/>
        <d v="2024-12-24T17:06:00"/>
        <d v="2024-12-26T10:46:00"/>
        <d v="2024-12-22T16:46:00"/>
        <d v="2024-12-23T14:18:00"/>
        <d v="2024-12-19T17:20:00"/>
        <d v="2024-12-30T12:38:00"/>
        <d v="2024-12-29T16:34:00"/>
        <d v="2024-12-23T15:18:00"/>
        <d v="2024-12-30T09:22:00"/>
        <d v="2024-12-25T09:45:00"/>
        <d v="2024-12-18T17:24:00"/>
        <d v="2024-12-18T09:33:00"/>
        <d v="2024-12-24T17:15:00"/>
        <d v="2024-12-24T16:30:00"/>
        <d v="2024-12-16T15:20:00"/>
        <d v="2024-12-15T12:32:00"/>
        <d v="2024-12-21T12:58:00"/>
        <d v="2024-12-29T16:04:00"/>
        <d v="2024-12-29T13:26:00"/>
        <d v="2024-12-27T08:10:00"/>
        <d v="2024-12-25T10:52:00"/>
        <d v="2024-12-16T17:50:00"/>
        <d v="2024-12-22T09:16:00"/>
        <d v="2024-12-29T16:32:00"/>
        <d v="2024-12-24T08:25:00"/>
        <d v="2024-12-17T15:37:00"/>
        <d v="2024-12-26T10:02:00"/>
        <d v="2024-12-23T13:41:00"/>
        <d v="2024-12-27T10:33:00"/>
        <d v="2024-12-22T16:26:00"/>
        <d v="2024-12-17T16:43:00"/>
        <d v="2024-12-17T15:00:00"/>
        <d v="2024-12-23T13:06:00"/>
        <d v="2024-12-29T12:18:00"/>
        <d v="2024-12-16T10:06:00"/>
        <d v="2024-12-27T17:38:00"/>
        <d v="2024-12-30T09:59:00"/>
        <d v="2024-12-21T15:20:00"/>
        <d v="2024-12-28T13:33:00"/>
        <d v="2024-12-22T12:43:00"/>
        <d v="2024-12-18T16:56:00"/>
        <d v="2024-12-15T12:21:00"/>
        <d v="2024-12-21T12:17:00"/>
        <d v="2024-12-27T08:23:00"/>
        <d v="2024-12-15T08:20:00"/>
        <d v="2024-12-29T17:46:00"/>
        <d v="2024-12-28T16:09:00"/>
        <d v="2024-12-19T16:22:00"/>
        <d v="2024-12-17T09:11:00"/>
        <d v="2024-12-29T11:19:00"/>
        <d v="2024-12-24T14:14:00"/>
        <d v="2024-12-20T13:22:00"/>
        <d v="2024-12-18T14:22:00"/>
        <d v="2024-12-22T08:59:00"/>
        <d v="2024-12-21T17:57:00"/>
        <d v="2024-12-25T09:11:00"/>
        <d v="2024-12-27T16:06:00"/>
        <d v="2024-12-30T16:12:00"/>
        <d v="2024-12-22T10:29:00"/>
        <d v="2024-12-21T11:09:00"/>
        <d v="2024-12-26T15:42:00"/>
        <d v="2024-12-29T14:38:00"/>
        <d v="2024-12-20T13:32:00"/>
        <d v="2024-12-19T09:21:00"/>
        <d v="2024-12-30T14:11:00"/>
        <d v="2024-12-19T12:47:00"/>
        <d v="2024-12-30T16:48:00"/>
        <d v="2024-12-28T15:27:00"/>
        <d v="2024-12-20T12:49:00"/>
        <d v="2024-12-24T13:46:00"/>
        <d v="2024-12-25T14:57:00"/>
        <d v="2024-12-17T09:24:00"/>
        <d v="2024-12-26T09:53:00"/>
        <d v="2024-12-18T14:17:00"/>
        <d v="2024-12-21T08:50:00"/>
        <d v="2024-12-18T17:18:00"/>
        <d v="2024-12-19T08:42:00"/>
        <d v="2024-12-19T13:28:00"/>
        <d v="2024-12-27T12:35:00"/>
        <d v="2024-12-18T09:36:00"/>
        <d v="2024-12-28T15:48:00"/>
        <d v="2024-12-27T10:43:00"/>
        <d v="2024-12-17T17:32:00"/>
        <d v="2024-12-25T13:01:00"/>
        <d v="2024-12-17T11:20:00"/>
        <d v="2024-12-30T16:41:00"/>
        <d v="2024-12-25T14:55:00"/>
        <d v="2024-12-25T16:45:00"/>
        <d v="2024-12-26T16:40:00"/>
        <d v="2024-12-17T11:50:00"/>
        <d v="2024-12-27T13:18:00"/>
        <d v="2024-12-19T11:56:00"/>
        <d v="2024-12-25T10:47:00"/>
        <d v="2024-12-24T10:37:00"/>
        <d v="2024-12-24T16:20:00"/>
        <d v="2024-12-15T09:21:00"/>
        <d v="2024-12-24T08:53:00"/>
        <d v="2024-12-16T16:34:00"/>
        <d v="2024-12-27T10:44:00"/>
        <d v="2024-12-26T09:57:00"/>
        <d v="2024-12-23T08:20:00"/>
        <d v="2024-12-24T12:36:00"/>
        <d v="2024-12-27T17:17:00"/>
        <d v="2024-12-18T12:43:00"/>
        <d v="2024-12-22T10:04:00"/>
        <d v="2024-12-18T09:48:00"/>
        <d v="2024-12-24T10:20:00"/>
        <d v="2024-12-27T12:14:00"/>
        <d v="2024-12-15T11:13:00"/>
        <d v="2024-12-27T17:32:00"/>
        <d v="2024-12-22T08:49:00"/>
        <d v="2024-12-28T17:19:00"/>
        <d v="2024-12-28T08:08:00"/>
        <d v="2024-12-22T15:23:00"/>
        <d v="2024-12-25T14:25:00"/>
        <d v="2024-12-28T13:50:00"/>
        <d v="2024-12-23T16:54:00"/>
        <d v="2024-12-29T10:41:00"/>
        <d v="2024-12-24T08:39:00"/>
        <d v="2024-12-25T11:49:00"/>
        <d v="2024-12-15T17:54:00"/>
        <d v="2024-12-17T12:14:00"/>
        <d v="2024-12-21T15:28:00"/>
        <d v="2024-12-16T11:07:00"/>
        <d v="2024-12-20T12:32:00"/>
        <d v="2024-12-21T12:14:00"/>
        <d v="2024-12-28T10:36:00"/>
        <d v="2024-12-20T14:52:00"/>
        <d v="2024-12-27T08:31:00"/>
        <d v="2024-12-15T10:58:00"/>
        <d v="2024-12-22T12:08:00"/>
        <d v="2024-12-23T10:14:00"/>
        <d v="2024-12-20T15:42:00"/>
        <d v="2024-12-24T08:47:00"/>
        <d v="2024-12-17T13:00:00"/>
        <d v="2024-12-23T09:47:00"/>
        <d v="2024-12-22T09:42:00"/>
        <d v="2024-12-18T15:53:00"/>
        <d v="2024-12-30T16:11:00"/>
        <d v="2024-12-27T17:55:00"/>
        <d v="2024-12-21T16:26:00"/>
        <d v="2024-12-18T17:38:00"/>
        <d v="2024-12-21T11:15:00"/>
        <d v="2024-12-17T12:48:00"/>
        <d v="2024-12-19T09:34:00"/>
        <d v="2024-12-16T15:27:00"/>
        <d v="2024-12-30T13:15:00"/>
        <d v="2024-12-29T16:21:00"/>
        <d v="2024-12-22T17:27:00"/>
        <d v="2024-12-16T09:36:00"/>
        <d v="2024-12-28T17:55:00"/>
        <d v="2024-12-15T13:06:00"/>
        <d v="2024-12-22T08:20:00"/>
        <d v="2024-12-27T10:54:00"/>
        <d v="2024-12-25T13:39:00"/>
        <d v="2024-12-29T10:10:00"/>
        <d v="2024-12-26T11:05:00"/>
        <d v="2024-12-21T14:06:00"/>
        <d v="2024-12-25T12:01:00"/>
        <d v="2024-12-19T08:54:00"/>
        <d v="2024-12-25T14:47:00"/>
        <d v="2024-12-20T10:20:00"/>
        <d v="2024-12-18T13:45:00"/>
        <d v="2024-12-21T10:01:00"/>
        <d v="2024-12-16T12:36:00"/>
        <d v="2024-12-19T12:21:00"/>
        <d v="2024-12-24T09:39:00"/>
        <d v="2024-12-15T15:46:00"/>
        <d v="2024-12-17T12:22:00"/>
        <d v="2024-12-15T16:00:00"/>
        <d v="2024-12-22T16:13:00"/>
        <d v="2024-12-23T15:01:00"/>
        <d v="2024-12-24T10:57:00"/>
        <d v="2024-12-27T09:42:00"/>
        <d v="2024-12-15T15:51:00"/>
        <d v="2024-12-27T11:18:00"/>
        <d v="2024-12-15T09:20:00"/>
        <d v="2024-12-18T09:19:00"/>
        <d v="2024-12-30T14:12:00"/>
        <d v="2024-12-23T08:58:00"/>
        <d v="2024-12-24T17:00:00"/>
        <d v="2024-12-28T13:58:00"/>
        <d v="2024-12-21T08:26:00"/>
        <d v="2024-12-15T15:08:00"/>
        <d v="2024-12-30T12:43:00"/>
        <d v="2024-12-30T16:54:00"/>
        <d v="2024-12-28T10:05:00"/>
        <d v="2024-12-27T11:49:00"/>
        <d v="2024-12-18T08:25:00"/>
        <d v="2024-12-15T15:04:00"/>
        <d v="2024-12-21T16:01:00"/>
        <d v="2024-12-25T15:59:00"/>
        <d v="2024-12-24T13:40:00"/>
        <d v="2024-12-29T13:47:00"/>
        <d v="2024-12-28T13:13:00"/>
        <d v="2024-12-25T10:46:00"/>
        <d v="2024-12-28T14:23:00"/>
        <d v="2024-12-25T12:47:00"/>
        <d v="2024-12-28T10:48:00"/>
        <d v="2024-12-15T08:21:00"/>
        <d v="2024-12-24T15:30:00"/>
        <d v="2024-12-29T14:10:00"/>
        <d v="2024-12-27T10:56:00"/>
        <d v="2024-12-30T17:22:00"/>
        <d v="2024-12-30T13:18:00"/>
        <d v="2024-12-28T11:32:00"/>
        <d v="2024-12-30T13:02:00"/>
        <d v="2024-12-15T17:01:00"/>
        <d v="2024-12-16T15:58:00"/>
        <d v="2024-12-17T09:09:00"/>
        <d v="2024-12-16T17:40:00"/>
        <d v="2024-12-17T09:00:00"/>
        <d v="2024-12-28T15:38:00"/>
        <d v="2024-12-17T11:16:00"/>
        <d v="2024-12-27T11:10:00"/>
        <d v="2024-12-26T16:00:00"/>
        <d v="2024-12-16T15:00:00"/>
        <d v="2024-12-26T15:23:00"/>
        <d v="2024-12-21T10:25:00"/>
        <d v="2024-12-15T15:09:00"/>
        <d v="2024-12-22T15:27:00"/>
        <d v="2024-12-24T10:15:00"/>
        <d v="2024-12-25T14:39:00"/>
        <d v="2024-12-16T15:23:00"/>
        <d v="2024-12-23T17:50:00"/>
        <d v="2024-12-22T15:56:00"/>
        <d v="2024-12-22T12:04:00"/>
        <d v="2024-12-25T13:22:00"/>
        <d v="2024-12-30T17:38:00"/>
        <d v="2024-12-19T11:09:00"/>
        <d v="2024-12-23T17:28:00"/>
        <d v="2024-12-16T13:35:00"/>
        <d v="2024-12-21T13:39:00"/>
        <d v="2024-12-29T10:09:00"/>
        <d v="2024-12-20T09:31:00"/>
        <d v="2024-12-28T15:10:00"/>
        <d v="2024-12-15T11:09:00"/>
        <d v="2024-12-25T14:35:00"/>
        <d v="2024-12-24T13:32:00"/>
        <d v="2024-12-17T11:48:00"/>
        <d v="2024-12-22T16:49:00"/>
        <d v="2024-12-26T12:53:00"/>
        <d v="2024-12-19T11:53:00"/>
        <d v="2024-12-27T15:30:00"/>
        <d v="2024-12-24T08:17:00"/>
        <d v="2024-12-30T13:04:00"/>
        <d v="2024-12-16T08:56:00"/>
        <d v="2024-12-15T17:30:00"/>
        <d v="2024-12-21T15:26:00"/>
        <d v="2024-12-18T12:01:00"/>
        <d v="2024-12-27T08:18:00"/>
        <d v="2024-12-23T13:47:00"/>
        <d v="2024-12-25T14:23:00"/>
        <d v="2024-12-28T10:56:00"/>
        <d v="2024-12-28T17:08:00"/>
        <d v="2024-12-24T12:59:00"/>
        <d v="2024-12-23T14:33:00"/>
        <d v="2024-12-26T16:51:00"/>
        <d v="2024-12-23T09:52:00"/>
        <d v="2024-12-22T09:27:00"/>
        <d v="2024-12-21T17:58:00"/>
        <d v="2024-12-19T15:55:00"/>
        <d v="2024-12-30T09:30:00"/>
        <d v="2024-12-30T08:20:00"/>
        <d v="2024-12-29T15:04:00"/>
        <d v="2024-12-16T16:31:00"/>
        <d v="2024-12-30T09:12:00"/>
        <d v="2024-12-20T17:54:00"/>
        <d v="2024-12-24T15:31:00"/>
        <d v="2024-12-15T14:35:00"/>
        <d v="2024-12-16T10:05:00"/>
        <d v="2024-12-24T09:35:00"/>
        <d v="2024-12-16T12:37:00"/>
        <d v="2024-12-22T11:06:00"/>
        <d v="2024-12-17T09:30:00"/>
        <d v="2024-12-21T14:02:00"/>
        <d v="2024-12-22T16:56:00"/>
        <d v="2024-12-21T16:05:00"/>
        <d v="2024-12-24T12:54:00"/>
        <d v="2024-12-30T16:33:00"/>
        <d v="2024-12-29T13:58:00"/>
        <d v="2024-12-24T11:49:00"/>
        <d v="2024-12-23T11:51:00"/>
        <d v="2024-12-17T15:23:00"/>
        <d v="2024-12-16T09:24:00"/>
        <d v="2024-12-21T12:03:00"/>
        <d v="2024-12-16T08:02:00"/>
        <d v="2024-12-29T17:03:00"/>
        <d v="2024-12-24T17:48:00"/>
        <d v="2024-12-17T14:13:00"/>
        <d v="2024-12-18T15:39:00"/>
        <d v="2024-12-28T15:13:00"/>
        <d v="2024-12-27T08:34:00"/>
        <d v="2024-12-20T12:15:00"/>
        <d v="2024-12-22T08:24:00"/>
        <d v="2024-12-19T11:17:00"/>
        <d v="2024-12-19T10:14:00"/>
        <d v="2024-12-22T14:57:00"/>
        <d v="2024-12-23T15:35:00"/>
        <d v="2024-12-23T08:32:00"/>
        <d v="2024-12-28T17:50:00"/>
        <d v="2024-12-27T09:24:00"/>
        <d v="2024-12-30T16:22:00"/>
        <d v="2024-12-17T08:13:00"/>
        <d v="2024-12-20T11:48:00"/>
        <d v="2024-12-30T11:09:00"/>
        <d v="2024-12-20T16:35:00"/>
        <d v="2024-12-17T16:17:00"/>
        <d v="2024-12-22T17:20:00"/>
        <d v="2024-12-15T16:46:00"/>
        <d v="2024-12-17T11:05:00"/>
        <d v="2024-12-24T14:51:00"/>
        <d v="2024-12-27T11:29:00"/>
        <d v="2024-12-30T12:36:00"/>
        <d v="2024-12-27T11:14:00"/>
        <d v="2024-12-19T12:06:00"/>
        <d v="2024-12-23T14:47:00"/>
        <d v="2024-12-27T08:27:00"/>
        <d v="2024-12-22T15:59:00"/>
        <d v="2024-12-24T17:24:00"/>
        <d v="2024-12-29T10:03:00"/>
        <d v="2024-12-16T10:57:00"/>
        <d v="2024-12-27T14:52:00"/>
        <d v="2024-12-24T12:10:00"/>
        <d v="2024-12-26T15:22:00"/>
        <d v="2024-12-22T10:02:00"/>
        <d v="2024-12-19T13:44:00"/>
        <d v="2024-12-19T11:57:00"/>
        <d v="2024-12-21T15:29:00"/>
        <d v="2024-12-30T17:55:00"/>
        <d v="2024-12-18T17:31:00"/>
        <d v="2024-12-20T08:06:00"/>
        <d v="2024-12-21T16:37:00"/>
        <d v="2024-12-18T13:53:00"/>
        <d v="2024-12-15T11:02:00"/>
        <d v="2024-12-30T08:32:00"/>
        <d v="2024-12-28T14:35:00"/>
        <d v="2024-12-16T12:10:00"/>
        <d v="2024-12-19T16:44:00"/>
        <d v="2024-12-30T09:48:00"/>
        <d v="2024-12-19T09:22:00"/>
        <d v="2024-12-17T10:33:00"/>
        <d v="2024-12-16T16:49:00"/>
        <d v="2024-12-28T15:35:00"/>
        <d v="2024-12-20T13:41:00"/>
        <d v="2024-12-23T09:37:00"/>
        <d v="2024-12-18T16:52:00"/>
        <d v="2024-12-30T12:21:00"/>
        <d v="2024-12-30T13:11:00"/>
        <d v="2024-12-20T09:11:00"/>
        <d v="2024-12-29T09:51:00"/>
        <d v="2024-12-21T09:16:00"/>
        <d v="2024-12-26T09:40:00"/>
        <d v="2024-12-15T16:56:00"/>
        <d v="2024-12-24T14:12:00"/>
        <d v="2024-12-28T09:45:00"/>
        <d v="2024-12-26T17:11:00"/>
        <d v="2024-12-25T10:13:00"/>
        <d v="2024-12-18T10:09:00"/>
        <d v="2024-12-28T10:13:00"/>
        <d v="2024-12-19T14:29:00"/>
        <d v="2024-12-19T10:27:00"/>
        <d v="2024-12-21T16:32:00"/>
        <d v="2024-12-27T14:01:00"/>
        <d v="2024-12-24T16:58:00"/>
        <d v="2024-12-20T15:12:00"/>
        <d v="2024-12-25T17:36:00"/>
        <d v="2024-12-18T08:13:00"/>
        <d v="2024-12-18T11:13:00"/>
        <d v="2024-12-20T11:39:00"/>
        <d v="2024-12-25T08:59:00"/>
        <d v="2024-12-15T13:59:00"/>
        <d v="2024-12-18T10:14:00"/>
        <d v="2024-12-18T10:02:00"/>
        <d v="2024-12-28T10:30:00"/>
        <d v="2024-12-18T10:26:00"/>
        <d v="2024-12-30T17:57:00"/>
        <d v="2024-12-19T12:38:00"/>
        <d v="2024-12-17T11:51:00"/>
        <d v="2024-12-23T09:16:00"/>
        <d v="2024-12-30T13:01:00"/>
        <d v="2024-12-27T17:05:00"/>
        <d v="2024-12-15T10:22:00"/>
        <d v="2024-12-28T17:42:00"/>
        <d v="2024-12-27T13:24:00"/>
        <d v="2024-12-29T14:22:00"/>
        <d v="2024-12-17T12:32:00"/>
        <d v="2024-12-23T08:40:00"/>
        <d v="2024-12-27T16:11:00"/>
        <d v="2024-12-29T08:16:00"/>
        <d v="2024-12-23T09:25:00"/>
        <d v="2024-12-23T12:26:00"/>
        <d v="2024-12-16T12:05:00"/>
        <d v="2024-12-28T08:11:00"/>
        <d v="2024-12-30T08:42:00"/>
        <d v="2024-12-27T09:23:00"/>
        <d v="2024-12-28T08:43:00"/>
        <d v="2024-12-18T16:16:00"/>
        <d v="2024-12-22T15:46:00"/>
        <d v="2024-12-17T13:14:00"/>
        <d v="2024-12-28T16:46:00"/>
        <d v="2024-12-16T10:53:00"/>
        <d v="2024-12-28T17:07:00"/>
        <d v="2024-12-19T09:51:00"/>
        <d v="2024-12-21T15:21:00"/>
        <d v="2024-12-24T10:04:00"/>
        <d v="2024-12-17T16:26:00"/>
        <d v="2024-12-23T09:07:00"/>
        <d v="2024-12-29T09:52:00"/>
        <d v="2024-12-19T13:22:00"/>
        <d v="2024-12-21T16:41:00"/>
        <d v="2024-12-29T08:50:00"/>
        <d v="2024-12-15T11:41:00"/>
        <d v="2024-12-23T17:37:00"/>
        <d v="2024-12-21T17:45:00"/>
        <d v="2024-12-27T15:05:00"/>
        <d v="2024-12-24T12:01:00"/>
        <d v="2024-12-19T10:49:00"/>
        <d v="2024-12-17T09:29:00"/>
        <d v="2024-12-18T17:58:00"/>
        <d v="2024-12-28T13:26:00"/>
        <d v="2024-12-27T16:43:00"/>
        <d v="2024-12-29T11:00:00"/>
        <d v="2024-12-30T09:16:00"/>
        <d v="2024-12-16T14:32:00"/>
        <d v="2024-12-15T12:05:00"/>
        <d v="2024-12-19T15:28:00"/>
        <d v="2024-12-25T17:08:00"/>
        <d v="2024-12-30T17:44:00"/>
        <d v="2024-12-22T11:54:00"/>
        <d v="2024-12-18T16:42:00"/>
        <d v="2024-12-16T16:18:00"/>
        <d v="2024-12-15T09:27:00"/>
        <d v="2024-12-29T15:47:00"/>
        <d v="2024-12-23T10:06:00"/>
        <d v="2024-12-27T17:28:00"/>
        <d v="2024-12-21T13:14:00"/>
        <d v="2024-12-21T09:29:00"/>
        <d v="2024-12-20T08:24:00"/>
        <d v="2024-12-16T14:43:00"/>
        <d v="2024-12-26T16:41:00"/>
        <d v="2024-12-23T12:15:00"/>
        <d v="2024-12-27T17:44:00"/>
        <d v="2024-12-20T17:32:00"/>
        <d v="2024-12-30T08:44:00"/>
        <d v="2024-12-27T10:01:00"/>
        <d v="2024-12-23T14:34:00"/>
        <d v="2024-12-24T15:47:00"/>
        <d v="2024-12-20T12:56:00"/>
        <d v="2024-12-24T08:43:00"/>
        <d v="2024-12-21T17:25:00"/>
        <d v="2024-12-25T17:54:00"/>
        <d v="2024-12-17T09:43:00"/>
        <d v="2024-12-17T17:14:00"/>
        <d v="2024-12-26T13:23:00"/>
        <d v="2024-12-16T13:13:00"/>
        <d v="2024-12-26T13:39:00"/>
        <d v="2024-12-15T17:17:00"/>
        <d v="2024-12-24T09:44:00"/>
        <d v="2024-12-18T16:33:00"/>
        <d v="2024-12-28T17:32:00"/>
        <d v="2024-12-23T12:34:00"/>
        <d v="2024-12-17T17:58:00"/>
        <d v="2024-12-27T13:40:00"/>
        <d v="2024-12-28T09:13:00"/>
        <d v="2024-12-25T12:19:00"/>
        <d v="2024-12-30T11:27:00"/>
        <d v="2024-12-26T11:53:00"/>
        <d v="2024-12-21T09:42:00"/>
        <d v="2024-12-22T14:09:00"/>
        <d v="2024-12-18T11:59:00"/>
        <d v="2024-12-29T11:47:00"/>
        <d v="2024-12-17T10:20:00"/>
        <d v="2024-12-16T15:47:00"/>
        <d v="2024-12-24T15:39:00"/>
        <d v="2024-12-17T13:15:00"/>
        <d v="2024-12-30T16:15:00"/>
        <d v="2024-12-17T08:16:00"/>
        <d v="2024-12-22T11:44:00"/>
        <d v="2024-12-30T11:59:00"/>
        <d v="2024-12-22T16:12:00"/>
        <d v="2024-12-22T17:07:00"/>
        <d v="2024-12-21T10:03:00"/>
        <d v="2024-12-15T17:46:00"/>
        <d v="2024-12-24T14:24:00"/>
        <d v="2024-12-24T13:08:00"/>
        <d v="2024-12-28T09:51:00"/>
        <d v="2024-12-18T08:16:00"/>
        <d v="2024-12-22T16:31:00"/>
        <d v="2024-12-28T08:26:00"/>
        <d v="2024-12-28T08:14:00"/>
        <d v="2024-12-29T12:39:00"/>
        <d v="2024-12-22T09:08:00"/>
        <d v="2024-12-15T09:51:00"/>
        <d v="2024-12-18T08:26:00"/>
        <d v="2024-12-20T16:17:00"/>
        <d v="2024-12-21T13:34:00"/>
        <d v="2024-12-16T08:21:00"/>
        <d v="2024-12-16T17:04:00"/>
        <d v="2024-12-21T12:21:00"/>
        <d v="2024-12-15T12:37:00"/>
        <d v="2024-12-20T10:02:00"/>
        <d v="2024-12-23T15:40:00"/>
        <d v="2024-12-23T12:06:00"/>
        <d v="2024-12-18T10:48:00"/>
        <d v="2024-12-27T09:45:00"/>
        <d v="2024-12-22T16:54:00"/>
        <d v="2024-12-30T09:15:00"/>
        <d v="2024-12-26T16:32:00"/>
        <d v="2024-12-27T15:56:00"/>
        <d v="2024-12-19T14:05:00"/>
        <d v="2024-12-17T14:37:00"/>
        <d v="2024-12-27T14:07:00"/>
        <d v="2024-12-23T13:46:00"/>
        <d v="2024-12-23T10:04:00"/>
        <d v="2024-12-28T14:17:00"/>
        <d v="2024-12-18T08:56:00"/>
        <d v="2024-12-24T09:05:00"/>
        <d v="2024-12-26T09:14:00"/>
        <d v="2024-12-16T09:27:00"/>
        <d v="2024-12-22T15:57:00"/>
        <d v="2024-12-22T16:09:00"/>
        <d v="2024-12-30T16:27:00"/>
        <d v="2024-12-29T14:36:00"/>
        <d v="2024-12-24T17:43:00"/>
        <d v="2024-12-30T10:06:00"/>
        <d v="2024-12-24T17:19:00"/>
        <d v="2024-12-27T16:39:00"/>
        <d v="2024-12-20T13:31:00"/>
        <d v="2024-12-20T12:03:00"/>
        <d v="2024-12-17T10:07:00"/>
        <d v="2024-12-17T13:39:00"/>
        <d v="2024-12-28T12:34:00"/>
        <d v="2024-12-26T16:08:00"/>
        <d v="2024-12-30T14:50:00"/>
        <d v="2024-12-18T12:14:00"/>
        <d v="2024-12-30T10:23:00"/>
        <d v="2024-12-15T14:16:00"/>
        <d v="2024-12-16T11:09:00"/>
        <d v="2024-12-29T14:48:00"/>
        <d v="2024-12-23T10:52:00"/>
        <d v="2024-12-19T11:02:00"/>
        <d v="2024-12-29T08:02:00"/>
        <d v="2024-12-28T13:11:00"/>
        <d v="2024-12-25T13:15:00"/>
        <m/>
      </sharedItems>
    </cacheField>
    <cacheField name="Workday" numFmtId="0">
      <sharedItems containsBlank="1" count="8">
        <s v="Sun"/>
        <s v="Fri"/>
        <s v="Thu"/>
        <s v="Wed"/>
        <s v="Mon"/>
        <s v="Tue"/>
        <s v="Sat"/>
        <m/>
      </sharedItems>
    </cacheField>
    <cacheField name="Hour" numFmtId="0">
      <sharedItems containsString="0" containsBlank="1" containsNumber="1" containsInteger="1" minValue="8" maxValue="17" count="11">
        <n v="17"/>
        <n v="10"/>
        <n v="11"/>
        <n v="15"/>
        <n v="8"/>
        <n v="9"/>
        <n v="12"/>
        <n v="16"/>
        <n v="13"/>
        <n v="14"/>
        <m/>
      </sharedItems>
    </cacheField>
    <cacheField name="State" numFmtId="0">
      <sharedItems containsBlank="1" count="6">
        <s v="New York"/>
        <s v="Texas"/>
        <s v="California"/>
        <s v="Illinois"/>
        <s v="Florida"/>
        <m/>
      </sharedItems>
    </cacheField>
    <cacheField name="Coffee Type" numFmtId="0">
      <sharedItems containsBlank="1" count="8">
        <s v="Iced Latte"/>
        <s v="Caramel Macchiato"/>
        <s v="Mocha"/>
        <s v="Flat White"/>
        <s v="Cappuccino"/>
        <s v="Americano"/>
        <s v="Espresso"/>
        <m/>
      </sharedItems>
    </cacheField>
    <cacheField name="Sales Channel" numFmtId="0">
      <sharedItems containsBlank="1" count="4">
        <s v="In-Store"/>
        <s v="Online"/>
        <s v="Mobile App"/>
        <m/>
      </sharedItems>
    </cacheField>
    <cacheField name="Price per Unit (USD)" numFmtId="0">
      <sharedItems containsString="0" containsBlank="1" containsNumber="1" minValue="3" maxValue="6.99"/>
    </cacheField>
    <cacheField name="Payment Method" numFmtId="0">
      <sharedItems containsBlank="1" count="4">
        <s v="Cash"/>
        <s v="Mobile Pay"/>
        <s v="Credit Card"/>
        <m/>
      </sharedItems>
    </cacheField>
    <cacheField name="Promotion Applied" numFmtId="0">
      <sharedItems containsBlank="1"/>
    </cacheField>
    <cacheField name="Barista Name" numFmtId="0">
      <sharedItems containsBlank="1"/>
    </cacheField>
    <cacheField name="Customer Type" numFmtId="0">
      <sharedItems containsBlank="1" count="4">
        <s v="Tourist"/>
        <s v="New"/>
        <s v="Regular"/>
        <m/>
      </sharedItems>
    </cacheField>
    <cacheField name="Wait Time (Minutes)" numFmtId="0">
      <sharedItems containsString="0" containsBlank="1" containsNumber="1" containsInteger="1" minValue="2" maxValue="10"/>
    </cacheField>
    <cacheField name="Special Request" numFmtId="0">
      <sharedItems containsBlank="1"/>
    </cacheField>
    <cacheField name="Order Rating" numFmtId="0">
      <sharedItems containsString="0" containsBlank="1" containsNumber="1" containsInteger="1" minValue="1" maxValue="5" count="6">
        <n v="5"/>
        <n v="2"/>
        <n v="3"/>
        <n v="1"/>
        <n v="4"/>
        <m/>
      </sharedItems>
    </cacheField>
  </cacheFields>
  <extLst>
    <ext xmlns:x14="http://schemas.microsoft.com/office/spreadsheetml/2009/9/main" uri="{725AE2AE-9491-48be-B2B4-4EB974FC3084}">
      <x14:pivotCacheDefinition pivotCacheId="18288935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x v="0"/>
    <x v="0"/>
    <x v="0"/>
    <x v="0"/>
    <n v="4.6399999999999997"/>
    <x v="0"/>
    <s v="No"/>
    <s v="Maria"/>
    <x v="0"/>
    <n v="9"/>
    <s v="Oat Milk"/>
    <x v="0"/>
  </r>
  <r>
    <x v="1"/>
    <x v="1"/>
    <x v="1"/>
    <x v="1"/>
    <x v="1"/>
    <x v="1"/>
    <n v="4.16"/>
    <x v="0"/>
    <s v="Yes"/>
    <s v="Chris"/>
    <x v="0"/>
    <n v="6"/>
    <s v="Decaf"/>
    <x v="0"/>
  </r>
  <r>
    <x v="2"/>
    <x v="2"/>
    <x v="2"/>
    <x v="2"/>
    <x v="2"/>
    <x v="1"/>
    <n v="4.2"/>
    <x v="1"/>
    <s v="No"/>
    <s v="Alex"/>
    <x v="0"/>
    <n v="6"/>
    <s v="Decaf"/>
    <x v="1"/>
  </r>
  <r>
    <x v="3"/>
    <x v="0"/>
    <x v="2"/>
    <x v="2"/>
    <x v="1"/>
    <x v="1"/>
    <n v="4.97"/>
    <x v="2"/>
    <s v="No"/>
    <s v="Taylor"/>
    <x v="1"/>
    <n v="8"/>
    <s v="Whipped Cream"/>
    <x v="2"/>
  </r>
  <r>
    <x v="4"/>
    <x v="3"/>
    <x v="3"/>
    <x v="2"/>
    <x v="3"/>
    <x v="2"/>
    <n v="5.93"/>
    <x v="2"/>
    <s v="No"/>
    <s v="Maria"/>
    <x v="0"/>
    <n v="2"/>
    <s v="Extra Shot"/>
    <x v="2"/>
  </r>
  <r>
    <x v="5"/>
    <x v="0"/>
    <x v="1"/>
    <x v="1"/>
    <x v="0"/>
    <x v="1"/>
    <n v="4.4400000000000004"/>
    <x v="1"/>
    <s v="No"/>
    <s v="Alex"/>
    <x v="1"/>
    <n v="6"/>
    <s v="Double Espresso"/>
    <x v="3"/>
  </r>
  <r>
    <x v="6"/>
    <x v="4"/>
    <x v="1"/>
    <x v="2"/>
    <x v="4"/>
    <x v="0"/>
    <n v="5.17"/>
    <x v="0"/>
    <s v="No"/>
    <s v="Chris"/>
    <x v="0"/>
    <n v="7"/>
    <s v="Almond Milk"/>
    <x v="0"/>
  </r>
  <r>
    <x v="7"/>
    <x v="5"/>
    <x v="1"/>
    <x v="1"/>
    <x v="4"/>
    <x v="1"/>
    <n v="4.49"/>
    <x v="0"/>
    <s v="No"/>
    <s v="Chris"/>
    <x v="2"/>
    <n v="3"/>
    <s v="Extra Shot"/>
    <x v="1"/>
  </r>
  <r>
    <x v="8"/>
    <x v="4"/>
    <x v="2"/>
    <x v="3"/>
    <x v="4"/>
    <x v="2"/>
    <n v="6.33"/>
    <x v="1"/>
    <s v="Yes"/>
    <s v="Jamie"/>
    <x v="1"/>
    <n v="3"/>
    <s v="Almond Milk"/>
    <x v="1"/>
  </r>
  <r>
    <x v="9"/>
    <x v="0"/>
    <x v="3"/>
    <x v="4"/>
    <x v="5"/>
    <x v="1"/>
    <n v="3.56"/>
    <x v="0"/>
    <s v="No"/>
    <s v="Maria"/>
    <x v="0"/>
    <n v="6"/>
    <s v="Almond Milk"/>
    <x v="3"/>
  </r>
  <r>
    <x v="10"/>
    <x v="3"/>
    <x v="1"/>
    <x v="1"/>
    <x v="3"/>
    <x v="0"/>
    <n v="3.84"/>
    <x v="2"/>
    <s v="No"/>
    <s v="Jordan"/>
    <x v="2"/>
    <n v="3"/>
    <s v="Almond Milk"/>
    <x v="4"/>
  </r>
  <r>
    <x v="11"/>
    <x v="1"/>
    <x v="4"/>
    <x v="2"/>
    <x v="0"/>
    <x v="2"/>
    <n v="5.05"/>
    <x v="2"/>
    <s v="No"/>
    <s v="Alex"/>
    <x v="1"/>
    <n v="2"/>
    <s v="Almond Milk"/>
    <x v="2"/>
  </r>
  <r>
    <x v="12"/>
    <x v="3"/>
    <x v="5"/>
    <x v="2"/>
    <x v="4"/>
    <x v="0"/>
    <n v="5.35"/>
    <x v="2"/>
    <s v="Yes"/>
    <s v="Jordan"/>
    <x v="1"/>
    <n v="2"/>
    <s v="Almond Milk"/>
    <x v="1"/>
  </r>
  <r>
    <x v="13"/>
    <x v="6"/>
    <x v="6"/>
    <x v="4"/>
    <x v="3"/>
    <x v="0"/>
    <n v="6.42"/>
    <x v="1"/>
    <s v="Yes"/>
    <s v="Taylor"/>
    <x v="0"/>
    <n v="3"/>
    <s v="Almond Milk"/>
    <x v="0"/>
  </r>
  <r>
    <x v="14"/>
    <x v="1"/>
    <x v="7"/>
    <x v="1"/>
    <x v="3"/>
    <x v="0"/>
    <n v="6.61"/>
    <x v="1"/>
    <s v="Yes"/>
    <s v="Jordan"/>
    <x v="2"/>
    <n v="5"/>
    <s v="Double Espresso"/>
    <x v="4"/>
  </r>
  <r>
    <x v="15"/>
    <x v="1"/>
    <x v="0"/>
    <x v="0"/>
    <x v="5"/>
    <x v="0"/>
    <n v="3.72"/>
    <x v="0"/>
    <s v="No"/>
    <s v="Jamie"/>
    <x v="2"/>
    <n v="10"/>
    <s v="Extra Shot"/>
    <x v="4"/>
  </r>
  <r>
    <x v="16"/>
    <x v="4"/>
    <x v="8"/>
    <x v="0"/>
    <x v="0"/>
    <x v="2"/>
    <n v="3.54"/>
    <x v="0"/>
    <s v="No"/>
    <s v="Taylor"/>
    <x v="0"/>
    <n v="2"/>
    <s v="Almond Milk"/>
    <x v="2"/>
  </r>
  <r>
    <x v="17"/>
    <x v="0"/>
    <x v="9"/>
    <x v="0"/>
    <x v="4"/>
    <x v="2"/>
    <n v="4.25"/>
    <x v="0"/>
    <s v="Yes"/>
    <s v="Taylor"/>
    <x v="1"/>
    <n v="6"/>
    <s v="Whipped Cream"/>
    <x v="4"/>
  </r>
  <r>
    <x v="18"/>
    <x v="3"/>
    <x v="5"/>
    <x v="0"/>
    <x v="5"/>
    <x v="1"/>
    <n v="3.72"/>
    <x v="1"/>
    <s v="No"/>
    <s v="Jordan"/>
    <x v="2"/>
    <n v="8"/>
    <s v="Decaf"/>
    <x v="0"/>
  </r>
  <r>
    <x v="19"/>
    <x v="3"/>
    <x v="5"/>
    <x v="1"/>
    <x v="6"/>
    <x v="1"/>
    <n v="5.78"/>
    <x v="2"/>
    <s v="Yes"/>
    <s v="Alex"/>
    <x v="1"/>
    <n v="5"/>
    <s v="No Sugar"/>
    <x v="1"/>
  </r>
  <r>
    <x v="20"/>
    <x v="5"/>
    <x v="9"/>
    <x v="1"/>
    <x v="1"/>
    <x v="1"/>
    <n v="5.9"/>
    <x v="0"/>
    <s v="No"/>
    <s v="Jordan"/>
    <x v="1"/>
    <n v="7"/>
    <s v="Decaf"/>
    <x v="0"/>
  </r>
  <r>
    <x v="21"/>
    <x v="4"/>
    <x v="3"/>
    <x v="4"/>
    <x v="2"/>
    <x v="1"/>
    <n v="3.43"/>
    <x v="0"/>
    <s v="No"/>
    <s v="Jamie"/>
    <x v="2"/>
    <n v="4"/>
    <s v="Almond Milk"/>
    <x v="3"/>
  </r>
  <r>
    <x v="22"/>
    <x v="2"/>
    <x v="5"/>
    <x v="2"/>
    <x v="2"/>
    <x v="1"/>
    <n v="5.42"/>
    <x v="0"/>
    <s v="Yes"/>
    <s v="Chris"/>
    <x v="0"/>
    <n v="3"/>
    <s v="Whipped Cream"/>
    <x v="3"/>
  </r>
  <r>
    <x v="23"/>
    <x v="3"/>
    <x v="7"/>
    <x v="0"/>
    <x v="1"/>
    <x v="1"/>
    <n v="3.81"/>
    <x v="1"/>
    <s v="No"/>
    <s v="Jamie"/>
    <x v="0"/>
    <n v="6"/>
    <s v="Double Espresso"/>
    <x v="2"/>
  </r>
  <r>
    <x v="24"/>
    <x v="1"/>
    <x v="7"/>
    <x v="2"/>
    <x v="1"/>
    <x v="0"/>
    <n v="6.96"/>
    <x v="2"/>
    <s v="No"/>
    <s v="Jamie"/>
    <x v="1"/>
    <n v="8"/>
    <s v="Decaf"/>
    <x v="4"/>
  </r>
  <r>
    <x v="25"/>
    <x v="0"/>
    <x v="1"/>
    <x v="4"/>
    <x v="5"/>
    <x v="0"/>
    <n v="4.97"/>
    <x v="2"/>
    <s v="No"/>
    <s v="Jordan"/>
    <x v="1"/>
    <n v="9"/>
    <s v="Whipped Cream"/>
    <x v="3"/>
  </r>
  <r>
    <x v="26"/>
    <x v="5"/>
    <x v="3"/>
    <x v="3"/>
    <x v="5"/>
    <x v="2"/>
    <n v="5.29"/>
    <x v="0"/>
    <s v="Yes"/>
    <s v="Taylor"/>
    <x v="2"/>
    <n v="8"/>
    <s v="No Sugar"/>
    <x v="4"/>
  </r>
  <r>
    <x v="27"/>
    <x v="5"/>
    <x v="9"/>
    <x v="4"/>
    <x v="1"/>
    <x v="1"/>
    <n v="4.28"/>
    <x v="2"/>
    <s v="Yes"/>
    <s v="Maria"/>
    <x v="1"/>
    <n v="7"/>
    <s v="Whipped Cream"/>
    <x v="0"/>
  </r>
  <r>
    <x v="28"/>
    <x v="0"/>
    <x v="8"/>
    <x v="2"/>
    <x v="6"/>
    <x v="1"/>
    <n v="6.97"/>
    <x v="0"/>
    <s v="No"/>
    <s v="Alex"/>
    <x v="0"/>
    <n v="5"/>
    <s v="Extra Shot"/>
    <x v="1"/>
  </r>
  <r>
    <x v="29"/>
    <x v="3"/>
    <x v="0"/>
    <x v="2"/>
    <x v="1"/>
    <x v="1"/>
    <n v="3.46"/>
    <x v="2"/>
    <s v="Yes"/>
    <s v="Taylor"/>
    <x v="1"/>
    <n v="2"/>
    <s v="Decaf"/>
    <x v="4"/>
  </r>
  <r>
    <x v="30"/>
    <x v="5"/>
    <x v="9"/>
    <x v="2"/>
    <x v="5"/>
    <x v="1"/>
    <n v="5.35"/>
    <x v="0"/>
    <s v="No"/>
    <s v="Taylor"/>
    <x v="1"/>
    <n v="7"/>
    <s v="Double Espresso"/>
    <x v="3"/>
  </r>
  <r>
    <x v="31"/>
    <x v="1"/>
    <x v="5"/>
    <x v="1"/>
    <x v="3"/>
    <x v="1"/>
    <n v="5.01"/>
    <x v="1"/>
    <s v="No"/>
    <s v="Maria"/>
    <x v="0"/>
    <n v="6"/>
    <s v="No Sugar"/>
    <x v="4"/>
  </r>
  <r>
    <x v="32"/>
    <x v="3"/>
    <x v="5"/>
    <x v="3"/>
    <x v="2"/>
    <x v="1"/>
    <n v="4.0599999999999996"/>
    <x v="0"/>
    <s v="No"/>
    <s v="Maria"/>
    <x v="0"/>
    <n v="3"/>
    <s v="Oat Milk"/>
    <x v="0"/>
  </r>
  <r>
    <x v="33"/>
    <x v="4"/>
    <x v="8"/>
    <x v="2"/>
    <x v="4"/>
    <x v="2"/>
    <n v="4.9000000000000004"/>
    <x v="2"/>
    <s v="No"/>
    <s v="Alex"/>
    <x v="0"/>
    <n v="6"/>
    <s v="Double Espresso"/>
    <x v="2"/>
  </r>
  <r>
    <x v="34"/>
    <x v="6"/>
    <x v="7"/>
    <x v="1"/>
    <x v="6"/>
    <x v="1"/>
    <n v="4.01"/>
    <x v="1"/>
    <s v="No"/>
    <s v="Jordan"/>
    <x v="0"/>
    <n v="4"/>
    <s v="Almond Milk"/>
    <x v="0"/>
  </r>
  <r>
    <x v="35"/>
    <x v="6"/>
    <x v="0"/>
    <x v="1"/>
    <x v="5"/>
    <x v="2"/>
    <n v="6.75"/>
    <x v="0"/>
    <s v="No"/>
    <s v="Taylor"/>
    <x v="0"/>
    <n v="2"/>
    <s v="Double Espresso"/>
    <x v="1"/>
  </r>
  <r>
    <x v="36"/>
    <x v="1"/>
    <x v="1"/>
    <x v="1"/>
    <x v="5"/>
    <x v="2"/>
    <n v="6.06"/>
    <x v="0"/>
    <s v="No"/>
    <s v="Chris"/>
    <x v="2"/>
    <n v="5"/>
    <s v="Whipped Cream"/>
    <x v="4"/>
  </r>
  <r>
    <x v="37"/>
    <x v="2"/>
    <x v="6"/>
    <x v="1"/>
    <x v="3"/>
    <x v="2"/>
    <n v="5.4"/>
    <x v="0"/>
    <s v="Yes"/>
    <s v="Alex"/>
    <x v="2"/>
    <n v="5"/>
    <s v="Almond Milk"/>
    <x v="1"/>
  </r>
  <r>
    <x v="38"/>
    <x v="1"/>
    <x v="6"/>
    <x v="0"/>
    <x v="4"/>
    <x v="1"/>
    <n v="4.6900000000000004"/>
    <x v="2"/>
    <s v="Yes"/>
    <s v="Maria"/>
    <x v="1"/>
    <n v="4"/>
    <s v="Almond Milk"/>
    <x v="2"/>
  </r>
  <r>
    <x v="39"/>
    <x v="1"/>
    <x v="6"/>
    <x v="3"/>
    <x v="2"/>
    <x v="2"/>
    <n v="6.41"/>
    <x v="1"/>
    <s v="No"/>
    <s v="Alex"/>
    <x v="2"/>
    <n v="3"/>
    <s v="No Sugar"/>
    <x v="0"/>
  </r>
  <r>
    <x v="40"/>
    <x v="2"/>
    <x v="5"/>
    <x v="0"/>
    <x v="3"/>
    <x v="2"/>
    <n v="5.63"/>
    <x v="2"/>
    <s v="No"/>
    <s v="Jordan"/>
    <x v="2"/>
    <n v="5"/>
    <s v="Almond Milk"/>
    <x v="0"/>
  </r>
  <r>
    <x v="41"/>
    <x v="2"/>
    <x v="5"/>
    <x v="3"/>
    <x v="1"/>
    <x v="2"/>
    <n v="4.01"/>
    <x v="2"/>
    <s v="Yes"/>
    <s v="Taylor"/>
    <x v="2"/>
    <n v="7"/>
    <s v="No Sugar"/>
    <x v="0"/>
  </r>
  <r>
    <x v="42"/>
    <x v="2"/>
    <x v="2"/>
    <x v="0"/>
    <x v="2"/>
    <x v="0"/>
    <n v="3.43"/>
    <x v="2"/>
    <s v="No"/>
    <s v="Jamie"/>
    <x v="1"/>
    <n v="6"/>
    <s v="Whipped Cream"/>
    <x v="0"/>
  </r>
  <r>
    <x v="43"/>
    <x v="0"/>
    <x v="7"/>
    <x v="2"/>
    <x v="3"/>
    <x v="2"/>
    <n v="4.7"/>
    <x v="1"/>
    <s v="Yes"/>
    <s v="Chris"/>
    <x v="2"/>
    <n v="7"/>
    <s v="Decaf"/>
    <x v="2"/>
  </r>
  <r>
    <x v="44"/>
    <x v="6"/>
    <x v="4"/>
    <x v="3"/>
    <x v="0"/>
    <x v="2"/>
    <n v="5.65"/>
    <x v="2"/>
    <s v="Yes"/>
    <s v="Chris"/>
    <x v="0"/>
    <n v="8"/>
    <s v="No Sugar"/>
    <x v="2"/>
  </r>
  <r>
    <x v="45"/>
    <x v="0"/>
    <x v="5"/>
    <x v="1"/>
    <x v="1"/>
    <x v="1"/>
    <n v="4.55"/>
    <x v="0"/>
    <s v="No"/>
    <s v="Chris"/>
    <x v="2"/>
    <n v="5"/>
    <s v="No Sugar"/>
    <x v="1"/>
  </r>
  <r>
    <x v="46"/>
    <x v="6"/>
    <x v="1"/>
    <x v="0"/>
    <x v="5"/>
    <x v="1"/>
    <n v="6.52"/>
    <x v="1"/>
    <s v="No"/>
    <s v="Alex"/>
    <x v="1"/>
    <n v="3"/>
    <s v="Whipped Cream"/>
    <x v="4"/>
  </r>
  <r>
    <x v="47"/>
    <x v="0"/>
    <x v="9"/>
    <x v="4"/>
    <x v="5"/>
    <x v="1"/>
    <n v="6.51"/>
    <x v="2"/>
    <s v="Yes"/>
    <s v="Jordan"/>
    <x v="1"/>
    <n v="10"/>
    <s v="Almond Milk"/>
    <x v="2"/>
  </r>
  <r>
    <x v="48"/>
    <x v="6"/>
    <x v="7"/>
    <x v="4"/>
    <x v="6"/>
    <x v="2"/>
    <n v="3.11"/>
    <x v="2"/>
    <s v="Yes"/>
    <s v="Jordan"/>
    <x v="1"/>
    <n v="4"/>
    <s v="Almond Milk"/>
    <x v="4"/>
  </r>
  <r>
    <x v="49"/>
    <x v="3"/>
    <x v="6"/>
    <x v="3"/>
    <x v="0"/>
    <x v="0"/>
    <n v="3.63"/>
    <x v="1"/>
    <s v="Yes"/>
    <s v="Taylor"/>
    <x v="0"/>
    <n v="8"/>
    <s v="Whipped Cream"/>
    <x v="2"/>
  </r>
  <r>
    <x v="50"/>
    <x v="0"/>
    <x v="1"/>
    <x v="1"/>
    <x v="5"/>
    <x v="2"/>
    <n v="6.31"/>
    <x v="0"/>
    <s v="Yes"/>
    <s v="Alex"/>
    <x v="1"/>
    <n v="7"/>
    <s v="Extra Shot"/>
    <x v="4"/>
  </r>
  <r>
    <x v="51"/>
    <x v="0"/>
    <x v="0"/>
    <x v="2"/>
    <x v="0"/>
    <x v="2"/>
    <n v="5.59"/>
    <x v="1"/>
    <s v="Yes"/>
    <s v="Alex"/>
    <x v="1"/>
    <n v="5"/>
    <s v="No Sugar"/>
    <x v="1"/>
  </r>
  <r>
    <x v="52"/>
    <x v="0"/>
    <x v="0"/>
    <x v="3"/>
    <x v="3"/>
    <x v="0"/>
    <n v="3.36"/>
    <x v="0"/>
    <s v="Yes"/>
    <s v="Taylor"/>
    <x v="2"/>
    <n v="2"/>
    <s v="Oat Milk"/>
    <x v="0"/>
  </r>
  <r>
    <x v="53"/>
    <x v="6"/>
    <x v="3"/>
    <x v="0"/>
    <x v="0"/>
    <x v="0"/>
    <n v="5.85"/>
    <x v="2"/>
    <s v="No"/>
    <s v="Chris"/>
    <x v="0"/>
    <n v="9"/>
    <s v="Decaf"/>
    <x v="1"/>
  </r>
  <r>
    <x v="54"/>
    <x v="6"/>
    <x v="2"/>
    <x v="1"/>
    <x v="1"/>
    <x v="1"/>
    <n v="5.91"/>
    <x v="2"/>
    <s v="No"/>
    <s v="Maria"/>
    <x v="1"/>
    <n v="4"/>
    <s v="Almond Milk"/>
    <x v="2"/>
  </r>
  <r>
    <x v="55"/>
    <x v="4"/>
    <x v="2"/>
    <x v="0"/>
    <x v="2"/>
    <x v="1"/>
    <n v="5.33"/>
    <x v="1"/>
    <s v="No"/>
    <s v="Alex"/>
    <x v="2"/>
    <n v="9"/>
    <s v="Extra Shot"/>
    <x v="2"/>
  </r>
  <r>
    <x v="56"/>
    <x v="4"/>
    <x v="9"/>
    <x v="1"/>
    <x v="5"/>
    <x v="1"/>
    <n v="5.83"/>
    <x v="1"/>
    <s v="No"/>
    <s v="Alex"/>
    <x v="2"/>
    <n v="10"/>
    <s v="Almond Milk"/>
    <x v="3"/>
  </r>
  <r>
    <x v="57"/>
    <x v="1"/>
    <x v="2"/>
    <x v="4"/>
    <x v="4"/>
    <x v="2"/>
    <n v="6.87"/>
    <x v="1"/>
    <s v="Yes"/>
    <s v="Alex"/>
    <x v="1"/>
    <n v="10"/>
    <s v="Double Espresso"/>
    <x v="4"/>
  </r>
  <r>
    <x v="58"/>
    <x v="2"/>
    <x v="9"/>
    <x v="4"/>
    <x v="2"/>
    <x v="2"/>
    <n v="3.16"/>
    <x v="2"/>
    <s v="No"/>
    <s v="Maria"/>
    <x v="0"/>
    <n v="9"/>
    <s v="No Sugar"/>
    <x v="4"/>
  </r>
  <r>
    <x v="59"/>
    <x v="5"/>
    <x v="8"/>
    <x v="3"/>
    <x v="6"/>
    <x v="0"/>
    <n v="4.04"/>
    <x v="0"/>
    <s v="Yes"/>
    <s v="Maria"/>
    <x v="1"/>
    <n v="6"/>
    <s v="Oat Milk"/>
    <x v="2"/>
  </r>
  <r>
    <x v="60"/>
    <x v="0"/>
    <x v="6"/>
    <x v="4"/>
    <x v="4"/>
    <x v="1"/>
    <n v="5.07"/>
    <x v="0"/>
    <s v="Yes"/>
    <s v="Chris"/>
    <x v="0"/>
    <n v="9"/>
    <s v="Whipped Cream"/>
    <x v="1"/>
  </r>
  <r>
    <x v="61"/>
    <x v="4"/>
    <x v="3"/>
    <x v="1"/>
    <x v="2"/>
    <x v="0"/>
    <n v="3.92"/>
    <x v="2"/>
    <s v="No"/>
    <s v="Chris"/>
    <x v="2"/>
    <n v="9"/>
    <s v="Decaf"/>
    <x v="3"/>
  </r>
  <r>
    <x v="62"/>
    <x v="4"/>
    <x v="3"/>
    <x v="0"/>
    <x v="3"/>
    <x v="2"/>
    <n v="5.24"/>
    <x v="0"/>
    <s v="No"/>
    <s v="Alex"/>
    <x v="0"/>
    <n v="4"/>
    <s v="Almond Milk"/>
    <x v="2"/>
  </r>
  <r>
    <x v="63"/>
    <x v="4"/>
    <x v="6"/>
    <x v="1"/>
    <x v="5"/>
    <x v="2"/>
    <n v="6.29"/>
    <x v="1"/>
    <s v="Yes"/>
    <s v="Taylor"/>
    <x v="2"/>
    <n v="10"/>
    <s v="Whipped Cream"/>
    <x v="0"/>
  </r>
  <r>
    <x v="64"/>
    <x v="5"/>
    <x v="5"/>
    <x v="0"/>
    <x v="5"/>
    <x v="0"/>
    <n v="6.55"/>
    <x v="2"/>
    <s v="No"/>
    <s v="Jordan"/>
    <x v="0"/>
    <n v="3"/>
    <s v="Decaf"/>
    <x v="2"/>
  </r>
  <r>
    <x v="65"/>
    <x v="5"/>
    <x v="5"/>
    <x v="4"/>
    <x v="2"/>
    <x v="0"/>
    <n v="3.32"/>
    <x v="1"/>
    <s v="No"/>
    <s v="Jamie"/>
    <x v="0"/>
    <n v="6"/>
    <s v="Double Espresso"/>
    <x v="3"/>
  </r>
  <r>
    <x v="66"/>
    <x v="1"/>
    <x v="4"/>
    <x v="3"/>
    <x v="6"/>
    <x v="1"/>
    <n v="6.79"/>
    <x v="1"/>
    <s v="Yes"/>
    <s v="Maria"/>
    <x v="2"/>
    <n v="6"/>
    <s v="No Sugar"/>
    <x v="3"/>
  </r>
  <r>
    <x v="67"/>
    <x v="2"/>
    <x v="7"/>
    <x v="0"/>
    <x v="0"/>
    <x v="1"/>
    <n v="4.0199999999999996"/>
    <x v="2"/>
    <s v="No"/>
    <s v="Alex"/>
    <x v="2"/>
    <n v="5"/>
    <s v="Extra Shot"/>
    <x v="4"/>
  </r>
  <r>
    <x v="68"/>
    <x v="1"/>
    <x v="6"/>
    <x v="1"/>
    <x v="0"/>
    <x v="1"/>
    <n v="4.96"/>
    <x v="0"/>
    <s v="No"/>
    <s v="Jordan"/>
    <x v="0"/>
    <n v="4"/>
    <s v="No Sugar"/>
    <x v="3"/>
  </r>
  <r>
    <x v="69"/>
    <x v="6"/>
    <x v="7"/>
    <x v="0"/>
    <x v="6"/>
    <x v="1"/>
    <n v="4.91"/>
    <x v="1"/>
    <s v="No"/>
    <s v="Alex"/>
    <x v="1"/>
    <n v="7"/>
    <s v="Double Espresso"/>
    <x v="1"/>
  </r>
  <r>
    <x v="70"/>
    <x v="6"/>
    <x v="9"/>
    <x v="2"/>
    <x v="4"/>
    <x v="1"/>
    <n v="6.89"/>
    <x v="1"/>
    <s v="Yes"/>
    <s v="Jordan"/>
    <x v="0"/>
    <n v="4"/>
    <s v="Decaf"/>
    <x v="0"/>
  </r>
  <r>
    <x v="71"/>
    <x v="3"/>
    <x v="7"/>
    <x v="4"/>
    <x v="6"/>
    <x v="1"/>
    <n v="3.32"/>
    <x v="0"/>
    <s v="No"/>
    <s v="Maria"/>
    <x v="2"/>
    <n v="6"/>
    <s v="Whipped Cream"/>
    <x v="1"/>
  </r>
  <r>
    <x v="72"/>
    <x v="4"/>
    <x v="6"/>
    <x v="2"/>
    <x v="4"/>
    <x v="0"/>
    <n v="6.67"/>
    <x v="1"/>
    <s v="Yes"/>
    <s v="Taylor"/>
    <x v="1"/>
    <n v="8"/>
    <s v="Almond Milk"/>
    <x v="4"/>
  </r>
  <r>
    <x v="73"/>
    <x v="3"/>
    <x v="0"/>
    <x v="4"/>
    <x v="3"/>
    <x v="1"/>
    <n v="5.34"/>
    <x v="1"/>
    <s v="Yes"/>
    <s v="Alex"/>
    <x v="0"/>
    <n v="9"/>
    <s v="Extra Shot"/>
    <x v="1"/>
  </r>
  <r>
    <x v="74"/>
    <x v="6"/>
    <x v="4"/>
    <x v="0"/>
    <x v="5"/>
    <x v="1"/>
    <n v="4.26"/>
    <x v="1"/>
    <s v="No"/>
    <s v="Jordan"/>
    <x v="1"/>
    <n v="6"/>
    <s v="No Sugar"/>
    <x v="1"/>
  </r>
  <r>
    <x v="75"/>
    <x v="3"/>
    <x v="5"/>
    <x v="3"/>
    <x v="3"/>
    <x v="2"/>
    <n v="3.43"/>
    <x v="1"/>
    <s v="Yes"/>
    <s v="Alex"/>
    <x v="1"/>
    <n v="3"/>
    <s v="Almond Milk"/>
    <x v="1"/>
  </r>
  <r>
    <x v="4"/>
    <x v="3"/>
    <x v="3"/>
    <x v="0"/>
    <x v="1"/>
    <x v="2"/>
    <n v="6.86"/>
    <x v="1"/>
    <s v="No"/>
    <s v="Chris"/>
    <x v="0"/>
    <n v="7"/>
    <s v="Oat Milk"/>
    <x v="4"/>
  </r>
  <r>
    <x v="76"/>
    <x v="1"/>
    <x v="5"/>
    <x v="1"/>
    <x v="0"/>
    <x v="0"/>
    <n v="3.45"/>
    <x v="2"/>
    <s v="Yes"/>
    <s v="Alex"/>
    <x v="2"/>
    <n v="9"/>
    <s v="Oat Milk"/>
    <x v="1"/>
  </r>
  <r>
    <x v="77"/>
    <x v="3"/>
    <x v="9"/>
    <x v="3"/>
    <x v="2"/>
    <x v="0"/>
    <n v="4.2"/>
    <x v="0"/>
    <s v="Yes"/>
    <s v="Jamie"/>
    <x v="1"/>
    <n v="2"/>
    <s v="Almond Milk"/>
    <x v="1"/>
  </r>
  <r>
    <x v="78"/>
    <x v="0"/>
    <x v="3"/>
    <x v="0"/>
    <x v="0"/>
    <x v="1"/>
    <n v="5.34"/>
    <x v="2"/>
    <s v="No"/>
    <s v="Taylor"/>
    <x v="1"/>
    <n v="2"/>
    <s v="No Sugar"/>
    <x v="3"/>
  </r>
  <r>
    <x v="79"/>
    <x v="4"/>
    <x v="9"/>
    <x v="0"/>
    <x v="5"/>
    <x v="2"/>
    <n v="5.38"/>
    <x v="1"/>
    <s v="No"/>
    <s v="Alex"/>
    <x v="1"/>
    <n v="8"/>
    <s v="Decaf"/>
    <x v="0"/>
  </r>
  <r>
    <x v="80"/>
    <x v="5"/>
    <x v="0"/>
    <x v="0"/>
    <x v="2"/>
    <x v="2"/>
    <n v="3.24"/>
    <x v="2"/>
    <s v="No"/>
    <s v="Taylor"/>
    <x v="1"/>
    <n v="10"/>
    <s v="Almond Milk"/>
    <x v="2"/>
  </r>
  <r>
    <x v="81"/>
    <x v="0"/>
    <x v="9"/>
    <x v="0"/>
    <x v="0"/>
    <x v="1"/>
    <n v="5.49"/>
    <x v="1"/>
    <s v="No"/>
    <s v="Jamie"/>
    <x v="0"/>
    <n v="8"/>
    <s v="Almond Milk"/>
    <x v="1"/>
  </r>
  <r>
    <x v="82"/>
    <x v="2"/>
    <x v="2"/>
    <x v="4"/>
    <x v="6"/>
    <x v="0"/>
    <n v="5.03"/>
    <x v="1"/>
    <s v="No"/>
    <s v="Taylor"/>
    <x v="0"/>
    <n v="9"/>
    <s v="Extra Shot"/>
    <x v="2"/>
  </r>
  <r>
    <x v="83"/>
    <x v="2"/>
    <x v="9"/>
    <x v="4"/>
    <x v="1"/>
    <x v="1"/>
    <n v="6.2"/>
    <x v="2"/>
    <s v="Yes"/>
    <s v="Chris"/>
    <x v="0"/>
    <n v="3"/>
    <s v="Oat Milk"/>
    <x v="4"/>
  </r>
  <r>
    <x v="84"/>
    <x v="5"/>
    <x v="2"/>
    <x v="3"/>
    <x v="6"/>
    <x v="0"/>
    <n v="6.17"/>
    <x v="0"/>
    <s v="No"/>
    <s v="Maria"/>
    <x v="2"/>
    <n v="10"/>
    <s v="Almond Milk"/>
    <x v="3"/>
  </r>
  <r>
    <x v="85"/>
    <x v="1"/>
    <x v="6"/>
    <x v="1"/>
    <x v="2"/>
    <x v="2"/>
    <n v="3.13"/>
    <x v="2"/>
    <s v="No"/>
    <s v="Jamie"/>
    <x v="2"/>
    <n v="5"/>
    <s v="Almond Milk"/>
    <x v="0"/>
  </r>
  <r>
    <x v="86"/>
    <x v="3"/>
    <x v="6"/>
    <x v="4"/>
    <x v="1"/>
    <x v="0"/>
    <n v="6.08"/>
    <x v="1"/>
    <s v="No"/>
    <s v="Maria"/>
    <x v="0"/>
    <n v="10"/>
    <s v="Double Espresso"/>
    <x v="3"/>
  </r>
  <r>
    <x v="87"/>
    <x v="2"/>
    <x v="3"/>
    <x v="0"/>
    <x v="1"/>
    <x v="0"/>
    <n v="6.9"/>
    <x v="1"/>
    <s v="Yes"/>
    <s v="Taylor"/>
    <x v="2"/>
    <n v="10"/>
    <s v="Almond Milk"/>
    <x v="1"/>
  </r>
  <r>
    <x v="88"/>
    <x v="3"/>
    <x v="2"/>
    <x v="4"/>
    <x v="2"/>
    <x v="2"/>
    <n v="4.17"/>
    <x v="0"/>
    <s v="No"/>
    <s v="Jordan"/>
    <x v="2"/>
    <n v="4"/>
    <s v="Oat Milk"/>
    <x v="2"/>
  </r>
  <r>
    <x v="89"/>
    <x v="1"/>
    <x v="1"/>
    <x v="1"/>
    <x v="6"/>
    <x v="1"/>
    <n v="6.08"/>
    <x v="2"/>
    <s v="Yes"/>
    <s v="Jamie"/>
    <x v="1"/>
    <n v="6"/>
    <s v="Double Espresso"/>
    <x v="1"/>
  </r>
  <r>
    <x v="90"/>
    <x v="4"/>
    <x v="8"/>
    <x v="0"/>
    <x v="3"/>
    <x v="2"/>
    <n v="5.66"/>
    <x v="2"/>
    <s v="No"/>
    <s v="Maria"/>
    <x v="2"/>
    <n v="8"/>
    <s v="Decaf"/>
    <x v="4"/>
  </r>
  <r>
    <x v="91"/>
    <x v="0"/>
    <x v="7"/>
    <x v="4"/>
    <x v="0"/>
    <x v="1"/>
    <n v="3.58"/>
    <x v="2"/>
    <s v="Yes"/>
    <s v="Alex"/>
    <x v="1"/>
    <n v="7"/>
    <s v="Decaf"/>
    <x v="1"/>
  </r>
  <r>
    <x v="92"/>
    <x v="6"/>
    <x v="9"/>
    <x v="2"/>
    <x v="5"/>
    <x v="2"/>
    <n v="3.6"/>
    <x v="1"/>
    <s v="Yes"/>
    <s v="Jordan"/>
    <x v="0"/>
    <n v="10"/>
    <s v="No Sugar"/>
    <x v="4"/>
  </r>
  <r>
    <x v="93"/>
    <x v="6"/>
    <x v="7"/>
    <x v="4"/>
    <x v="5"/>
    <x v="2"/>
    <n v="4.25"/>
    <x v="0"/>
    <s v="Yes"/>
    <s v="Chris"/>
    <x v="0"/>
    <n v="4"/>
    <s v="Oat Milk"/>
    <x v="4"/>
  </r>
  <r>
    <x v="94"/>
    <x v="0"/>
    <x v="2"/>
    <x v="3"/>
    <x v="4"/>
    <x v="2"/>
    <n v="5.61"/>
    <x v="1"/>
    <s v="No"/>
    <s v="Jordan"/>
    <x v="1"/>
    <n v="5"/>
    <s v="No Sugar"/>
    <x v="3"/>
  </r>
  <r>
    <x v="28"/>
    <x v="0"/>
    <x v="8"/>
    <x v="1"/>
    <x v="4"/>
    <x v="2"/>
    <n v="4.1399999999999997"/>
    <x v="2"/>
    <s v="No"/>
    <s v="Taylor"/>
    <x v="1"/>
    <n v="4"/>
    <s v="Almond Milk"/>
    <x v="3"/>
  </r>
  <r>
    <x v="95"/>
    <x v="0"/>
    <x v="7"/>
    <x v="4"/>
    <x v="2"/>
    <x v="1"/>
    <n v="5.91"/>
    <x v="1"/>
    <s v="Yes"/>
    <s v="Jordan"/>
    <x v="2"/>
    <n v="7"/>
    <s v="No Sugar"/>
    <x v="0"/>
  </r>
  <r>
    <x v="96"/>
    <x v="1"/>
    <x v="4"/>
    <x v="2"/>
    <x v="6"/>
    <x v="1"/>
    <n v="5.29"/>
    <x v="2"/>
    <s v="No"/>
    <s v="Chris"/>
    <x v="2"/>
    <n v="10"/>
    <s v="Whipped Cream"/>
    <x v="0"/>
  </r>
  <r>
    <x v="97"/>
    <x v="3"/>
    <x v="6"/>
    <x v="3"/>
    <x v="5"/>
    <x v="0"/>
    <n v="5.86"/>
    <x v="1"/>
    <s v="Yes"/>
    <s v="Alex"/>
    <x v="1"/>
    <n v="10"/>
    <s v="Double Espresso"/>
    <x v="1"/>
  </r>
  <r>
    <x v="98"/>
    <x v="6"/>
    <x v="8"/>
    <x v="2"/>
    <x v="2"/>
    <x v="2"/>
    <n v="4.7"/>
    <x v="0"/>
    <s v="Yes"/>
    <s v="Alex"/>
    <x v="2"/>
    <n v="8"/>
    <s v="Extra Shot"/>
    <x v="4"/>
  </r>
  <r>
    <x v="99"/>
    <x v="3"/>
    <x v="5"/>
    <x v="3"/>
    <x v="6"/>
    <x v="2"/>
    <n v="5.24"/>
    <x v="0"/>
    <s v="No"/>
    <s v="Taylor"/>
    <x v="1"/>
    <n v="8"/>
    <s v="Decaf"/>
    <x v="4"/>
  </r>
  <r>
    <x v="100"/>
    <x v="2"/>
    <x v="9"/>
    <x v="1"/>
    <x v="2"/>
    <x v="2"/>
    <n v="3.51"/>
    <x v="1"/>
    <s v="No"/>
    <s v="Maria"/>
    <x v="0"/>
    <n v="10"/>
    <s v="Whipped Cream"/>
    <x v="0"/>
  </r>
  <r>
    <x v="101"/>
    <x v="4"/>
    <x v="2"/>
    <x v="0"/>
    <x v="0"/>
    <x v="2"/>
    <n v="3.63"/>
    <x v="1"/>
    <s v="No"/>
    <s v="Alex"/>
    <x v="0"/>
    <n v="8"/>
    <s v="Almond Milk"/>
    <x v="3"/>
  </r>
  <r>
    <x v="102"/>
    <x v="1"/>
    <x v="6"/>
    <x v="3"/>
    <x v="2"/>
    <x v="0"/>
    <n v="4.49"/>
    <x v="0"/>
    <s v="No"/>
    <s v="Chris"/>
    <x v="1"/>
    <n v="2"/>
    <s v="Whipped Cream"/>
    <x v="1"/>
  </r>
  <r>
    <x v="103"/>
    <x v="5"/>
    <x v="0"/>
    <x v="2"/>
    <x v="3"/>
    <x v="1"/>
    <n v="3.86"/>
    <x v="1"/>
    <s v="No"/>
    <s v="Alex"/>
    <x v="2"/>
    <n v="10"/>
    <s v="No Sugar"/>
    <x v="3"/>
  </r>
  <r>
    <x v="104"/>
    <x v="6"/>
    <x v="9"/>
    <x v="3"/>
    <x v="3"/>
    <x v="2"/>
    <n v="4.8099999999999996"/>
    <x v="0"/>
    <s v="No"/>
    <s v="Jamie"/>
    <x v="0"/>
    <n v="4"/>
    <s v="Whipped Cream"/>
    <x v="1"/>
  </r>
  <r>
    <x v="105"/>
    <x v="4"/>
    <x v="3"/>
    <x v="0"/>
    <x v="5"/>
    <x v="1"/>
    <n v="3.6"/>
    <x v="1"/>
    <s v="No"/>
    <s v="Alex"/>
    <x v="0"/>
    <n v="8"/>
    <s v="Decaf"/>
    <x v="1"/>
  </r>
  <r>
    <x v="106"/>
    <x v="0"/>
    <x v="8"/>
    <x v="2"/>
    <x v="5"/>
    <x v="1"/>
    <n v="5.94"/>
    <x v="1"/>
    <s v="Yes"/>
    <s v="Maria"/>
    <x v="0"/>
    <n v="2"/>
    <s v="Double Espresso"/>
    <x v="2"/>
  </r>
  <r>
    <x v="107"/>
    <x v="4"/>
    <x v="5"/>
    <x v="3"/>
    <x v="0"/>
    <x v="0"/>
    <n v="6.82"/>
    <x v="1"/>
    <s v="Yes"/>
    <s v="Taylor"/>
    <x v="0"/>
    <n v="5"/>
    <s v="Whipped Cream"/>
    <x v="4"/>
  </r>
  <r>
    <x v="108"/>
    <x v="4"/>
    <x v="4"/>
    <x v="3"/>
    <x v="2"/>
    <x v="0"/>
    <n v="4.0999999999999996"/>
    <x v="2"/>
    <s v="Yes"/>
    <s v="Jordan"/>
    <x v="0"/>
    <n v="9"/>
    <s v="Almond Milk"/>
    <x v="0"/>
  </r>
  <r>
    <x v="109"/>
    <x v="5"/>
    <x v="9"/>
    <x v="2"/>
    <x v="6"/>
    <x v="0"/>
    <n v="4.3600000000000003"/>
    <x v="2"/>
    <s v="No"/>
    <s v="Alex"/>
    <x v="0"/>
    <n v="7"/>
    <s v="Decaf"/>
    <x v="2"/>
  </r>
  <r>
    <x v="110"/>
    <x v="4"/>
    <x v="5"/>
    <x v="1"/>
    <x v="3"/>
    <x v="0"/>
    <n v="3.73"/>
    <x v="2"/>
    <s v="Yes"/>
    <s v="Chris"/>
    <x v="1"/>
    <n v="4"/>
    <s v="Almond Milk"/>
    <x v="0"/>
  </r>
  <r>
    <x v="111"/>
    <x v="4"/>
    <x v="1"/>
    <x v="2"/>
    <x v="3"/>
    <x v="1"/>
    <n v="3.39"/>
    <x v="2"/>
    <s v="No"/>
    <s v="Chris"/>
    <x v="1"/>
    <n v="8"/>
    <s v="Whipped Cream"/>
    <x v="3"/>
  </r>
  <r>
    <x v="112"/>
    <x v="0"/>
    <x v="2"/>
    <x v="3"/>
    <x v="4"/>
    <x v="0"/>
    <n v="4.97"/>
    <x v="1"/>
    <s v="No"/>
    <s v="Alex"/>
    <x v="1"/>
    <n v="2"/>
    <s v="No Sugar"/>
    <x v="4"/>
  </r>
  <r>
    <x v="113"/>
    <x v="4"/>
    <x v="5"/>
    <x v="2"/>
    <x v="6"/>
    <x v="2"/>
    <n v="3.93"/>
    <x v="2"/>
    <s v="No"/>
    <s v="Taylor"/>
    <x v="0"/>
    <n v="3"/>
    <s v="Extra Shot"/>
    <x v="0"/>
  </r>
  <r>
    <x v="114"/>
    <x v="3"/>
    <x v="1"/>
    <x v="3"/>
    <x v="6"/>
    <x v="1"/>
    <n v="3.34"/>
    <x v="1"/>
    <s v="Yes"/>
    <s v="Maria"/>
    <x v="1"/>
    <n v="10"/>
    <s v="Extra Shot"/>
    <x v="1"/>
  </r>
  <r>
    <x v="115"/>
    <x v="4"/>
    <x v="9"/>
    <x v="3"/>
    <x v="6"/>
    <x v="0"/>
    <n v="3"/>
    <x v="0"/>
    <s v="No"/>
    <s v="Jordan"/>
    <x v="2"/>
    <n v="2"/>
    <s v="Almond Milk"/>
    <x v="4"/>
  </r>
  <r>
    <x v="116"/>
    <x v="2"/>
    <x v="6"/>
    <x v="0"/>
    <x v="3"/>
    <x v="2"/>
    <n v="3.85"/>
    <x v="1"/>
    <s v="No"/>
    <s v="Alex"/>
    <x v="2"/>
    <n v="10"/>
    <s v="Double Espresso"/>
    <x v="3"/>
  </r>
  <r>
    <x v="117"/>
    <x v="2"/>
    <x v="9"/>
    <x v="2"/>
    <x v="1"/>
    <x v="0"/>
    <n v="5.9"/>
    <x v="0"/>
    <s v="No"/>
    <s v="Maria"/>
    <x v="0"/>
    <n v="10"/>
    <s v="Whipped Cream"/>
    <x v="2"/>
  </r>
  <r>
    <x v="118"/>
    <x v="0"/>
    <x v="8"/>
    <x v="4"/>
    <x v="1"/>
    <x v="2"/>
    <n v="4.8099999999999996"/>
    <x v="2"/>
    <s v="No"/>
    <s v="Chris"/>
    <x v="2"/>
    <n v="9"/>
    <s v="Double Espresso"/>
    <x v="2"/>
  </r>
  <r>
    <x v="119"/>
    <x v="0"/>
    <x v="1"/>
    <x v="2"/>
    <x v="4"/>
    <x v="1"/>
    <n v="3.02"/>
    <x v="2"/>
    <s v="Yes"/>
    <s v="Jamie"/>
    <x v="0"/>
    <n v="9"/>
    <s v="Whipped Cream"/>
    <x v="4"/>
  </r>
  <r>
    <x v="120"/>
    <x v="4"/>
    <x v="5"/>
    <x v="2"/>
    <x v="1"/>
    <x v="2"/>
    <n v="4.78"/>
    <x v="2"/>
    <s v="No"/>
    <s v="Jamie"/>
    <x v="0"/>
    <n v="7"/>
    <s v="Decaf"/>
    <x v="1"/>
  </r>
  <r>
    <x v="121"/>
    <x v="6"/>
    <x v="4"/>
    <x v="0"/>
    <x v="3"/>
    <x v="0"/>
    <n v="4.78"/>
    <x v="2"/>
    <s v="Yes"/>
    <s v="Chris"/>
    <x v="0"/>
    <n v="7"/>
    <s v="Extra Shot"/>
    <x v="3"/>
  </r>
  <r>
    <x v="122"/>
    <x v="6"/>
    <x v="6"/>
    <x v="1"/>
    <x v="2"/>
    <x v="1"/>
    <n v="6.87"/>
    <x v="2"/>
    <s v="No"/>
    <s v="Jamie"/>
    <x v="0"/>
    <n v="5"/>
    <s v="Almond Milk"/>
    <x v="1"/>
  </r>
  <r>
    <x v="123"/>
    <x v="4"/>
    <x v="9"/>
    <x v="4"/>
    <x v="4"/>
    <x v="2"/>
    <n v="4.9800000000000004"/>
    <x v="1"/>
    <s v="Yes"/>
    <s v="Jordan"/>
    <x v="0"/>
    <n v="4"/>
    <s v="Almond Milk"/>
    <x v="0"/>
  </r>
  <r>
    <x v="124"/>
    <x v="5"/>
    <x v="5"/>
    <x v="4"/>
    <x v="4"/>
    <x v="0"/>
    <n v="6.52"/>
    <x v="1"/>
    <s v="No"/>
    <s v="Maria"/>
    <x v="0"/>
    <n v="2"/>
    <s v="Oat Milk"/>
    <x v="0"/>
  </r>
  <r>
    <x v="125"/>
    <x v="5"/>
    <x v="7"/>
    <x v="0"/>
    <x v="0"/>
    <x v="1"/>
    <n v="5.56"/>
    <x v="1"/>
    <s v="Yes"/>
    <s v="Chris"/>
    <x v="1"/>
    <n v="8"/>
    <s v="No Sugar"/>
    <x v="3"/>
  </r>
  <r>
    <x v="126"/>
    <x v="3"/>
    <x v="3"/>
    <x v="4"/>
    <x v="4"/>
    <x v="0"/>
    <n v="6.54"/>
    <x v="2"/>
    <s v="Yes"/>
    <s v="Chris"/>
    <x v="1"/>
    <n v="10"/>
    <s v="Decaf"/>
    <x v="2"/>
  </r>
  <r>
    <x v="127"/>
    <x v="0"/>
    <x v="2"/>
    <x v="2"/>
    <x v="4"/>
    <x v="0"/>
    <n v="6.96"/>
    <x v="2"/>
    <s v="No"/>
    <s v="Alex"/>
    <x v="2"/>
    <n v="5"/>
    <s v="Extra Shot"/>
    <x v="2"/>
  </r>
  <r>
    <x v="128"/>
    <x v="2"/>
    <x v="5"/>
    <x v="0"/>
    <x v="6"/>
    <x v="0"/>
    <n v="5.37"/>
    <x v="1"/>
    <s v="No"/>
    <s v="Chris"/>
    <x v="2"/>
    <n v="3"/>
    <s v="Decaf"/>
    <x v="1"/>
  </r>
  <r>
    <x v="129"/>
    <x v="4"/>
    <x v="4"/>
    <x v="4"/>
    <x v="4"/>
    <x v="0"/>
    <n v="6.77"/>
    <x v="1"/>
    <s v="No"/>
    <s v="Alex"/>
    <x v="0"/>
    <n v="9"/>
    <s v="Double Espresso"/>
    <x v="3"/>
  </r>
  <r>
    <x v="130"/>
    <x v="4"/>
    <x v="4"/>
    <x v="2"/>
    <x v="6"/>
    <x v="1"/>
    <n v="6.56"/>
    <x v="1"/>
    <s v="Yes"/>
    <s v="Maria"/>
    <x v="2"/>
    <n v="9"/>
    <s v="Almond Milk"/>
    <x v="2"/>
  </r>
  <r>
    <x v="131"/>
    <x v="5"/>
    <x v="9"/>
    <x v="2"/>
    <x v="5"/>
    <x v="0"/>
    <n v="5.24"/>
    <x v="0"/>
    <s v="No"/>
    <s v="Jamie"/>
    <x v="2"/>
    <n v="8"/>
    <s v="Extra Shot"/>
    <x v="0"/>
  </r>
  <r>
    <x v="132"/>
    <x v="1"/>
    <x v="0"/>
    <x v="0"/>
    <x v="6"/>
    <x v="1"/>
    <n v="6.18"/>
    <x v="1"/>
    <s v="Yes"/>
    <s v="Chris"/>
    <x v="0"/>
    <n v="2"/>
    <s v="Decaf"/>
    <x v="0"/>
  </r>
  <r>
    <x v="133"/>
    <x v="1"/>
    <x v="2"/>
    <x v="2"/>
    <x v="0"/>
    <x v="2"/>
    <n v="5.85"/>
    <x v="1"/>
    <s v="Yes"/>
    <s v="Taylor"/>
    <x v="2"/>
    <n v="10"/>
    <s v="No Sugar"/>
    <x v="2"/>
  </r>
  <r>
    <x v="134"/>
    <x v="6"/>
    <x v="0"/>
    <x v="1"/>
    <x v="2"/>
    <x v="0"/>
    <n v="6.19"/>
    <x v="2"/>
    <s v="Yes"/>
    <s v="Chris"/>
    <x v="0"/>
    <n v="8"/>
    <s v="Double Espresso"/>
    <x v="2"/>
  </r>
  <r>
    <x v="135"/>
    <x v="2"/>
    <x v="7"/>
    <x v="1"/>
    <x v="2"/>
    <x v="1"/>
    <n v="4.2300000000000004"/>
    <x v="0"/>
    <s v="No"/>
    <s v="Chris"/>
    <x v="2"/>
    <n v="10"/>
    <s v="Double Espresso"/>
    <x v="1"/>
  </r>
  <r>
    <x v="136"/>
    <x v="0"/>
    <x v="7"/>
    <x v="3"/>
    <x v="1"/>
    <x v="0"/>
    <n v="4.6900000000000004"/>
    <x v="2"/>
    <s v="Yes"/>
    <s v="Jordan"/>
    <x v="2"/>
    <n v="3"/>
    <s v="No Sugar"/>
    <x v="1"/>
  </r>
  <r>
    <x v="137"/>
    <x v="3"/>
    <x v="3"/>
    <x v="4"/>
    <x v="1"/>
    <x v="2"/>
    <n v="5.26"/>
    <x v="0"/>
    <s v="No"/>
    <s v="Jamie"/>
    <x v="1"/>
    <n v="4"/>
    <s v="Almond Milk"/>
    <x v="4"/>
  </r>
  <r>
    <x v="138"/>
    <x v="0"/>
    <x v="4"/>
    <x v="1"/>
    <x v="0"/>
    <x v="2"/>
    <n v="3.89"/>
    <x v="2"/>
    <s v="No"/>
    <s v="Taylor"/>
    <x v="2"/>
    <n v="5"/>
    <s v="Decaf"/>
    <x v="2"/>
  </r>
  <r>
    <x v="139"/>
    <x v="1"/>
    <x v="9"/>
    <x v="0"/>
    <x v="2"/>
    <x v="0"/>
    <n v="4.45"/>
    <x v="2"/>
    <s v="No"/>
    <s v="Alex"/>
    <x v="0"/>
    <n v="3"/>
    <s v="Extra Shot"/>
    <x v="2"/>
  </r>
  <r>
    <x v="140"/>
    <x v="0"/>
    <x v="0"/>
    <x v="4"/>
    <x v="0"/>
    <x v="0"/>
    <n v="3.8"/>
    <x v="0"/>
    <s v="Yes"/>
    <s v="Maria"/>
    <x v="1"/>
    <n v="4"/>
    <s v="No Sugar"/>
    <x v="0"/>
  </r>
  <r>
    <x v="141"/>
    <x v="3"/>
    <x v="2"/>
    <x v="1"/>
    <x v="1"/>
    <x v="1"/>
    <n v="6.64"/>
    <x v="2"/>
    <s v="Yes"/>
    <s v="Jamie"/>
    <x v="0"/>
    <n v="3"/>
    <s v="No Sugar"/>
    <x v="1"/>
  </r>
  <r>
    <x v="142"/>
    <x v="2"/>
    <x v="2"/>
    <x v="4"/>
    <x v="5"/>
    <x v="0"/>
    <n v="6.76"/>
    <x v="1"/>
    <s v="No"/>
    <s v="Jordan"/>
    <x v="2"/>
    <n v="3"/>
    <s v="Extra Shot"/>
    <x v="1"/>
  </r>
  <r>
    <x v="143"/>
    <x v="1"/>
    <x v="2"/>
    <x v="0"/>
    <x v="5"/>
    <x v="1"/>
    <n v="4.2699999999999996"/>
    <x v="0"/>
    <s v="Yes"/>
    <s v="Alex"/>
    <x v="0"/>
    <n v="5"/>
    <s v="Whipped Cream"/>
    <x v="0"/>
  </r>
  <r>
    <x v="144"/>
    <x v="2"/>
    <x v="1"/>
    <x v="1"/>
    <x v="0"/>
    <x v="2"/>
    <n v="6.18"/>
    <x v="2"/>
    <s v="No"/>
    <s v="Maria"/>
    <x v="0"/>
    <n v="3"/>
    <s v="Whipped Cream"/>
    <x v="4"/>
  </r>
  <r>
    <x v="145"/>
    <x v="1"/>
    <x v="0"/>
    <x v="1"/>
    <x v="4"/>
    <x v="1"/>
    <n v="6.01"/>
    <x v="1"/>
    <s v="No"/>
    <s v="Jamie"/>
    <x v="0"/>
    <n v="9"/>
    <s v="Extra Shot"/>
    <x v="2"/>
  </r>
  <r>
    <x v="146"/>
    <x v="2"/>
    <x v="7"/>
    <x v="0"/>
    <x v="5"/>
    <x v="1"/>
    <n v="4.9000000000000004"/>
    <x v="1"/>
    <s v="No"/>
    <s v="Jordan"/>
    <x v="0"/>
    <n v="2"/>
    <s v="Extra Shot"/>
    <x v="1"/>
  </r>
  <r>
    <x v="147"/>
    <x v="0"/>
    <x v="3"/>
    <x v="1"/>
    <x v="6"/>
    <x v="0"/>
    <n v="4.22"/>
    <x v="0"/>
    <s v="Yes"/>
    <s v="Chris"/>
    <x v="1"/>
    <n v="10"/>
    <s v="Almond Milk"/>
    <x v="1"/>
  </r>
  <r>
    <x v="148"/>
    <x v="1"/>
    <x v="6"/>
    <x v="3"/>
    <x v="3"/>
    <x v="0"/>
    <n v="5.34"/>
    <x v="0"/>
    <s v="No"/>
    <s v="Jamie"/>
    <x v="1"/>
    <n v="9"/>
    <s v="Decaf"/>
    <x v="4"/>
  </r>
  <r>
    <x v="149"/>
    <x v="1"/>
    <x v="3"/>
    <x v="4"/>
    <x v="6"/>
    <x v="0"/>
    <n v="3.72"/>
    <x v="2"/>
    <s v="No"/>
    <s v="Jordan"/>
    <x v="2"/>
    <n v="7"/>
    <s v="Almond Milk"/>
    <x v="2"/>
  </r>
  <r>
    <x v="150"/>
    <x v="6"/>
    <x v="7"/>
    <x v="2"/>
    <x v="1"/>
    <x v="1"/>
    <n v="6.71"/>
    <x v="2"/>
    <s v="Yes"/>
    <s v="Alex"/>
    <x v="1"/>
    <n v="2"/>
    <s v="Double Espresso"/>
    <x v="1"/>
  </r>
  <r>
    <x v="151"/>
    <x v="1"/>
    <x v="8"/>
    <x v="4"/>
    <x v="5"/>
    <x v="2"/>
    <n v="6.38"/>
    <x v="2"/>
    <s v="Yes"/>
    <s v="Jordan"/>
    <x v="0"/>
    <n v="10"/>
    <s v="No Sugar"/>
    <x v="3"/>
  </r>
  <r>
    <x v="152"/>
    <x v="1"/>
    <x v="6"/>
    <x v="4"/>
    <x v="1"/>
    <x v="1"/>
    <n v="6.78"/>
    <x v="1"/>
    <s v="Yes"/>
    <s v="Jamie"/>
    <x v="0"/>
    <n v="10"/>
    <s v="Whipped Cream"/>
    <x v="1"/>
  </r>
  <r>
    <x v="153"/>
    <x v="6"/>
    <x v="2"/>
    <x v="1"/>
    <x v="6"/>
    <x v="0"/>
    <n v="5.0599999999999996"/>
    <x v="1"/>
    <s v="No"/>
    <s v="Jordan"/>
    <x v="1"/>
    <n v="7"/>
    <s v="Whipped Cream"/>
    <x v="3"/>
  </r>
  <r>
    <x v="154"/>
    <x v="1"/>
    <x v="2"/>
    <x v="0"/>
    <x v="2"/>
    <x v="1"/>
    <n v="4.8"/>
    <x v="1"/>
    <s v="Yes"/>
    <s v="Chris"/>
    <x v="2"/>
    <n v="4"/>
    <s v="No Sugar"/>
    <x v="3"/>
  </r>
  <r>
    <x v="155"/>
    <x v="0"/>
    <x v="8"/>
    <x v="1"/>
    <x v="6"/>
    <x v="1"/>
    <n v="5.74"/>
    <x v="0"/>
    <s v="No"/>
    <s v="Chris"/>
    <x v="0"/>
    <n v="2"/>
    <s v="Double Espresso"/>
    <x v="3"/>
  </r>
  <r>
    <x v="156"/>
    <x v="0"/>
    <x v="1"/>
    <x v="3"/>
    <x v="5"/>
    <x v="2"/>
    <n v="6.66"/>
    <x v="1"/>
    <s v="No"/>
    <s v="Jamie"/>
    <x v="2"/>
    <n v="8"/>
    <s v="Almond Milk"/>
    <x v="0"/>
  </r>
  <r>
    <x v="157"/>
    <x v="6"/>
    <x v="3"/>
    <x v="4"/>
    <x v="4"/>
    <x v="1"/>
    <n v="5.56"/>
    <x v="0"/>
    <s v="Yes"/>
    <s v="Maria"/>
    <x v="2"/>
    <n v="10"/>
    <s v="Extra Shot"/>
    <x v="3"/>
  </r>
  <r>
    <x v="35"/>
    <x v="6"/>
    <x v="0"/>
    <x v="2"/>
    <x v="2"/>
    <x v="0"/>
    <n v="3.28"/>
    <x v="0"/>
    <s v="No"/>
    <s v="Maria"/>
    <x v="2"/>
    <n v="6"/>
    <s v="Oat Milk"/>
    <x v="0"/>
  </r>
  <r>
    <x v="158"/>
    <x v="4"/>
    <x v="4"/>
    <x v="3"/>
    <x v="0"/>
    <x v="0"/>
    <n v="4.3099999999999996"/>
    <x v="0"/>
    <s v="No"/>
    <s v="Maria"/>
    <x v="2"/>
    <n v="4"/>
    <s v="Double Espresso"/>
    <x v="4"/>
  </r>
  <r>
    <x v="159"/>
    <x v="0"/>
    <x v="5"/>
    <x v="1"/>
    <x v="2"/>
    <x v="0"/>
    <n v="4.24"/>
    <x v="1"/>
    <s v="No"/>
    <s v="Maria"/>
    <x v="0"/>
    <n v="6"/>
    <s v="Double Espresso"/>
    <x v="1"/>
  </r>
  <r>
    <x v="160"/>
    <x v="4"/>
    <x v="3"/>
    <x v="1"/>
    <x v="0"/>
    <x v="0"/>
    <n v="4.78"/>
    <x v="0"/>
    <s v="Yes"/>
    <s v="Taylor"/>
    <x v="1"/>
    <n v="9"/>
    <s v="Decaf"/>
    <x v="4"/>
  </r>
  <r>
    <x v="161"/>
    <x v="5"/>
    <x v="5"/>
    <x v="0"/>
    <x v="3"/>
    <x v="2"/>
    <n v="6.37"/>
    <x v="0"/>
    <s v="No"/>
    <s v="Taylor"/>
    <x v="2"/>
    <n v="8"/>
    <s v="Extra Shot"/>
    <x v="1"/>
  </r>
  <r>
    <x v="162"/>
    <x v="0"/>
    <x v="9"/>
    <x v="0"/>
    <x v="5"/>
    <x v="0"/>
    <n v="5.79"/>
    <x v="2"/>
    <s v="No"/>
    <s v="Jordan"/>
    <x v="2"/>
    <n v="5"/>
    <s v="Whipped Cream"/>
    <x v="1"/>
  </r>
  <r>
    <x v="163"/>
    <x v="2"/>
    <x v="7"/>
    <x v="2"/>
    <x v="5"/>
    <x v="2"/>
    <n v="5.89"/>
    <x v="2"/>
    <s v="No"/>
    <s v="Jamie"/>
    <x v="0"/>
    <n v="3"/>
    <s v="No Sugar"/>
    <x v="3"/>
  </r>
  <r>
    <x v="164"/>
    <x v="1"/>
    <x v="7"/>
    <x v="4"/>
    <x v="6"/>
    <x v="1"/>
    <n v="3.66"/>
    <x v="2"/>
    <s v="Yes"/>
    <s v="Jamie"/>
    <x v="2"/>
    <n v="3"/>
    <s v="Oat Milk"/>
    <x v="4"/>
  </r>
  <r>
    <x v="165"/>
    <x v="6"/>
    <x v="9"/>
    <x v="1"/>
    <x v="6"/>
    <x v="0"/>
    <n v="3.04"/>
    <x v="2"/>
    <s v="Yes"/>
    <s v="Chris"/>
    <x v="0"/>
    <n v="9"/>
    <s v="Decaf"/>
    <x v="4"/>
  </r>
  <r>
    <x v="166"/>
    <x v="4"/>
    <x v="7"/>
    <x v="1"/>
    <x v="5"/>
    <x v="1"/>
    <n v="3.56"/>
    <x v="0"/>
    <s v="Yes"/>
    <s v="Maria"/>
    <x v="2"/>
    <n v="3"/>
    <s v="Extra Shot"/>
    <x v="2"/>
  </r>
  <r>
    <x v="167"/>
    <x v="4"/>
    <x v="9"/>
    <x v="2"/>
    <x v="5"/>
    <x v="0"/>
    <n v="5.71"/>
    <x v="2"/>
    <s v="No"/>
    <s v="Chris"/>
    <x v="2"/>
    <n v="5"/>
    <s v="Oat Milk"/>
    <x v="3"/>
  </r>
  <r>
    <x v="168"/>
    <x v="0"/>
    <x v="7"/>
    <x v="0"/>
    <x v="5"/>
    <x v="0"/>
    <n v="6.35"/>
    <x v="1"/>
    <s v="Yes"/>
    <s v="Jamie"/>
    <x v="0"/>
    <n v="6"/>
    <s v="Decaf"/>
    <x v="3"/>
  </r>
  <r>
    <x v="169"/>
    <x v="5"/>
    <x v="4"/>
    <x v="0"/>
    <x v="1"/>
    <x v="0"/>
    <n v="6.72"/>
    <x v="0"/>
    <s v="Yes"/>
    <s v="Maria"/>
    <x v="2"/>
    <n v="2"/>
    <s v="Decaf"/>
    <x v="3"/>
  </r>
  <r>
    <x v="170"/>
    <x v="4"/>
    <x v="8"/>
    <x v="1"/>
    <x v="5"/>
    <x v="2"/>
    <n v="3.25"/>
    <x v="2"/>
    <s v="Yes"/>
    <s v="Jordan"/>
    <x v="2"/>
    <n v="2"/>
    <s v="Decaf"/>
    <x v="0"/>
  </r>
  <r>
    <x v="171"/>
    <x v="4"/>
    <x v="8"/>
    <x v="3"/>
    <x v="5"/>
    <x v="0"/>
    <n v="5.5"/>
    <x v="1"/>
    <s v="No"/>
    <s v="Jamie"/>
    <x v="2"/>
    <n v="5"/>
    <s v="Extra Shot"/>
    <x v="3"/>
  </r>
  <r>
    <x v="172"/>
    <x v="1"/>
    <x v="1"/>
    <x v="0"/>
    <x v="5"/>
    <x v="1"/>
    <n v="3.05"/>
    <x v="2"/>
    <s v="No"/>
    <s v="Maria"/>
    <x v="2"/>
    <n v="6"/>
    <s v="Oat Milk"/>
    <x v="0"/>
  </r>
  <r>
    <x v="173"/>
    <x v="1"/>
    <x v="5"/>
    <x v="1"/>
    <x v="6"/>
    <x v="1"/>
    <n v="6.07"/>
    <x v="0"/>
    <s v="Yes"/>
    <s v="Jordan"/>
    <x v="0"/>
    <n v="4"/>
    <s v="No Sugar"/>
    <x v="3"/>
  </r>
  <r>
    <x v="174"/>
    <x v="5"/>
    <x v="9"/>
    <x v="1"/>
    <x v="3"/>
    <x v="0"/>
    <n v="5.54"/>
    <x v="1"/>
    <s v="No"/>
    <s v="Jordan"/>
    <x v="1"/>
    <n v="3"/>
    <s v="No Sugar"/>
    <x v="3"/>
  </r>
  <r>
    <x v="175"/>
    <x v="5"/>
    <x v="0"/>
    <x v="0"/>
    <x v="4"/>
    <x v="2"/>
    <n v="5.97"/>
    <x v="1"/>
    <s v="Yes"/>
    <s v="Maria"/>
    <x v="2"/>
    <n v="3"/>
    <s v="No Sugar"/>
    <x v="1"/>
  </r>
  <r>
    <x v="176"/>
    <x v="2"/>
    <x v="2"/>
    <x v="2"/>
    <x v="0"/>
    <x v="0"/>
    <n v="4.5"/>
    <x v="0"/>
    <s v="Yes"/>
    <s v="Maria"/>
    <x v="1"/>
    <n v="5"/>
    <s v="Oat Milk"/>
    <x v="3"/>
  </r>
  <r>
    <x v="177"/>
    <x v="3"/>
    <x v="0"/>
    <x v="4"/>
    <x v="2"/>
    <x v="1"/>
    <n v="4.2699999999999996"/>
    <x v="2"/>
    <s v="No"/>
    <s v="Jordan"/>
    <x v="1"/>
    <n v="2"/>
    <s v="Extra Shot"/>
    <x v="2"/>
  </r>
  <r>
    <x v="178"/>
    <x v="1"/>
    <x v="2"/>
    <x v="2"/>
    <x v="5"/>
    <x v="0"/>
    <n v="6.21"/>
    <x v="1"/>
    <s v="Yes"/>
    <s v="Taylor"/>
    <x v="1"/>
    <n v="10"/>
    <s v="No Sugar"/>
    <x v="1"/>
  </r>
  <r>
    <x v="179"/>
    <x v="0"/>
    <x v="4"/>
    <x v="0"/>
    <x v="0"/>
    <x v="0"/>
    <n v="3.21"/>
    <x v="2"/>
    <s v="Yes"/>
    <s v="Maria"/>
    <x v="2"/>
    <n v="4"/>
    <s v="Double Espresso"/>
    <x v="0"/>
  </r>
  <r>
    <x v="180"/>
    <x v="6"/>
    <x v="2"/>
    <x v="3"/>
    <x v="0"/>
    <x v="1"/>
    <n v="5.9"/>
    <x v="0"/>
    <s v="Yes"/>
    <s v="Jordan"/>
    <x v="2"/>
    <n v="5"/>
    <s v="Decaf"/>
    <x v="1"/>
  </r>
  <r>
    <x v="181"/>
    <x v="5"/>
    <x v="6"/>
    <x v="3"/>
    <x v="6"/>
    <x v="2"/>
    <n v="3.81"/>
    <x v="0"/>
    <s v="Yes"/>
    <s v="Chris"/>
    <x v="1"/>
    <n v="8"/>
    <s v="Extra Shot"/>
    <x v="4"/>
  </r>
  <r>
    <x v="182"/>
    <x v="0"/>
    <x v="7"/>
    <x v="0"/>
    <x v="1"/>
    <x v="0"/>
    <n v="6.28"/>
    <x v="0"/>
    <s v="Yes"/>
    <s v="Jamie"/>
    <x v="1"/>
    <n v="3"/>
    <s v="Whipped Cream"/>
    <x v="2"/>
  </r>
  <r>
    <x v="183"/>
    <x v="5"/>
    <x v="1"/>
    <x v="1"/>
    <x v="3"/>
    <x v="1"/>
    <n v="4.8499999999999996"/>
    <x v="0"/>
    <s v="No"/>
    <s v="Jamie"/>
    <x v="0"/>
    <n v="9"/>
    <s v="Almond Milk"/>
    <x v="2"/>
  </r>
  <r>
    <x v="184"/>
    <x v="5"/>
    <x v="3"/>
    <x v="1"/>
    <x v="2"/>
    <x v="0"/>
    <n v="3.05"/>
    <x v="1"/>
    <s v="No"/>
    <s v="Jamie"/>
    <x v="1"/>
    <n v="8"/>
    <s v="Decaf"/>
    <x v="2"/>
  </r>
  <r>
    <x v="185"/>
    <x v="6"/>
    <x v="6"/>
    <x v="3"/>
    <x v="0"/>
    <x v="1"/>
    <n v="6.54"/>
    <x v="2"/>
    <s v="No"/>
    <s v="Taylor"/>
    <x v="2"/>
    <n v="5"/>
    <s v="Whipped Cream"/>
    <x v="4"/>
  </r>
  <r>
    <x v="186"/>
    <x v="4"/>
    <x v="8"/>
    <x v="0"/>
    <x v="5"/>
    <x v="2"/>
    <n v="4.47"/>
    <x v="2"/>
    <s v="No"/>
    <s v="Jamie"/>
    <x v="0"/>
    <n v="5"/>
    <s v="Extra Shot"/>
    <x v="4"/>
  </r>
  <r>
    <x v="187"/>
    <x v="0"/>
    <x v="8"/>
    <x v="2"/>
    <x v="5"/>
    <x v="2"/>
    <n v="5.58"/>
    <x v="0"/>
    <s v="No"/>
    <s v="Jordan"/>
    <x v="2"/>
    <n v="6"/>
    <s v="Extra Shot"/>
    <x v="0"/>
  </r>
  <r>
    <x v="7"/>
    <x v="5"/>
    <x v="1"/>
    <x v="2"/>
    <x v="1"/>
    <x v="0"/>
    <n v="5.58"/>
    <x v="0"/>
    <s v="No"/>
    <s v="Jordan"/>
    <x v="0"/>
    <n v="3"/>
    <s v="Double Espresso"/>
    <x v="1"/>
  </r>
  <r>
    <x v="188"/>
    <x v="0"/>
    <x v="1"/>
    <x v="0"/>
    <x v="3"/>
    <x v="2"/>
    <n v="4.21"/>
    <x v="1"/>
    <s v="No"/>
    <s v="Taylor"/>
    <x v="1"/>
    <n v="8"/>
    <s v="Whipped Cream"/>
    <x v="3"/>
  </r>
  <r>
    <x v="189"/>
    <x v="4"/>
    <x v="0"/>
    <x v="4"/>
    <x v="1"/>
    <x v="0"/>
    <n v="4.08"/>
    <x v="2"/>
    <s v="No"/>
    <s v="Jordan"/>
    <x v="1"/>
    <n v="2"/>
    <s v="Extra Shot"/>
    <x v="4"/>
  </r>
  <r>
    <x v="190"/>
    <x v="0"/>
    <x v="5"/>
    <x v="0"/>
    <x v="4"/>
    <x v="1"/>
    <n v="5.62"/>
    <x v="1"/>
    <s v="No"/>
    <s v="Maria"/>
    <x v="2"/>
    <n v="7"/>
    <s v="Extra Shot"/>
    <x v="1"/>
  </r>
  <r>
    <x v="191"/>
    <x v="3"/>
    <x v="1"/>
    <x v="2"/>
    <x v="6"/>
    <x v="2"/>
    <n v="6.26"/>
    <x v="2"/>
    <s v="Yes"/>
    <s v="Alex"/>
    <x v="0"/>
    <n v="4"/>
    <s v="Whipped Cream"/>
    <x v="1"/>
  </r>
  <r>
    <x v="192"/>
    <x v="2"/>
    <x v="9"/>
    <x v="3"/>
    <x v="0"/>
    <x v="2"/>
    <n v="3.66"/>
    <x v="0"/>
    <s v="Yes"/>
    <s v="Jamie"/>
    <x v="2"/>
    <n v="6"/>
    <s v="Almond Milk"/>
    <x v="2"/>
  </r>
  <r>
    <x v="193"/>
    <x v="0"/>
    <x v="2"/>
    <x v="0"/>
    <x v="5"/>
    <x v="0"/>
    <n v="3.04"/>
    <x v="0"/>
    <s v="Yes"/>
    <s v="Jordan"/>
    <x v="0"/>
    <n v="2"/>
    <s v="Almond Milk"/>
    <x v="1"/>
  </r>
  <r>
    <x v="194"/>
    <x v="4"/>
    <x v="4"/>
    <x v="3"/>
    <x v="4"/>
    <x v="1"/>
    <n v="6.73"/>
    <x v="0"/>
    <s v="No"/>
    <s v="Taylor"/>
    <x v="1"/>
    <n v="7"/>
    <s v="No Sugar"/>
    <x v="2"/>
  </r>
  <r>
    <x v="195"/>
    <x v="4"/>
    <x v="2"/>
    <x v="0"/>
    <x v="6"/>
    <x v="2"/>
    <n v="3.23"/>
    <x v="0"/>
    <s v="No"/>
    <s v="Alex"/>
    <x v="2"/>
    <n v="9"/>
    <s v="Whipped Cream"/>
    <x v="4"/>
  </r>
  <r>
    <x v="196"/>
    <x v="2"/>
    <x v="1"/>
    <x v="3"/>
    <x v="0"/>
    <x v="2"/>
    <n v="4.12"/>
    <x v="1"/>
    <s v="Yes"/>
    <s v="Chris"/>
    <x v="1"/>
    <n v="9"/>
    <s v="Double Espresso"/>
    <x v="4"/>
  </r>
  <r>
    <x v="197"/>
    <x v="3"/>
    <x v="4"/>
    <x v="4"/>
    <x v="0"/>
    <x v="2"/>
    <n v="4.4400000000000004"/>
    <x v="2"/>
    <s v="No"/>
    <s v="Jordan"/>
    <x v="1"/>
    <n v="5"/>
    <s v="Double Espresso"/>
    <x v="4"/>
  </r>
  <r>
    <x v="198"/>
    <x v="6"/>
    <x v="0"/>
    <x v="2"/>
    <x v="3"/>
    <x v="1"/>
    <n v="6.76"/>
    <x v="0"/>
    <s v="Yes"/>
    <s v="Jordan"/>
    <x v="1"/>
    <n v="6"/>
    <s v="Double Espresso"/>
    <x v="1"/>
  </r>
  <r>
    <x v="199"/>
    <x v="2"/>
    <x v="7"/>
    <x v="3"/>
    <x v="1"/>
    <x v="2"/>
    <n v="5.0199999999999996"/>
    <x v="2"/>
    <s v="No"/>
    <s v="Alex"/>
    <x v="1"/>
    <n v="10"/>
    <s v="Whipped Cream"/>
    <x v="4"/>
  </r>
  <r>
    <x v="200"/>
    <x v="5"/>
    <x v="3"/>
    <x v="0"/>
    <x v="5"/>
    <x v="2"/>
    <n v="3.96"/>
    <x v="2"/>
    <s v="Yes"/>
    <s v="Jordan"/>
    <x v="0"/>
    <n v="3"/>
    <s v="Almond Milk"/>
    <x v="4"/>
  </r>
  <r>
    <x v="201"/>
    <x v="4"/>
    <x v="4"/>
    <x v="4"/>
    <x v="6"/>
    <x v="1"/>
    <n v="3.88"/>
    <x v="0"/>
    <s v="No"/>
    <s v="Jordan"/>
    <x v="2"/>
    <n v="4"/>
    <s v="Double Espresso"/>
    <x v="4"/>
  </r>
  <r>
    <x v="202"/>
    <x v="4"/>
    <x v="8"/>
    <x v="1"/>
    <x v="4"/>
    <x v="2"/>
    <n v="3.26"/>
    <x v="0"/>
    <s v="No"/>
    <s v="Jordan"/>
    <x v="0"/>
    <n v="8"/>
    <s v="Oat Milk"/>
    <x v="0"/>
  </r>
  <r>
    <x v="203"/>
    <x v="4"/>
    <x v="9"/>
    <x v="1"/>
    <x v="2"/>
    <x v="1"/>
    <n v="3.46"/>
    <x v="2"/>
    <s v="Yes"/>
    <s v="Alex"/>
    <x v="1"/>
    <n v="5"/>
    <s v="Oat Milk"/>
    <x v="3"/>
  </r>
  <r>
    <x v="204"/>
    <x v="5"/>
    <x v="1"/>
    <x v="4"/>
    <x v="6"/>
    <x v="2"/>
    <n v="5.95"/>
    <x v="0"/>
    <s v="Yes"/>
    <s v="Taylor"/>
    <x v="0"/>
    <n v="5"/>
    <s v="Whipped Cream"/>
    <x v="4"/>
  </r>
  <r>
    <x v="205"/>
    <x v="4"/>
    <x v="8"/>
    <x v="4"/>
    <x v="1"/>
    <x v="2"/>
    <n v="6.74"/>
    <x v="2"/>
    <s v="Yes"/>
    <s v="Alex"/>
    <x v="1"/>
    <n v="2"/>
    <s v="Double Espresso"/>
    <x v="4"/>
  </r>
  <r>
    <x v="206"/>
    <x v="1"/>
    <x v="6"/>
    <x v="1"/>
    <x v="6"/>
    <x v="2"/>
    <n v="4.82"/>
    <x v="1"/>
    <s v="No"/>
    <s v="Maria"/>
    <x v="0"/>
    <n v="2"/>
    <s v="Double Espresso"/>
    <x v="2"/>
  </r>
  <r>
    <x v="207"/>
    <x v="2"/>
    <x v="5"/>
    <x v="3"/>
    <x v="6"/>
    <x v="2"/>
    <n v="6.31"/>
    <x v="0"/>
    <s v="No"/>
    <s v="Jordan"/>
    <x v="1"/>
    <n v="2"/>
    <s v="Whipped Cream"/>
    <x v="2"/>
  </r>
  <r>
    <x v="208"/>
    <x v="5"/>
    <x v="2"/>
    <x v="1"/>
    <x v="5"/>
    <x v="2"/>
    <n v="3.21"/>
    <x v="2"/>
    <s v="No"/>
    <s v="Jordan"/>
    <x v="1"/>
    <n v="6"/>
    <s v="Whipped Cream"/>
    <x v="1"/>
  </r>
  <r>
    <x v="209"/>
    <x v="4"/>
    <x v="7"/>
    <x v="4"/>
    <x v="6"/>
    <x v="2"/>
    <n v="4.8899999999999997"/>
    <x v="0"/>
    <s v="No"/>
    <s v="Jamie"/>
    <x v="2"/>
    <n v="10"/>
    <s v="Oat Milk"/>
    <x v="2"/>
  </r>
  <r>
    <x v="210"/>
    <x v="2"/>
    <x v="2"/>
    <x v="3"/>
    <x v="6"/>
    <x v="0"/>
    <n v="3.52"/>
    <x v="1"/>
    <s v="Yes"/>
    <s v="Jordan"/>
    <x v="1"/>
    <n v="9"/>
    <s v="Oat Milk"/>
    <x v="1"/>
  </r>
  <r>
    <x v="211"/>
    <x v="5"/>
    <x v="3"/>
    <x v="0"/>
    <x v="3"/>
    <x v="0"/>
    <n v="3.84"/>
    <x v="1"/>
    <s v="Yes"/>
    <s v="Jordan"/>
    <x v="0"/>
    <n v="2"/>
    <s v="No Sugar"/>
    <x v="0"/>
  </r>
  <r>
    <x v="212"/>
    <x v="4"/>
    <x v="1"/>
    <x v="0"/>
    <x v="5"/>
    <x v="0"/>
    <n v="6.7"/>
    <x v="2"/>
    <s v="No"/>
    <s v="Jamie"/>
    <x v="2"/>
    <n v="2"/>
    <s v="Almond Milk"/>
    <x v="0"/>
  </r>
  <r>
    <x v="213"/>
    <x v="3"/>
    <x v="0"/>
    <x v="1"/>
    <x v="5"/>
    <x v="2"/>
    <n v="4.62"/>
    <x v="2"/>
    <s v="Yes"/>
    <s v="Maria"/>
    <x v="1"/>
    <n v="9"/>
    <s v="No Sugar"/>
    <x v="0"/>
  </r>
  <r>
    <x v="214"/>
    <x v="4"/>
    <x v="9"/>
    <x v="2"/>
    <x v="1"/>
    <x v="1"/>
    <n v="6.46"/>
    <x v="1"/>
    <s v="No"/>
    <s v="Chris"/>
    <x v="0"/>
    <n v="9"/>
    <s v="No Sugar"/>
    <x v="3"/>
  </r>
  <r>
    <x v="215"/>
    <x v="4"/>
    <x v="5"/>
    <x v="0"/>
    <x v="5"/>
    <x v="2"/>
    <n v="6.63"/>
    <x v="2"/>
    <s v="Yes"/>
    <s v="Taylor"/>
    <x v="0"/>
    <n v="9"/>
    <s v="No Sugar"/>
    <x v="3"/>
  </r>
  <r>
    <x v="216"/>
    <x v="1"/>
    <x v="1"/>
    <x v="0"/>
    <x v="5"/>
    <x v="2"/>
    <n v="4.7300000000000004"/>
    <x v="1"/>
    <s v="Yes"/>
    <s v="Alex"/>
    <x v="1"/>
    <n v="3"/>
    <s v="Oat Milk"/>
    <x v="0"/>
  </r>
  <r>
    <x v="217"/>
    <x v="5"/>
    <x v="4"/>
    <x v="3"/>
    <x v="1"/>
    <x v="2"/>
    <n v="6.13"/>
    <x v="1"/>
    <s v="No"/>
    <s v="Alex"/>
    <x v="0"/>
    <n v="10"/>
    <s v="Oat Milk"/>
    <x v="3"/>
  </r>
  <r>
    <x v="218"/>
    <x v="1"/>
    <x v="2"/>
    <x v="2"/>
    <x v="2"/>
    <x v="2"/>
    <n v="5.78"/>
    <x v="2"/>
    <s v="No"/>
    <s v="Chris"/>
    <x v="2"/>
    <n v="2"/>
    <s v="Extra Shot"/>
    <x v="0"/>
  </r>
  <r>
    <x v="219"/>
    <x v="3"/>
    <x v="1"/>
    <x v="3"/>
    <x v="3"/>
    <x v="0"/>
    <n v="3.34"/>
    <x v="2"/>
    <s v="No"/>
    <s v="Chris"/>
    <x v="0"/>
    <n v="4"/>
    <s v="Decaf"/>
    <x v="3"/>
  </r>
  <r>
    <x v="220"/>
    <x v="3"/>
    <x v="4"/>
    <x v="4"/>
    <x v="5"/>
    <x v="2"/>
    <n v="4.78"/>
    <x v="1"/>
    <s v="No"/>
    <s v="Jordan"/>
    <x v="1"/>
    <n v="10"/>
    <s v="No Sugar"/>
    <x v="0"/>
  </r>
  <r>
    <x v="221"/>
    <x v="4"/>
    <x v="2"/>
    <x v="2"/>
    <x v="5"/>
    <x v="0"/>
    <n v="3.95"/>
    <x v="2"/>
    <s v="Yes"/>
    <s v="Chris"/>
    <x v="2"/>
    <n v="4"/>
    <s v="Double Espresso"/>
    <x v="0"/>
  </r>
  <r>
    <x v="222"/>
    <x v="3"/>
    <x v="8"/>
    <x v="1"/>
    <x v="5"/>
    <x v="2"/>
    <n v="4.6900000000000004"/>
    <x v="1"/>
    <s v="No"/>
    <s v="Chris"/>
    <x v="1"/>
    <n v="4"/>
    <s v="Decaf"/>
    <x v="4"/>
  </r>
  <r>
    <x v="223"/>
    <x v="4"/>
    <x v="6"/>
    <x v="0"/>
    <x v="5"/>
    <x v="0"/>
    <n v="5.14"/>
    <x v="2"/>
    <s v="No"/>
    <s v="Jordan"/>
    <x v="0"/>
    <n v="5"/>
    <s v="Oat Milk"/>
    <x v="2"/>
  </r>
  <r>
    <x v="224"/>
    <x v="5"/>
    <x v="7"/>
    <x v="1"/>
    <x v="6"/>
    <x v="0"/>
    <n v="4.2699999999999996"/>
    <x v="0"/>
    <s v="No"/>
    <s v="Alex"/>
    <x v="0"/>
    <n v="5"/>
    <s v="Almond Milk"/>
    <x v="2"/>
  </r>
  <r>
    <x v="225"/>
    <x v="4"/>
    <x v="5"/>
    <x v="3"/>
    <x v="6"/>
    <x v="0"/>
    <n v="4.32"/>
    <x v="2"/>
    <s v="No"/>
    <s v="Chris"/>
    <x v="1"/>
    <n v="4"/>
    <s v="Whipped Cream"/>
    <x v="1"/>
  </r>
  <r>
    <x v="226"/>
    <x v="2"/>
    <x v="5"/>
    <x v="1"/>
    <x v="6"/>
    <x v="0"/>
    <n v="6.13"/>
    <x v="2"/>
    <s v="Yes"/>
    <s v="Taylor"/>
    <x v="0"/>
    <n v="6"/>
    <s v="Double Espresso"/>
    <x v="4"/>
  </r>
  <r>
    <x v="227"/>
    <x v="4"/>
    <x v="8"/>
    <x v="3"/>
    <x v="1"/>
    <x v="1"/>
    <n v="5.21"/>
    <x v="1"/>
    <s v="Yes"/>
    <s v="Alex"/>
    <x v="2"/>
    <n v="7"/>
    <s v="Whipped Cream"/>
    <x v="4"/>
  </r>
  <r>
    <x v="228"/>
    <x v="5"/>
    <x v="7"/>
    <x v="3"/>
    <x v="1"/>
    <x v="1"/>
    <n v="4.91"/>
    <x v="2"/>
    <s v="No"/>
    <s v="Alex"/>
    <x v="0"/>
    <n v="10"/>
    <s v="Oat Milk"/>
    <x v="1"/>
  </r>
  <r>
    <x v="229"/>
    <x v="3"/>
    <x v="1"/>
    <x v="3"/>
    <x v="5"/>
    <x v="1"/>
    <n v="3.21"/>
    <x v="1"/>
    <s v="No"/>
    <s v="Jordan"/>
    <x v="2"/>
    <n v="8"/>
    <s v="Oat Milk"/>
    <x v="4"/>
  </r>
  <r>
    <x v="230"/>
    <x v="5"/>
    <x v="8"/>
    <x v="0"/>
    <x v="4"/>
    <x v="1"/>
    <n v="4.0999999999999996"/>
    <x v="0"/>
    <s v="Yes"/>
    <s v="Chris"/>
    <x v="0"/>
    <n v="3"/>
    <s v="No Sugar"/>
    <x v="4"/>
  </r>
  <r>
    <x v="231"/>
    <x v="1"/>
    <x v="5"/>
    <x v="2"/>
    <x v="0"/>
    <x v="2"/>
    <n v="3.96"/>
    <x v="2"/>
    <s v="Yes"/>
    <s v="Taylor"/>
    <x v="2"/>
    <n v="3"/>
    <s v="Oat Milk"/>
    <x v="2"/>
  </r>
  <r>
    <x v="232"/>
    <x v="4"/>
    <x v="3"/>
    <x v="2"/>
    <x v="6"/>
    <x v="2"/>
    <n v="5.03"/>
    <x v="1"/>
    <s v="Yes"/>
    <s v="Jamie"/>
    <x v="1"/>
    <n v="10"/>
    <s v="Oat Milk"/>
    <x v="0"/>
  </r>
  <r>
    <x v="233"/>
    <x v="2"/>
    <x v="9"/>
    <x v="3"/>
    <x v="2"/>
    <x v="2"/>
    <n v="3.03"/>
    <x v="0"/>
    <s v="No"/>
    <s v="Maria"/>
    <x v="0"/>
    <n v="10"/>
    <s v="Oat Milk"/>
    <x v="0"/>
  </r>
  <r>
    <x v="234"/>
    <x v="0"/>
    <x v="3"/>
    <x v="3"/>
    <x v="2"/>
    <x v="0"/>
    <n v="3.3"/>
    <x v="2"/>
    <s v="No"/>
    <s v="Alex"/>
    <x v="1"/>
    <n v="9"/>
    <s v="Decaf"/>
    <x v="1"/>
  </r>
  <r>
    <x v="235"/>
    <x v="1"/>
    <x v="5"/>
    <x v="1"/>
    <x v="1"/>
    <x v="2"/>
    <n v="6.4"/>
    <x v="2"/>
    <s v="No"/>
    <s v="Chris"/>
    <x v="1"/>
    <n v="6"/>
    <s v="No Sugar"/>
    <x v="1"/>
  </r>
  <r>
    <x v="236"/>
    <x v="0"/>
    <x v="0"/>
    <x v="1"/>
    <x v="3"/>
    <x v="2"/>
    <n v="5.0599999999999996"/>
    <x v="2"/>
    <s v="No"/>
    <s v="Taylor"/>
    <x v="1"/>
    <n v="2"/>
    <s v="No Sugar"/>
    <x v="3"/>
  </r>
  <r>
    <x v="237"/>
    <x v="5"/>
    <x v="8"/>
    <x v="4"/>
    <x v="0"/>
    <x v="0"/>
    <n v="4.4000000000000004"/>
    <x v="1"/>
    <s v="Yes"/>
    <s v="Jamie"/>
    <x v="1"/>
    <n v="2"/>
    <s v="Almond Milk"/>
    <x v="4"/>
  </r>
  <r>
    <x v="238"/>
    <x v="0"/>
    <x v="5"/>
    <x v="3"/>
    <x v="2"/>
    <x v="1"/>
    <n v="3.5"/>
    <x v="0"/>
    <s v="Yes"/>
    <s v="Maria"/>
    <x v="0"/>
    <n v="6"/>
    <s v="Extra Shot"/>
    <x v="4"/>
  </r>
  <r>
    <x v="239"/>
    <x v="6"/>
    <x v="6"/>
    <x v="0"/>
    <x v="2"/>
    <x v="2"/>
    <n v="6.25"/>
    <x v="2"/>
    <s v="No"/>
    <s v="Jordan"/>
    <x v="1"/>
    <n v="4"/>
    <s v="Extra Shot"/>
    <x v="2"/>
  </r>
  <r>
    <x v="240"/>
    <x v="2"/>
    <x v="4"/>
    <x v="1"/>
    <x v="0"/>
    <x v="0"/>
    <n v="4.1399999999999997"/>
    <x v="2"/>
    <s v="No"/>
    <s v="Jamie"/>
    <x v="0"/>
    <n v="7"/>
    <s v="Almond Milk"/>
    <x v="1"/>
  </r>
  <r>
    <x v="241"/>
    <x v="3"/>
    <x v="3"/>
    <x v="4"/>
    <x v="0"/>
    <x v="1"/>
    <n v="4.96"/>
    <x v="0"/>
    <s v="Yes"/>
    <s v="Chris"/>
    <x v="1"/>
    <n v="10"/>
    <s v="Oat Milk"/>
    <x v="4"/>
  </r>
  <r>
    <x v="242"/>
    <x v="5"/>
    <x v="5"/>
    <x v="2"/>
    <x v="2"/>
    <x v="0"/>
    <n v="4.38"/>
    <x v="2"/>
    <s v="Yes"/>
    <s v="Alex"/>
    <x v="0"/>
    <n v="7"/>
    <s v="Decaf"/>
    <x v="0"/>
  </r>
  <r>
    <x v="243"/>
    <x v="2"/>
    <x v="9"/>
    <x v="4"/>
    <x v="3"/>
    <x v="1"/>
    <n v="3.33"/>
    <x v="0"/>
    <s v="Yes"/>
    <s v="Taylor"/>
    <x v="2"/>
    <n v="10"/>
    <s v="Extra Shot"/>
    <x v="1"/>
  </r>
  <r>
    <x v="244"/>
    <x v="2"/>
    <x v="5"/>
    <x v="4"/>
    <x v="5"/>
    <x v="0"/>
    <n v="5.67"/>
    <x v="0"/>
    <s v="Yes"/>
    <s v="Jamie"/>
    <x v="0"/>
    <n v="3"/>
    <s v="Oat Milk"/>
    <x v="0"/>
  </r>
  <r>
    <x v="245"/>
    <x v="5"/>
    <x v="2"/>
    <x v="3"/>
    <x v="5"/>
    <x v="2"/>
    <n v="3.59"/>
    <x v="2"/>
    <s v="Yes"/>
    <s v="Jamie"/>
    <x v="2"/>
    <n v="6"/>
    <s v="Extra Shot"/>
    <x v="1"/>
  </r>
  <r>
    <x v="246"/>
    <x v="6"/>
    <x v="0"/>
    <x v="2"/>
    <x v="1"/>
    <x v="0"/>
    <n v="4.5199999999999996"/>
    <x v="1"/>
    <s v="No"/>
    <s v="Jordan"/>
    <x v="0"/>
    <n v="5"/>
    <s v="Extra Shot"/>
    <x v="2"/>
  </r>
  <r>
    <x v="247"/>
    <x v="6"/>
    <x v="4"/>
    <x v="0"/>
    <x v="5"/>
    <x v="0"/>
    <n v="4.22"/>
    <x v="0"/>
    <s v="No"/>
    <s v="Chris"/>
    <x v="1"/>
    <n v="8"/>
    <s v="Extra Shot"/>
    <x v="2"/>
  </r>
  <r>
    <x v="248"/>
    <x v="0"/>
    <x v="1"/>
    <x v="2"/>
    <x v="0"/>
    <x v="2"/>
    <n v="5.98"/>
    <x v="2"/>
    <s v="No"/>
    <s v="Jamie"/>
    <x v="1"/>
    <n v="3"/>
    <s v="Decaf"/>
    <x v="1"/>
  </r>
  <r>
    <x v="249"/>
    <x v="2"/>
    <x v="3"/>
    <x v="4"/>
    <x v="3"/>
    <x v="0"/>
    <n v="3.39"/>
    <x v="2"/>
    <s v="Yes"/>
    <s v="Chris"/>
    <x v="1"/>
    <n v="7"/>
    <s v="Oat Milk"/>
    <x v="0"/>
  </r>
  <r>
    <x v="250"/>
    <x v="4"/>
    <x v="8"/>
    <x v="4"/>
    <x v="2"/>
    <x v="2"/>
    <n v="4.54"/>
    <x v="2"/>
    <s v="Yes"/>
    <s v="Jordan"/>
    <x v="0"/>
    <n v="3"/>
    <s v="Almond Milk"/>
    <x v="0"/>
  </r>
  <r>
    <x v="251"/>
    <x v="4"/>
    <x v="2"/>
    <x v="0"/>
    <x v="0"/>
    <x v="0"/>
    <n v="6.77"/>
    <x v="1"/>
    <s v="No"/>
    <s v="Chris"/>
    <x v="0"/>
    <n v="9"/>
    <s v="Whipped Cream"/>
    <x v="1"/>
  </r>
  <r>
    <x v="252"/>
    <x v="4"/>
    <x v="1"/>
    <x v="1"/>
    <x v="2"/>
    <x v="1"/>
    <n v="5.2"/>
    <x v="0"/>
    <s v="No"/>
    <s v="Chris"/>
    <x v="1"/>
    <n v="3"/>
    <s v="Decaf"/>
    <x v="3"/>
  </r>
  <r>
    <x v="253"/>
    <x v="0"/>
    <x v="7"/>
    <x v="3"/>
    <x v="1"/>
    <x v="0"/>
    <n v="3.67"/>
    <x v="0"/>
    <s v="Yes"/>
    <s v="Chris"/>
    <x v="2"/>
    <n v="2"/>
    <s v="Whipped Cream"/>
    <x v="1"/>
  </r>
  <r>
    <x v="254"/>
    <x v="2"/>
    <x v="9"/>
    <x v="3"/>
    <x v="1"/>
    <x v="2"/>
    <n v="6.89"/>
    <x v="2"/>
    <s v="No"/>
    <s v="Taylor"/>
    <x v="1"/>
    <n v="10"/>
    <s v="Whipped Cream"/>
    <x v="4"/>
  </r>
  <r>
    <x v="255"/>
    <x v="6"/>
    <x v="6"/>
    <x v="1"/>
    <x v="0"/>
    <x v="0"/>
    <n v="5.29"/>
    <x v="1"/>
    <s v="Yes"/>
    <s v="Taylor"/>
    <x v="1"/>
    <n v="10"/>
    <s v="Oat Milk"/>
    <x v="0"/>
  </r>
  <r>
    <x v="256"/>
    <x v="2"/>
    <x v="2"/>
    <x v="4"/>
    <x v="4"/>
    <x v="0"/>
    <n v="3.68"/>
    <x v="2"/>
    <s v="Yes"/>
    <s v="Chris"/>
    <x v="2"/>
    <n v="4"/>
    <s v="No Sugar"/>
    <x v="1"/>
  </r>
  <r>
    <x v="257"/>
    <x v="2"/>
    <x v="4"/>
    <x v="1"/>
    <x v="1"/>
    <x v="0"/>
    <n v="5.14"/>
    <x v="2"/>
    <s v="No"/>
    <s v="Jordan"/>
    <x v="0"/>
    <n v="7"/>
    <s v="No Sugar"/>
    <x v="3"/>
  </r>
  <r>
    <x v="258"/>
    <x v="4"/>
    <x v="7"/>
    <x v="1"/>
    <x v="6"/>
    <x v="2"/>
    <n v="4.18"/>
    <x v="2"/>
    <s v="Yes"/>
    <s v="Chris"/>
    <x v="2"/>
    <n v="6"/>
    <s v="Extra Shot"/>
    <x v="2"/>
  </r>
  <r>
    <x v="259"/>
    <x v="4"/>
    <x v="7"/>
    <x v="3"/>
    <x v="0"/>
    <x v="2"/>
    <n v="5.98"/>
    <x v="0"/>
    <s v="No"/>
    <s v="Jordan"/>
    <x v="0"/>
    <n v="10"/>
    <s v="Extra Shot"/>
    <x v="4"/>
  </r>
  <r>
    <x v="260"/>
    <x v="3"/>
    <x v="6"/>
    <x v="3"/>
    <x v="5"/>
    <x v="1"/>
    <n v="3.62"/>
    <x v="2"/>
    <s v="No"/>
    <s v="Chris"/>
    <x v="2"/>
    <n v="9"/>
    <s v="Almond Milk"/>
    <x v="4"/>
  </r>
  <r>
    <x v="261"/>
    <x v="5"/>
    <x v="1"/>
    <x v="1"/>
    <x v="2"/>
    <x v="2"/>
    <n v="4.96"/>
    <x v="1"/>
    <s v="Yes"/>
    <s v="Jordan"/>
    <x v="1"/>
    <n v="2"/>
    <s v="No Sugar"/>
    <x v="1"/>
  </r>
  <r>
    <x v="262"/>
    <x v="0"/>
    <x v="9"/>
    <x v="3"/>
    <x v="2"/>
    <x v="0"/>
    <n v="3.57"/>
    <x v="0"/>
    <s v="Yes"/>
    <s v="Jamie"/>
    <x v="0"/>
    <n v="8"/>
    <s v="Almond Milk"/>
    <x v="0"/>
  </r>
  <r>
    <x v="263"/>
    <x v="5"/>
    <x v="4"/>
    <x v="2"/>
    <x v="6"/>
    <x v="1"/>
    <n v="3.08"/>
    <x v="2"/>
    <s v="Yes"/>
    <s v="Maria"/>
    <x v="2"/>
    <n v="3"/>
    <s v="No Sugar"/>
    <x v="1"/>
  </r>
  <r>
    <x v="264"/>
    <x v="4"/>
    <x v="0"/>
    <x v="2"/>
    <x v="1"/>
    <x v="0"/>
    <n v="5.17"/>
    <x v="0"/>
    <s v="Yes"/>
    <s v="Maria"/>
    <x v="2"/>
    <n v="9"/>
    <s v="Whipped Cream"/>
    <x v="0"/>
  </r>
  <r>
    <x v="265"/>
    <x v="0"/>
    <x v="1"/>
    <x v="4"/>
    <x v="6"/>
    <x v="0"/>
    <n v="3.98"/>
    <x v="1"/>
    <s v="No"/>
    <s v="Jordan"/>
    <x v="0"/>
    <n v="3"/>
    <s v="Almond Milk"/>
    <x v="3"/>
  </r>
  <r>
    <x v="266"/>
    <x v="4"/>
    <x v="6"/>
    <x v="3"/>
    <x v="1"/>
    <x v="1"/>
    <n v="3.57"/>
    <x v="2"/>
    <s v="Yes"/>
    <s v="Maria"/>
    <x v="1"/>
    <n v="8"/>
    <s v="Extra Shot"/>
    <x v="2"/>
  </r>
  <r>
    <x v="88"/>
    <x v="3"/>
    <x v="2"/>
    <x v="0"/>
    <x v="5"/>
    <x v="2"/>
    <n v="6.29"/>
    <x v="2"/>
    <s v="No"/>
    <s v="Maria"/>
    <x v="2"/>
    <n v="5"/>
    <s v="Almond Milk"/>
    <x v="2"/>
  </r>
  <r>
    <x v="267"/>
    <x v="1"/>
    <x v="0"/>
    <x v="2"/>
    <x v="3"/>
    <x v="0"/>
    <n v="6.58"/>
    <x v="1"/>
    <s v="Yes"/>
    <s v="Maria"/>
    <x v="1"/>
    <n v="10"/>
    <s v="No Sugar"/>
    <x v="0"/>
  </r>
  <r>
    <x v="268"/>
    <x v="5"/>
    <x v="9"/>
    <x v="4"/>
    <x v="4"/>
    <x v="1"/>
    <n v="4.3899999999999997"/>
    <x v="2"/>
    <s v="No"/>
    <s v="Jamie"/>
    <x v="0"/>
    <n v="7"/>
    <s v="No Sugar"/>
    <x v="3"/>
  </r>
  <r>
    <x v="269"/>
    <x v="1"/>
    <x v="1"/>
    <x v="1"/>
    <x v="3"/>
    <x v="0"/>
    <n v="4.5599999999999996"/>
    <x v="1"/>
    <s v="No"/>
    <s v="Alex"/>
    <x v="2"/>
    <n v="8"/>
    <s v="Oat Milk"/>
    <x v="2"/>
  </r>
  <r>
    <x v="270"/>
    <x v="5"/>
    <x v="8"/>
    <x v="1"/>
    <x v="1"/>
    <x v="1"/>
    <n v="4.41"/>
    <x v="0"/>
    <s v="No"/>
    <s v="Jamie"/>
    <x v="0"/>
    <n v="8"/>
    <s v="Double Espresso"/>
    <x v="2"/>
  </r>
  <r>
    <x v="271"/>
    <x v="5"/>
    <x v="2"/>
    <x v="0"/>
    <x v="4"/>
    <x v="1"/>
    <n v="5.15"/>
    <x v="0"/>
    <s v="Yes"/>
    <s v="Jamie"/>
    <x v="2"/>
    <n v="8"/>
    <s v="Double Espresso"/>
    <x v="0"/>
  </r>
  <r>
    <x v="272"/>
    <x v="1"/>
    <x v="2"/>
    <x v="2"/>
    <x v="2"/>
    <x v="1"/>
    <n v="3.01"/>
    <x v="2"/>
    <s v="No"/>
    <s v="Taylor"/>
    <x v="1"/>
    <n v="4"/>
    <s v="Almond Milk"/>
    <x v="3"/>
  </r>
  <r>
    <x v="273"/>
    <x v="0"/>
    <x v="8"/>
    <x v="1"/>
    <x v="3"/>
    <x v="1"/>
    <n v="3.58"/>
    <x v="1"/>
    <s v="No"/>
    <s v="Maria"/>
    <x v="2"/>
    <n v="5"/>
    <s v="Almond Milk"/>
    <x v="1"/>
  </r>
  <r>
    <x v="212"/>
    <x v="4"/>
    <x v="1"/>
    <x v="2"/>
    <x v="5"/>
    <x v="1"/>
    <n v="4.49"/>
    <x v="1"/>
    <s v="Yes"/>
    <s v="Jordan"/>
    <x v="0"/>
    <n v="3"/>
    <s v="Decaf"/>
    <x v="0"/>
  </r>
  <r>
    <x v="274"/>
    <x v="6"/>
    <x v="4"/>
    <x v="4"/>
    <x v="2"/>
    <x v="0"/>
    <n v="3.98"/>
    <x v="2"/>
    <s v="No"/>
    <s v="Maria"/>
    <x v="2"/>
    <n v="9"/>
    <s v="Oat Milk"/>
    <x v="1"/>
  </r>
  <r>
    <x v="275"/>
    <x v="2"/>
    <x v="6"/>
    <x v="0"/>
    <x v="5"/>
    <x v="1"/>
    <n v="4.78"/>
    <x v="1"/>
    <s v="Yes"/>
    <s v="Chris"/>
    <x v="2"/>
    <n v="4"/>
    <s v="Almond Milk"/>
    <x v="3"/>
  </r>
  <r>
    <x v="276"/>
    <x v="5"/>
    <x v="1"/>
    <x v="1"/>
    <x v="0"/>
    <x v="1"/>
    <n v="6.33"/>
    <x v="1"/>
    <s v="No"/>
    <s v="Taylor"/>
    <x v="0"/>
    <n v="6"/>
    <s v="Double Espresso"/>
    <x v="0"/>
  </r>
  <r>
    <x v="277"/>
    <x v="2"/>
    <x v="2"/>
    <x v="1"/>
    <x v="3"/>
    <x v="0"/>
    <n v="5.09"/>
    <x v="2"/>
    <s v="Yes"/>
    <s v="Jamie"/>
    <x v="0"/>
    <n v="2"/>
    <s v="Extra Shot"/>
    <x v="4"/>
  </r>
  <r>
    <x v="278"/>
    <x v="5"/>
    <x v="7"/>
    <x v="2"/>
    <x v="1"/>
    <x v="2"/>
    <n v="4.87"/>
    <x v="0"/>
    <s v="No"/>
    <s v="Jamie"/>
    <x v="2"/>
    <n v="2"/>
    <s v="Whipped Cream"/>
    <x v="2"/>
  </r>
  <r>
    <x v="279"/>
    <x v="3"/>
    <x v="2"/>
    <x v="2"/>
    <x v="0"/>
    <x v="0"/>
    <n v="4.45"/>
    <x v="0"/>
    <s v="Yes"/>
    <s v="Maria"/>
    <x v="1"/>
    <n v="4"/>
    <s v="Double Espresso"/>
    <x v="3"/>
  </r>
  <r>
    <x v="280"/>
    <x v="4"/>
    <x v="0"/>
    <x v="4"/>
    <x v="2"/>
    <x v="2"/>
    <n v="3.81"/>
    <x v="2"/>
    <s v="Yes"/>
    <s v="Chris"/>
    <x v="2"/>
    <n v="2"/>
    <s v="Double Espresso"/>
    <x v="4"/>
  </r>
  <r>
    <x v="281"/>
    <x v="0"/>
    <x v="8"/>
    <x v="4"/>
    <x v="0"/>
    <x v="1"/>
    <n v="6.01"/>
    <x v="0"/>
    <s v="Yes"/>
    <s v="Chris"/>
    <x v="1"/>
    <n v="7"/>
    <s v="Extra Shot"/>
    <x v="3"/>
  </r>
  <r>
    <x v="282"/>
    <x v="1"/>
    <x v="7"/>
    <x v="3"/>
    <x v="1"/>
    <x v="0"/>
    <n v="3.09"/>
    <x v="0"/>
    <s v="No"/>
    <s v="Taylor"/>
    <x v="2"/>
    <n v="6"/>
    <s v="Extra Shot"/>
    <x v="1"/>
  </r>
  <r>
    <x v="283"/>
    <x v="3"/>
    <x v="5"/>
    <x v="2"/>
    <x v="5"/>
    <x v="0"/>
    <n v="6.54"/>
    <x v="1"/>
    <s v="Yes"/>
    <s v="Jordan"/>
    <x v="2"/>
    <n v="10"/>
    <s v="Double Espresso"/>
    <x v="0"/>
  </r>
  <r>
    <x v="284"/>
    <x v="3"/>
    <x v="8"/>
    <x v="1"/>
    <x v="3"/>
    <x v="1"/>
    <n v="4.4400000000000004"/>
    <x v="0"/>
    <s v="Yes"/>
    <s v="Jordan"/>
    <x v="0"/>
    <n v="8"/>
    <s v="Extra Shot"/>
    <x v="1"/>
  </r>
  <r>
    <x v="285"/>
    <x v="4"/>
    <x v="0"/>
    <x v="1"/>
    <x v="4"/>
    <x v="2"/>
    <n v="6.98"/>
    <x v="2"/>
    <s v="Yes"/>
    <s v="Maria"/>
    <x v="1"/>
    <n v="10"/>
    <s v="Whipped Cream"/>
    <x v="3"/>
  </r>
  <r>
    <x v="286"/>
    <x v="0"/>
    <x v="3"/>
    <x v="1"/>
    <x v="3"/>
    <x v="0"/>
    <n v="3.27"/>
    <x v="1"/>
    <s v="No"/>
    <s v="Chris"/>
    <x v="2"/>
    <n v="3"/>
    <s v="Extra Shot"/>
    <x v="4"/>
  </r>
  <r>
    <x v="287"/>
    <x v="2"/>
    <x v="3"/>
    <x v="0"/>
    <x v="5"/>
    <x v="0"/>
    <n v="6.76"/>
    <x v="1"/>
    <s v="No"/>
    <s v="Alex"/>
    <x v="1"/>
    <n v="6"/>
    <s v="Decaf"/>
    <x v="4"/>
  </r>
  <r>
    <x v="288"/>
    <x v="6"/>
    <x v="1"/>
    <x v="4"/>
    <x v="4"/>
    <x v="2"/>
    <n v="6.81"/>
    <x v="0"/>
    <s v="Yes"/>
    <s v="Jordan"/>
    <x v="1"/>
    <n v="10"/>
    <s v="Decaf"/>
    <x v="2"/>
  </r>
  <r>
    <x v="289"/>
    <x v="0"/>
    <x v="4"/>
    <x v="2"/>
    <x v="5"/>
    <x v="0"/>
    <n v="5.8"/>
    <x v="1"/>
    <s v="Yes"/>
    <s v="Maria"/>
    <x v="2"/>
    <n v="6"/>
    <s v="Decaf"/>
    <x v="1"/>
  </r>
  <r>
    <x v="290"/>
    <x v="5"/>
    <x v="5"/>
    <x v="0"/>
    <x v="1"/>
    <x v="1"/>
    <n v="5.68"/>
    <x v="0"/>
    <s v="No"/>
    <s v="Jamie"/>
    <x v="0"/>
    <n v="10"/>
    <s v="Whipped Cream"/>
    <x v="4"/>
  </r>
  <r>
    <x v="291"/>
    <x v="4"/>
    <x v="1"/>
    <x v="2"/>
    <x v="6"/>
    <x v="1"/>
    <n v="3.8"/>
    <x v="0"/>
    <s v="Yes"/>
    <s v="Chris"/>
    <x v="1"/>
    <n v="9"/>
    <s v="Extra Shot"/>
    <x v="4"/>
  </r>
  <r>
    <x v="292"/>
    <x v="4"/>
    <x v="3"/>
    <x v="3"/>
    <x v="2"/>
    <x v="1"/>
    <n v="3.58"/>
    <x v="2"/>
    <s v="No"/>
    <s v="Taylor"/>
    <x v="2"/>
    <n v="8"/>
    <s v="Almond Milk"/>
    <x v="2"/>
  </r>
  <r>
    <x v="293"/>
    <x v="1"/>
    <x v="3"/>
    <x v="2"/>
    <x v="2"/>
    <x v="0"/>
    <n v="6.81"/>
    <x v="1"/>
    <s v="No"/>
    <s v="Chris"/>
    <x v="1"/>
    <n v="4"/>
    <s v="Almond Milk"/>
    <x v="1"/>
  </r>
  <r>
    <x v="294"/>
    <x v="4"/>
    <x v="9"/>
    <x v="4"/>
    <x v="1"/>
    <x v="2"/>
    <n v="4.8099999999999996"/>
    <x v="0"/>
    <s v="Yes"/>
    <s v="Jordan"/>
    <x v="1"/>
    <n v="4"/>
    <s v="Whipped Cream"/>
    <x v="3"/>
  </r>
  <r>
    <x v="295"/>
    <x v="4"/>
    <x v="9"/>
    <x v="4"/>
    <x v="2"/>
    <x v="0"/>
    <n v="4.4000000000000004"/>
    <x v="0"/>
    <s v="No"/>
    <s v="Jamie"/>
    <x v="0"/>
    <n v="4"/>
    <s v="Oat Milk"/>
    <x v="4"/>
  </r>
  <r>
    <x v="296"/>
    <x v="1"/>
    <x v="0"/>
    <x v="2"/>
    <x v="4"/>
    <x v="2"/>
    <n v="3.79"/>
    <x v="1"/>
    <s v="Yes"/>
    <s v="Chris"/>
    <x v="0"/>
    <n v="7"/>
    <s v="Almond Milk"/>
    <x v="1"/>
  </r>
  <r>
    <x v="297"/>
    <x v="0"/>
    <x v="1"/>
    <x v="4"/>
    <x v="0"/>
    <x v="2"/>
    <n v="4.63"/>
    <x v="1"/>
    <s v="Yes"/>
    <s v="Jamie"/>
    <x v="2"/>
    <n v="9"/>
    <s v="Oat Milk"/>
    <x v="0"/>
  </r>
  <r>
    <x v="298"/>
    <x v="4"/>
    <x v="2"/>
    <x v="1"/>
    <x v="6"/>
    <x v="2"/>
    <n v="5.18"/>
    <x v="2"/>
    <s v="No"/>
    <s v="Maria"/>
    <x v="1"/>
    <n v="5"/>
    <s v="Extra Shot"/>
    <x v="0"/>
  </r>
  <r>
    <x v="170"/>
    <x v="4"/>
    <x v="8"/>
    <x v="4"/>
    <x v="0"/>
    <x v="1"/>
    <n v="6.59"/>
    <x v="1"/>
    <s v="Yes"/>
    <s v="Jordan"/>
    <x v="1"/>
    <n v="9"/>
    <s v="Decaf"/>
    <x v="4"/>
  </r>
  <r>
    <x v="299"/>
    <x v="1"/>
    <x v="7"/>
    <x v="3"/>
    <x v="1"/>
    <x v="1"/>
    <n v="3.45"/>
    <x v="2"/>
    <s v="No"/>
    <s v="Jamie"/>
    <x v="1"/>
    <n v="4"/>
    <s v="Double Espresso"/>
    <x v="0"/>
  </r>
  <r>
    <x v="300"/>
    <x v="5"/>
    <x v="9"/>
    <x v="4"/>
    <x v="1"/>
    <x v="2"/>
    <n v="5.75"/>
    <x v="0"/>
    <s v="No"/>
    <s v="Jordan"/>
    <x v="0"/>
    <n v="3"/>
    <s v="Almond Milk"/>
    <x v="3"/>
  </r>
  <r>
    <x v="301"/>
    <x v="4"/>
    <x v="4"/>
    <x v="0"/>
    <x v="0"/>
    <x v="1"/>
    <n v="6"/>
    <x v="1"/>
    <s v="Yes"/>
    <s v="Jordan"/>
    <x v="1"/>
    <n v="10"/>
    <s v="Double Espresso"/>
    <x v="3"/>
  </r>
  <r>
    <x v="302"/>
    <x v="3"/>
    <x v="9"/>
    <x v="1"/>
    <x v="1"/>
    <x v="1"/>
    <n v="5.21"/>
    <x v="2"/>
    <s v="Yes"/>
    <s v="Jamie"/>
    <x v="2"/>
    <n v="7"/>
    <s v="Whipped Cream"/>
    <x v="4"/>
  </r>
  <r>
    <x v="303"/>
    <x v="6"/>
    <x v="9"/>
    <x v="4"/>
    <x v="1"/>
    <x v="0"/>
    <n v="5.03"/>
    <x v="0"/>
    <s v="No"/>
    <s v="Chris"/>
    <x v="1"/>
    <n v="5"/>
    <s v="Almond Milk"/>
    <x v="4"/>
  </r>
  <r>
    <x v="304"/>
    <x v="0"/>
    <x v="4"/>
    <x v="4"/>
    <x v="1"/>
    <x v="2"/>
    <n v="6.28"/>
    <x v="1"/>
    <s v="No"/>
    <s v="Chris"/>
    <x v="2"/>
    <n v="8"/>
    <s v="Extra Shot"/>
    <x v="0"/>
  </r>
  <r>
    <x v="55"/>
    <x v="4"/>
    <x v="2"/>
    <x v="0"/>
    <x v="1"/>
    <x v="0"/>
    <n v="6.21"/>
    <x v="1"/>
    <s v="No"/>
    <s v="Maria"/>
    <x v="0"/>
    <n v="8"/>
    <s v="Oat Milk"/>
    <x v="1"/>
  </r>
  <r>
    <x v="305"/>
    <x v="6"/>
    <x v="8"/>
    <x v="1"/>
    <x v="6"/>
    <x v="0"/>
    <n v="3.4"/>
    <x v="2"/>
    <s v="Yes"/>
    <s v="Jordan"/>
    <x v="0"/>
    <n v="8"/>
    <s v="Whipped Cream"/>
    <x v="2"/>
  </r>
  <r>
    <x v="306"/>
    <x v="6"/>
    <x v="1"/>
    <x v="1"/>
    <x v="0"/>
    <x v="0"/>
    <n v="3.1"/>
    <x v="2"/>
    <s v="Yes"/>
    <s v="Alex"/>
    <x v="0"/>
    <n v="10"/>
    <s v="Almond Milk"/>
    <x v="0"/>
  </r>
  <r>
    <x v="307"/>
    <x v="6"/>
    <x v="1"/>
    <x v="4"/>
    <x v="2"/>
    <x v="0"/>
    <n v="5.61"/>
    <x v="2"/>
    <s v="No"/>
    <s v="Maria"/>
    <x v="0"/>
    <n v="5"/>
    <s v="Oat Milk"/>
    <x v="4"/>
  </r>
  <r>
    <x v="308"/>
    <x v="1"/>
    <x v="4"/>
    <x v="2"/>
    <x v="2"/>
    <x v="2"/>
    <n v="3.09"/>
    <x v="1"/>
    <s v="Yes"/>
    <s v="Alex"/>
    <x v="1"/>
    <n v="3"/>
    <s v="Almond Milk"/>
    <x v="1"/>
  </r>
  <r>
    <x v="309"/>
    <x v="2"/>
    <x v="1"/>
    <x v="2"/>
    <x v="6"/>
    <x v="1"/>
    <n v="6.65"/>
    <x v="2"/>
    <s v="No"/>
    <s v="Alex"/>
    <x v="1"/>
    <n v="2"/>
    <s v="Decaf"/>
    <x v="3"/>
  </r>
  <r>
    <x v="310"/>
    <x v="0"/>
    <x v="5"/>
    <x v="0"/>
    <x v="6"/>
    <x v="1"/>
    <n v="5.53"/>
    <x v="0"/>
    <s v="Yes"/>
    <s v="Maria"/>
    <x v="1"/>
    <n v="2"/>
    <s v="Extra Shot"/>
    <x v="0"/>
  </r>
  <r>
    <x v="311"/>
    <x v="3"/>
    <x v="4"/>
    <x v="4"/>
    <x v="3"/>
    <x v="1"/>
    <n v="6.98"/>
    <x v="1"/>
    <s v="Yes"/>
    <s v="Maria"/>
    <x v="0"/>
    <n v="6"/>
    <s v="Almond Milk"/>
    <x v="1"/>
  </r>
  <r>
    <x v="312"/>
    <x v="5"/>
    <x v="7"/>
    <x v="3"/>
    <x v="4"/>
    <x v="0"/>
    <n v="3.87"/>
    <x v="0"/>
    <s v="Yes"/>
    <s v="Maria"/>
    <x v="2"/>
    <n v="7"/>
    <s v="Extra Shot"/>
    <x v="1"/>
  </r>
  <r>
    <x v="313"/>
    <x v="4"/>
    <x v="1"/>
    <x v="4"/>
    <x v="6"/>
    <x v="0"/>
    <n v="6.81"/>
    <x v="0"/>
    <s v="No"/>
    <s v="Jamie"/>
    <x v="0"/>
    <n v="9"/>
    <s v="Decaf"/>
    <x v="0"/>
  </r>
  <r>
    <x v="314"/>
    <x v="4"/>
    <x v="2"/>
    <x v="1"/>
    <x v="2"/>
    <x v="2"/>
    <n v="6.38"/>
    <x v="1"/>
    <s v="No"/>
    <s v="Jamie"/>
    <x v="2"/>
    <n v="6"/>
    <s v="Extra Shot"/>
    <x v="1"/>
  </r>
  <r>
    <x v="315"/>
    <x v="4"/>
    <x v="3"/>
    <x v="0"/>
    <x v="6"/>
    <x v="2"/>
    <n v="5.99"/>
    <x v="0"/>
    <s v="Yes"/>
    <s v="Taylor"/>
    <x v="1"/>
    <n v="8"/>
    <s v="Extra Shot"/>
    <x v="0"/>
  </r>
  <r>
    <x v="316"/>
    <x v="1"/>
    <x v="5"/>
    <x v="1"/>
    <x v="0"/>
    <x v="2"/>
    <n v="4.01"/>
    <x v="0"/>
    <s v="No"/>
    <s v="Taylor"/>
    <x v="0"/>
    <n v="10"/>
    <s v="No Sugar"/>
    <x v="4"/>
  </r>
  <r>
    <x v="317"/>
    <x v="0"/>
    <x v="1"/>
    <x v="4"/>
    <x v="6"/>
    <x v="0"/>
    <n v="4.43"/>
    <x v="2"/>
    <s v="Yes"/>
    <s v="Jordan"/>
    <x v="1"/>
    <n v="7"/>
    <s v="Extra Shot"/>
    <x v="2"/>
  </r>
  <r>
    <x v="227"/>
    <x v="4"/>
    <x v="8"/>
    <x v="2"/>
    <x v="5"/>
    <x v="1"/>
    <n v="3.86"/>
    <x v="1"/>
    <s v="No"/>
    <s v="Maria"/>
    <x v="0"/>
    <n v="3"/>
    <s v="Decaf"/>
    <x v="2"/>
  </r>
  <r>
    <x v="318"/>
    <x v="5"/>
    <x v="7"/>
    <x v="2"/>
    <x v="4"/>
    <x v="1"/>
    <n v="5.87"/>
    <x v="1"/>
    <s v="Yes"/>
    <s v="Taylor"/>
    <x v="0"/>
    <n v="8"/>
    <s v="Oat Milk"/>
    <x v="4"/>
  </r>
  <r>
    <x v="319"/>
    <x v="1"/>
    <x v="8"/>
    <x v="1"/>
    <x v="0"/>
    <x v="1"/>
    <n v="4.99"/>
    <x v="0"/>
    <s v="No"/>
    <s v="Alex"/>
    <x v="2"/>
    <n v="9"/>
    <s v="Extra Shot"/>
    <x v="0"/>
  </r>
  <r>
    <x v="320"/>
    <x v="1"/>
    <x v="9"/>
    <x v="3"/>
    <x v="0"/>
    <x v="1"/>
    <n v="3.07"/>
    <x v="1"/>
    <s v="Yes"/>
    <s v="Jamie"/>
    <x v="1"/>
    <n v="4"/>
    <s v="Whipped Cream"/>
    <x v="4"/>
  </r>
  <r>
    <x v="321"/>
    <x v="0"/>
    <x v="7"/>
    <x v="3"/>
    <x v="0"/>
    <x v="1"/>
    <n v="5.58"/>
    <x v="2"/>
    <s v="No"/>
    <s v="Alex"/>
    <x v="1"/>
    <n v="6"/>
    <s v="No Sugar"/>
    <x v="2"/>
  </r>
  <r>
    <x v="322"/>
    <x v="1"/>
    <x v="9"/>
    <x v="3"/>
    <x v="1"/>
    <x v="1"/>
    <n v="4.9800000000000004"/>
    <x v="2"/>
    <s v="No"/>
    <s v="Chris"/>
    <x v="0"/>
    <n v="9"/>
    <s v="Decaf"/>
    <x v="3"/>
  </r>
  <r>
    <x v="323"/>
    <x v="6"/>
    <x v="0"/>
    <x v="2"/>
    <x v="2"/>
    <x v="0"/>
    <n v="6.3"/>
    <x v="2"/>
    <s v="Yes"/>
    <s v="Chris"/>
    <x v="0"/>
    <n v="8"/>
    <s v="Extra Shot"/>
    <x v="1"/>
  </r>
  <r>
    <x v="324"/>
    <x v="4"/>
    <x v="8"/>
    <x v="3"/>
    <x v="0"/>
    <x v="2"/>
    <n v="6.47"/>
    <x v="0"/>
    <s v="Yes"/>
    <s v="Alex"/>
    <x v="2"/>
    <n v="6"/>
    <s v="Almond Milk"/>
    <x v="2"/>
  </r>
  <r>
    <x v="325"/>
    <x v="1"/>
    <x v="0"/>
    <x v="0"/>
    <x v="3"/>
    <x v="2"/>
    <n v="3.68"/>
    <x v="2"/>
    <s v="No"/>
    <s v="Alex"/>
    <x v="2"/>
    <n v="7"/>
    <s v="Whipped Cream"/>
    <x v="1"/>
  </r>
  <r>
    <x v="326"/>
    <x v="1"/>
    <x v="9"/>
    <x v="0"/>
    <x v="5"/>
    <x v="0"/>
    <n v="5.09"/>
    <x v="2"/>
    <s v="No"/>
    <s v="Jordan"/>
    <x v="1"/>
    <n v="6"/>
    <s v="No Sugar"/>
    <x v="4"/>
  </r>
  <r>
    <x v="327"/>
    <x v="3"/>
    <x v="6"/>
    <x v="4"/>
    <x v="5"/>
    <x v="0"/>
    <n v="4.41"/>
    <x v="2"/>
    <s v="Yes"/>
    <s v="Jordan"/>
    <x v="2"/>
    <n v="3"/>
    <s v="Decaf"/>
    <x v="3"/>
  </r>
  <r>
    <x v="328"/>
    <x v="3"/>
    <x v="2"/>
    <x v="0"/>
    <x v="2"/>
    <x v="1"/>
    <n v="3.42"/>
    <x v="2"/>
    <s v="No"/>
    <s v="Chris"/>
    <x v="0"/>
    <n v="9"/>
    <s v="Oat Milk"/>
    <x v="1"/>
  </r>
  <r>
    <x v="329"/>
    <x v="6"/>
    <x v="5"/>
    <x v="1"/>
    <x v="2"/>
    <x v="1"/>
    <n v="4.54"/>
    <x v="0"/>
    <s v="Yes"/>
    <s v="Jamie"/>
    <x v="2"/>
    <n v="3"/>
    <s v="No Sugar"/>
    <x v="4"/>
  </r>
  <r>
    <x v="330"/>
    <x v="5"/>
    <x v="6"/>
    <x v="3"/>
    <x v="5"/>
    <x v="0"/>
    <n v="3.59"/>
    <x v="2"/>
    <s v="Yes"/>
    <s v="Maria"/>
    <x v="2"/>
    <n v="9"/>
    <s v="Extra Shot"/>
    <x v="2"/>
  </r>
  <r>
    <x v="331"/>
    <x v="0"/>
    <x v="7"/>
    <x v="4"/>
    <x v="3"/>
    <x v="0"/>
    <n v="6.71"/>
    <x v="2"/>
    <s v="No"/>
    <s v="Jamie"/>
    <x v="2"/>
    <n v="4"/>
    <s v="Decaf"/>
    <x v="0"/>
  </r>
  <r>
    <x v="332"/>
    <x v="6"/>
    <x v="8"/>
    <x v="0"/>
    <x v="3"/>
    <x v="1"/>
    <n v="3.39"/>
    <x v="1"/>
    <s v="No"/>
    <s v="Jordan"/>
    <x v="1"/>
    <n v="5"/>
    <s v="No Sugar"/>
    <x v="1"/>
  </r>
  <r>
    <x v="333"/>
    <x v="6"/>
    <x v="0"/>
    <x v="3"/>
    <x v="4"/>
    <x v="1"/>
    <n v="5.07"/>
    <x v="2"/>
    <s v="Yes"/>
    <s v="Jordan"/>
    <x v="2"/>
    <n v="3"/>
    <s v="Extra Shot"/>
    <x v="3"/>
  </r>
  <r>
    <x v="334"/>
    <x v="0"/>
    <x v="4"/>
    <x v="4"/>
    <x v="2"/>
    <x v="0"/>
    <n v="5.13"/>
    <x v="0"/>
    <s v="Yes"/>
    <s v="Taylor"/>
    <x v="0"/>
    <n v="8"/>
    <s v="Decaf"/>
    <x v="4"/>
  </r>
  <r>
    <x v="335"/>
    <x v="4"/>
    <x v="6"/>
    <x v="1"/>
    <x v="2"/>
    <x v="0"/>
    <n v="4.3899999999999997"/>
    <x v="0"/>
    <s v="No"/>
    <s v="Jordan"/>
    <x v="2"/>
    <n v="3"/>
    <s v="Extra Shot"/>
    <x v="0"/>
  </r>
  <r>
    <x v="336"/>
    <x v="0"/>
    <x v="0"/>
    <x v="4"/>
    <x v="1"/>
    <x v="2"/>
    <n v="3.95"/>
    <x v="0"/>
    <s v="Yes"/>
    <s v="Maria"/>
    <x v="2"/>
    <n v="7"/>
    <s v="Decaf"/>
    <x v="1"/>
  </r>
  <r>
    <x v="315"/>
    <x v="4"/>
    <x v="3"/>
    <x v="4"/>
    <x v="0"/>
    <x v="0"/>
    <n v="6.9"/>
    <x v="2"/>
    <s v="Yes"/>
    <s v="Jordan"/>
    <x v="2"/>
    <n v="7"/>
    <s v="Decaf"/>
    <x v="0"/>
  </r>
  <r>
    <x v="193"/>
    <x v="0"/>
    <x v="2"/>
    <x v="2"/>
    <x v="0"/>
    <x v="0"/>
    <n v="5.27"/>
    <x v="0"/>
    <s v="Yes"/>
    <s v="Taylor"/>
    <x v="0"/>
    <n v="4"/>
    <s v="Whipped Cream"/>
    <x v="1"/>
  </r>
  <r>
    <x v="337"/>
    <x v="1"/>
    <x v="5"/>
    <x v="4"/>
    <x v="6"/>
    <x v="1"/>
    <n v="5.94"/>
    <x v="1"/>
    <s v="No"/>
    <s v="Jordan"/>
    <x v="1"/>
    <n v="6"/>
    <s v="No Sugar"/>
    <x v="4"/>
  </r>
  <r>
    <x v="338"/>
    <x v="0"/>
    <x v="8"/>
    <x v="4"/>
    <x v="4"/>
    <x v="2"/>
    <n v="6.43"/>
    <x v="1"/>
    <s v="No"/>
    <s v="Alex"/>
    <x v="1"/>
    <n v="10"/>
    <s v="Oat Milk"/>
    <x v="3"/>
  </r>
  <r>
    <x v="339"/>
    <x v="5"/>
    <x v="9"/>
    <x v="1"/>
    <x v="5"/>
    <x v="0"/>
    <n v="4.43"/>
    <x v="2"/>
    <s v="Yes"/>
    <s v="Taylor"/>
    <x v="0"/>
    <n v="8"/>
    <s v="No Sugar"/>
    <x v="1"/>
  </r>
  <r>
    <x v="340"/>
    <x v="2"/>
    <x v="2"/>
    <x v="0"/>
    <x v="5"/>
    <x v="0"/>
    <n v="6.86"/>
    <x v="1"/>
    <s v="No"/>
    <s v="Taylor"/>
    <x v="2"/>
    <n v="6"/>
    <s v="Oat Milk"/>
    <x v="2"/>
  </r>
  <r>
    <x v="341"/>
    <x v="0"/>
    <x v="9"/>
    <x v="0"/>
    <x v="3"/>
    <x v="1"/>
    <n v="3.76"/>
    <x v="1"/>
    <s v="No"/>
    <s v="Taylor"/>
    <x v="2"/>
    <n v="8"/>
    <s v="Whipped Cream"/>
    <x v="4"/>
  </r>
  <r>
    <x v="342"/>
    <x v="5"/>
    <x v="8"/>
    <x v="2"/>
    <x v="0"/>
    <x v="1"/>
    <n v="6.71"/>
    <x v="2"/>
    <s v="No"/>
    <s v="Jordan"/>
    <x v="2"/>
    <n v="10"/>
    <s v="No Sugar"/>
    <x v="0"/>
  </r>
  <r>
    <x v="343"/>
    <x v="4"/>
    <x v="1"/>
    <x v="0"/>
    <x v="3"/>
    <x v="0"/>
    <n v="6.2"/>
    <x v="2"/>
    <s v="No"/>
    <s v="Alex"/>
    <x v="2"/>
    <n v="6"/>
    <s v="Whipped Cream"/>
    <x v="0"/>
  </r>
  <r>
    <x v="344"/>
    <x v="4"/>
    <x v="3"/>
    <x v="2"/>
    <x v="6"/>
    <x v="1"/>
    <n v="5.64"/>
    <x v="2"/>
    <s v="Yes"/>
    <s v="Chris"/>
    <x v="2"/>
    <n v="7"/>
    <s v="No Sugar"/>
    <x v="0"/>
  </r>
  <r>
    <x v="345"/>
    <x v="3"/>
    <x v="7"/>
    <x v="2"/>
    <x v="5"/>
    <x v="1"/>
    <n v="3.57"/>
    <x v="1"/>
    <s v="Yes"/>
    <s v="Jamie"/>
    <x v="0"/>
    <n v="3"/>
    <s v="No Sugar"/>
    <x v="1"/>
  </r>
  <r>
    <x v="346"/>
    <x v="0"/>
    <x v="8"/>
    <x v="0"/>
    <x v="6"/>
    <x v="1"/>
    <n v="6.87"/>
    <x v="2"/>
    <s v="No"/>
    <s v="Chris"/>
    <x v="0"/>
    <n v="6"/>
    <s v="Extra Shot"/>
    <x v="0"/>
  </r>
  <r>
    <x v="347"/>
    <x v="6"/>
    <x v="8"/>
    <x v="3"/>
    <x v="2"/>
    <x v="2"/>
    <n v="6.07"/>
    <x v="0"/>
    <s v="Yes"/>
    <s v="Jamie"/>
    <x v="0"/>
    <n v="5"/>
    <s v="No Sugar"/>
    <x v="2"/>
  </r>
  <r>
    <x v="348"/>
    <x v="4"/>
    <x v="0"/>
    <x v="0"/>
    <x v="4"/>
    <x v="0"/>
    <n v="4.5"/>
    <x v="0"/>
    <s v="Yes"/>
    <s v="Maria"/>
    <x v="0"/>
    <n v="9"/>
    <s v="Oat Milk"/>
    <x v="2"/>
  </r>
  <r>
    <x v="349"/>
    <x v="4"/>
    <x v="8"/>
    <x v="4"/>
    <x v="6"/>
    <x v="1"/>
    <n v="4.68"/>
    <x v="0"/>
    <s v="No"/>
    <s v="Alex"/>
    <x v="0"/>
    <n v="2"/>
    <s v="Whipped Cream"/>
    <x v="4"/>
  </r>
  <r>
    <x v="350"/>
    <x v="4"/>
    <x v="1"/>
    <x v="4"/>
    <x v="1"/>
    <x v="0"/>
    <n v="5.32"/>
    <x v="0"/>
    <s v="Yes"/>
    <s v="Taylor"/>
    <x v="0"/>
    <n v="6"/>
    <s v="Almond Milk"/>
    <x v="4"/>
  </r>
  <r>
    <x v="351"/>
    <x v="5"/>
    <x v="4"/>
    <x v="3"/>
    <x v="6"/>
    <x v="0"/>
    <n v="3.34"/>
    <x v="0"/>
    <s v="Yes"/>
    <s v="Chris"/>
    <x v="0"/>
    <n v="3"/>
    <s v="Whipped Cream"/>
    <x v="2"/>
  </r>
  <r>
    <x v="352"/>
    <x v="5"/>
    <x v="8"/>
    <x v="2"/>
    <x v="0"/>
    <x v="2"/>
    <n v="5.34"/>
    <x v="1"/>
    <s v="Yes"/>
    <s v="Jordan"/>
    <x v="2"/>
    <n v="10"/>
    <s v="Extra Shot"/>
    <x v="0"/>
  </r>
  <r>
    <x v="353"/>
    <x v="2"/>
    <x v="3"/>
    <x v="1"/>
    <x v="5"/>
    <x v="2"/>
    <n v="6.41"/>
    <x v="0"/>
    <s v="No"/>
    <s v="Jordan"/>
    <x v="2"/>
    <n v="9"/>
    <s v="Double Espresso"/>
    <x v="1"/>
  </r>
  <r>
    <x v="354"/>
    <x v="4"/>
    <x v="4"/>
    <x v="3"/>
    <x v="0"/>
    <x v="2"/>
    <n v="3.39"/>
    <x v="2"/>
    <s v="Yes"/>
    <s v="Jamie"/>
    <x v="2"/>
    <n v="10"/>
    <s v="Decaf"/>
    <x v="4"/>
  </r>
  <r>
    <x v="355"/>
    <x v="0"/>
    <x v="5"/>
    <x v="0"/>
    <x v="6"/>
    <x v="0"/>
    <n v="6.28"/>
    <x v="1"/>
    <s v="No"/>
    <s v="Taylor"/>
    <x v="0"/>
    <n v="9"/>
    <s v="Whipped Cream"/>
    <x v="0"/>
  </r>
  <r>
    <x v="356"/>
    <x v="4"/>
    <x v="1"/>
    <x v="2"/>
    <x v="2"/>
    <x v="0"/>
    <n v="6.27"/>
    <x v="1"/>
    <s v="Yes"/>
    <s v="Maria"/>
    <x v="0"/>
    <n v="10"/>
    <s v="Extra Shot"/>
    <x v="4"/>
  </r>
  <r>
    <x v="357"/>
    <x v="0"/>
    <x v="6"/>
    <x v="2"/>
    <x v="4"/>
    <x v="1"/>
    <n v="4.47"/>
    <x v="0"/>
    <s v="No"/>
    <s v="Jamie"/>
    <x v="0"/>
    <n v="3"/>
    <s v="Decaf"/>
    <x v="4"/>
  </r>
  <r>
    <x v="358"/>
    <x v="6"/>
    <x v="1"/>
    <x v="4"/>
    <x v="6"/>
    <x v="0"/>
    <n v="5.26"/>
    <x v="2"/>
    <s v="No"/>
    <s v="Alex"/>
    <x v="0"/>
    <n v="9"/>
    <s v="Almond Milk"/>
    <x v="2"/>
  </r>
  <r>
    <x v="359"/>
    <x v="4"/>
    <x v="3"/>
    <x v="0"/>
    <x v="3"/>
    <x v="0"/>
    <n v="6.93"/>
    <x v="0"/>
    <s v="Yes"/>
    <s v="Chris"/>
    <x v="0"/>
    <n v="10"/>
    <s v="Decaf"/>
    <x v="0"/>
  </r>
  <r>
    <x v="360"/>
    <x v="4"/>
    <x v="1"/>
    <x v="3"/>
    <x v="3"/>
    <x v="1"/>
    <n v="5.86"/>
    <x v="2"/>
    <s v="No"/>
    <s v="Jordan"/>
    <x v="1"/>
    <n v="8"/>
    <s v="Almond Milk"/>
    <x v="4"/>
  </r>
  <r>
    <x v="361"/>
    <x v="6"/>
    <x v="3"/>
    <x v="1"/>
    <x v="4"/>
    <x v="2"/>
    <n v="6.71"/>
    <x v="1"/>
    <s v="No"/>
    <s v="Maria"/>
    <x v="0"/>
    <n v="7"/>
    <s v="Double Espresso"/>
    <x v="0"/>
  </r>
  <r>
    <x v="362"/>
    <x v="1"/>
    <x v="0"/>
    <x v="0"/>
    <x v="0"/>
    <x v="0"/>
    <n v="3.12"/>
    <x v="1"/>
    <s v="Yes"/>
    <s v="Maria"/>
    <x v="2"/>
    <n v="3"/>
    <s v="Decaf"/>
    <x v="4"/>
  </r>
  <r>
    <x v="363"/>
    <x v="1"/>
    <x v="2"/>
    <x v="1"/>
    <x v="0"/>
    <x v="0"/>
    <n v="5.91"/>
    <x v="0"/>
    <s v="No"/>
    <s v="Alex"/>
    <x v="2"/>
    <n v="6"/>
    <s v="Almond Milk"/>
    <x v="3"/>
  </r>
  <r>
    <x v="364"/>
    <x v="6"/>
    <x v="5"/>
    <x v="4"/>
    <x v="4"/>
    <x v="2"/>
    <n v="6.36"/>
    <x v="2"/>
    <s v="No"/>
    <s v="Alex"/>
    <x v="0"/>
    <n v="9"/>
    <s v="Decaf"/>
    <x v="1"/>
  </r>
  <r>
    <x v="365"/>
    <x v="4"/>
    <x v="0"/>
    <x v="1"/>
    <x v="2"/>
    <x v="1"/>
    <n v="4.96"/>
    <x v="1"/>
    <s v="No"/>
    <s v="Maria"/>
    <x v="2"/>
    <n v="4"/>
    <s v="Decaf"/>
    <x v="0"/>
  </r>
  <r>
    <x v="366"/>
    <x v="1"/>
    <x v="2"/>
    <x v="3"/>
    <x v="0"/>
    <x v="2"/>
    <n v="6.84"/>
    <x v="2"/>
    <s v="Yes"/>
    <s v="Alex"/>
    <x v="2"/>
    <n v="2"/>
    <s v="No Sugar"/>
    <x v="4"/>
  </r>
  <r>
    <x v="367"/>
    <x v="5"/>
    <x v="5"/>
    <x v="1"/>
    <x v="5"/>
    <x v="2"/>
    <n v="6.83"/>
    <x v="1"/>
    <s v="No"/>
    <s v="Maria"/>
    <x v="2"/>
    <n v="9"/>
    <s v="Double Espresso"/>
    <x v="2"/>
  </r>
  <r>
    <x v="368"/>
    <x v="1"/>
    <x v="7"/>
    <x v="1"/>
    <x v="1"/>
    <x v="0"/>
    <n v="4.76"/>
    <x v="1"/>
    <s v="No"/>
    <s v="Alex"/>
    <x v="0"/>
    <n v="3"/>
    <s v="Extra Shot"/>
    <x v="0"/>
  </r>
  <r>
    <x v="369"/>
    <x v="2"/>
    <x v="5"/>
    <x v="1"/>
    <x v="0"/>
    <x v="2"/>
    <n v="5.16"/>
    <x v="2"/>
    <s v="Yes"/>
    <s v="Chris"/>
    <x v="1"/>
    <n v="8"/>
    <s v="Oat Milk"/>
    <x v="2"/>
  </r>
  <r>
    <x v="370"/>
    <x v="4"/>
    <x v="1"/>
    <x v="2"/>
    <x v="4"/>
    <x v="2"/>
    <n v="3.97"/>
    <x v="1"/>
    <s v="No"/>
    <s v="Jamie"/>
    <x v="0"/>
    <n v="2"/>
    <s v="Double Espresso"/>
    <x v="3"/>
  </r>
  <r>
    <x v="371"/>
    <x v="5"/>
    <x v="6"/>
    <x v="2"/>
    <x v="0"/>
    <x v="1"/>
    <n v="4.6900000000000004"/>
    <x v="2"/>
    <s v="No"/>
    <s v="Alex"/>
    <x v="2"/>
    <n v="5"/>
    <s v="Double Espresso"/>
    <x v="2"/>
  </r>
  <r>
    <x v="372"/>
    <x v="0"/>
    <x v="4"/>
    <x v="0"/>
    <x v="0"/>
    <x v="2"/>
    <n v="6.62"/>
    <x v="1"/>
    <s v="Yes"/>
    <s v="Chris"/>
    <x v="2"/>
    <n v="8"/>
    <s v="Double Espresso"/>
    <x v="0"/>
  </r>
  <r>
    <x v="373"/>
    <x v="0"/>
    <x v="7"/>
    <x v="1"/>
    <x v="3"/>
    <x v="2"/>
    <n v="3.17"/>
    <x v="2"/>
    <s v="No"/>
    <s v="Taylor"/>
    <x v="2"/>
    <n v="7"/>
    <s v="Decaf"/>
    <x v="4"/>
  </r>
  <r>
    <x v="374"/>
    <x v="2"/>
    <x v="2"/>
    <x v="2"/>
    <x v="0"/>
    <x v="0"/>
    <n v="5.14"/>
    <x v="0"/>
    <s v="Yes"/>
    <s v="Taylor"/>
    <x v="1"/>
    <n v="2"/>
    <s v="Decaf"/>
    <x v="4"/>
  </r>
  <r>
    <x v="375"/>
    <x v="2"/>
    <x v="9"/>
    <x v="0"/>
    <x v="4"/>
    <x v="0"/>
    <n v="3.46"/>
    <x v="2"/>
    <s v="No"/>
    <s v="Chris"/>
    <x v="2"/>
    <n v="7"/>
    <s v="Decaf"/>
    <x v="3"/>
  </r>
  <r>
    <x v="376"/>
    <x v="3"/>
    <x v="5"/>
    <x v="2"/>
    <x v="2"/>
    <x v="1"/>
    <n v="5.99"/>
    <x v="1"/>
    <s v="Yes"/>
    <s v="Alex"/>
    <x v="0"/>
    <n v="5"/>
    <s v="Whipped Cream"/>
    <x v="3"/>
  </r>
  <r>
    <x v="377"/>
    <x v="4"/>
    <x v="1"/>
    <x v="1"/>
    <x v="3"/>
    <x v="0"/>
    <n v="4.26"/>
    <x v="1"/>
    <s v="Yes"/>
    <s v="Chris"/>
    <x v="2"/>
    <n v="8"/>
    <s v="Decaf"/>
    <x v="3"/>
  </r>
  <r>
    <x v="378"/>
    <x v="3"/>
    <x v="5"/>
    <x v="3"/>
    <x v="2"/>
    <x v="1"/>
    <n v="5.82"/>
    <x v="0"/>
    <s v="Yes"/>
    <s v="Jamie"/>
    <x v="0"/>
    <n v="6"/>
    <s v="No Sugar"/>
    <x v="0"/>
  </r>
  <r>
    <x v="379"/>
    <x v="2"/>
    <x v="2"/>
    <x v="4"/>
    <x v="3"/>
    <x v="2"/>
    <n v="5.17"/>
    <x v="2"/>
    <s v="Yes"/>
    <s v="Chris"/>
    <x v="1"/>
    <n v="9"/>
    <s v="No Sugar"/>
    <x v="3"/>
  </r>
  <r>
    <x v="380"/>
    <x v="3"/>
    <x v="1"/>
    <x v="3"/>
    <x v="2"/>
    <x v="1"/>
    <n v="5.97"/>
    <x v="2"/>
    <s v="Yes"/>
    <s v="Chris"/>
    <x v="0"/>
    <n v="4"/>
    <s v="Almond Milk"/>
    <x v="1"/>
  </r>
  <r>
    <x v="381"/>
    <x v="2"/>
    <x v="3"/>
    <x v="2"/>
    <x v="6"/>
    <x v="0"/>
    <n v="4.08"/>
    <x v="1"/>
    <s v="No"/>
    <s v="Chris"/>
    <x v="2"/>
    <n v="2"/>
    <s v="No Sugar"/>
    <x v="0"/>
  </r>
  <r>
    <x v="382"/>
    <x v="6"/>
    <x v="4"/>
    <x v="0"/>
    <x v="6"/>
    <x v="1"/>
    <n v="3.18"/>
    <x v="2"/>
    <s v="No"/>
    <s v="Maria"/>
    <x v="0"/>
    <n v="8"/>
    <s v="Double Espresso"/>
    <x v="3"/>
  </r>
  <r>
    <x v="383"/>
    <x v="3"/>
    <x v="4"/>
    <x v="4"/>
    <x v="0"/>
    <x v="2"/>
    <n v="6.02"/>
    <x v="0"/>
    <s v="No"/>
    <s v="Taylor"/>
    <x v="2"/>
    <n v="2"/>
    <s v="No Sugar"/>
    <x v="0"/>
  </r>
  <r>
    <x v="384"/>
    <x v="6"/>
    <x v="9"/>
    <x v="2"/>
    <x v="1"/>
    <x v="0"/>
    <n v="5.21"/>
    <x v="1"/>
    <s v="No"/>
    <s v="Taylor"/>
    <x v="1"/>
    <n v="8"/>
    <s v="Double Espresso"/>
    <x v="0"/>
  </r>
  <r>
    <x v="385"/>
    <x v="1"/>
    <x v="6"/>
    <x v="0"/>
    <x v="6"/>
    <x v="2"/>
    <n v="6.97"/>
    <x v="2"/>
    <s v="Yes"/>
    <s v="Alex"/>
    <x v="1"/>
    <n v="6"/>
    <s v="Almond Milk"/>
    <x v="1"/>
  </r>
  <r>
    <x v="386"/>
    <x v="1"/>
    <x v="6"/>
    <x v="3"/>
    <x v="6"/>
    <x v="0"/>
    <n v="5.46"/>
    <x v="0"/>
    <s v="No"/>
    <s v="Jordan"/>
    <x v="1"/>
    <n v="2"/>
    <s v="Almond Milk"/>
    <x v="2"/>
  </r>
  <r>
    <x v="387"/>
    <x v="5"/>
    <x v="8"/>
    <x v="4"/>
    <x v="1"/>
    <x v="0"/>
    <n v="4.78"/>
    <x v="2"/>
    <s v="No"/>
    <s v="Alex"/>
    <x v="1"/>
    <n v="2"/>
    <s v="No Sugar"/>
    <x v="4"/>
  </r>
  <r>
    <x v="388"/>
    <x v="3"/>
    <x v="7"/>
    <x v="0"/>
    <x v="0"/>
    <x v="2"/>
    <n v="6.76"/>
    <x v="0"/>
    <s v="No"/>
    <s v="Alex"/>
    <x v="1"/>
    <n v="4"/>
    <s v="No Sugar"/>
    <x v="2"/>
  </r>
  <r>
    <x v="389"/>
    <x v="2"/>
    <x v="3"/>
    <x v="1"/>
    <x v="5"/>
    <x v="0"/>
    <n v="3.59"/>
    <x v="1"/>
    <s v="Yes"/>
    <s v="Maria"/>
    <x v="2"/>
    <n v="2"/>
    <s v="Extra Shot"/>
    <x v="0"/>
  </r>
  <r>
    <x v="390"/>
    <x v="6"/>
    <x v="0"/>
    <x v="2"/>
    <x v="4"/>
    <x v="2"/>
    <n v="3.91"/>
    <x v="1"/>
    <s v="No"/>
    <s v="Chris"/>
    <x v="2"/>
    <n v="7"/>
    <s v="Double Espresso"/>
    <x v="3"/>
  </r>
  <r>
    <x v="391"/>
    <x v="5"/>
    <x v="8"/>
    <x v="2"/>
    <x v="4"/>
    <x v="1"/>
    <n v="3.45"/>
    <x v="2"/>
    <s v="Yes"/>
    <s v="Maria"/>
    <x v="1"/>
    <n v="7"/>
    <s v="Whipped Cream"/>
    <x v="4"/>
  </r>
  <r>
    <x v="392"/>
    <x v="4"/>
    <x v="9"/>
    <x v="4"/>
    <x v="2"/>
    <x v="0"/>
    <n v="4.3099999999999996"/>
    <x v="0"/>
    <s v="No"/>
    <s v="Jamie"/>
    <x v="0"/>
    <n v="7"/>
    <s v="Decaf"/>
    <x v="2"/>
  </r>
  <r>
    <x v="393"/>
    <x v="5"/>
    <x v="1"/>
    <x v="2"/>
    <x v="3"/>
    <x v="0"/>
    <n v="6.65"/>
    <x v="2"/>
    <s v="Yes"/>
    <s v="Taylor"/>
    <x v="2"/>
    <n v="7"/>
    <s v="Double Espresso"/>
    <x v="0"/>
  </r>
  <r>
    <x v="394"/>
    <x v="1"/>
    <x v="8"/>
    <x v="0"/>
    <x v="1"/>
    <x v="2"/>
    <n v="3.13"/>
    <x v="1"/>
    <s v="Yes"/>
    <s v="Jamie"/>
    <x v="0"/>
    <n v="3"/>
    <s v="Almond Milk"/>
    <x v="1"/>
  </r>
  <r>
    <x v="395"/>
    <x v="5"/>
    <x v="0"/>
    <x v="3"/>
    <x v="5"/>
    <x v="1"/>
    <n v="5.16"/>
    <x v="2"/>
    <s v="Yes"/>
    <s v="Taylor"/>
    <x v="1"/>
    <n v="10"/>
    <s v="Double Espresso"/>
    <x v="4"/>
  </r>
  <r>
    <x v="396"/>
    <x v="1"/>
    <x v="2"/>
    <x v="3"/>
    <x v="3"/>
    <x v="0"/>
    <n v="4.3099999999999996"/>
    <x v="0"/>
    <s v="Yes"/>
    <s v="Jamie"/>
    <x v="1"/>
    <n v="3"/>
    <s v="Oat Milk"/>
    <x v="1"/>
  </r>
  <r>
    <x v="397"/>
    <x v="0"/>
    <x v="9"/>
    <x v="2"/>
    <x v="3"/>
    <x v="2"/>
    <n v="5.0199999999999996"/>
    <x v="0"/>
    <s v="No"/>
    <s v="Taylor"/>
    <x v="2"/>
    <n v="9"/>
    <s v="Whipped Cream"/>
    <x v="4"/>
  </r>
  <r>
    <x v="398"/>
    <x v="3"/>
    <x v="1"/>
    <x v="3"/>
    <x v="2"/>
    <x v="1"/>
    <n v="5.7"/>
    <x v="1"/>
    <s v="Yes"/>
    <s v="Taylor"/>
    <x v="1"/>
    <n v="6"/>
    <s v="No Sugar"/>
    <x v="2"/>
  </r>
  <r>
    <x v="79"/>
    <x v="4"/>
    <x v="9"/>
    <x v="3"/>
    <x v="2"/>
    <x v="2"/>
    <n v="4.9800000000000004"/>
    <x v="2"/>
    <s v="Yes"/>
    <s v="Jamie"/>
    <x v="2"/>
    <n v="4"/>
    <s v="Almond Milk"/>
    <x v="4"/>
  </r>
  <r>
    <x v="399"/>
    <x v="2"/>
    <x v="7"/>
    <x v="0"/>
    <x v="5"/>
    <x v="0"/>
    <n v="3.51"/>
    <x v="2"/>
    <s v="No"/>
    <s v="Alex"/>
    <x v="0"/>
    <n v="4"/>
    <s v="Almond Milk"/>
    <x v="1"/>
  </r>
  <r>
    <x v="400"/>
    <x v="4"/>
    <x v="7"/>
    <x v="0"/>
    <x v="6"/>
    <x v="1"/>
    <n v="3.51"/>
    <x v="1"/>
    <s v="Yes"/>
    <s v="Jordan"/>
    <x v="1"/>
    <n v="3"/>
    <s v="No Sugar"/>
    <x v="2"/>
  </r>
  <r>
    <x v="401"/>
    <x v="5"/>
    <x v="0"/>
    <x v="2"/>
    <x v="0"/>
    <x v="2"/>
    <n v="6.68"/>
    <x v="0"/>
    <s v="No"/>
    <s v="Jordan"/>
    <x v="1"/>
    <n v="8"/>
    <s v="No Sugar"/>
    <x v="4"/>
  </r>
  <r>
    <x v="402"/>
    <x v="2"/>
    <x v="1"/>
    <x v="3"/>
    <x v="1"/>
    <x v="2"/>
    <n v="3.34"/>
    <x v="2"/>
    <s v="No"/>
    <s v="Jordan"/>
    <x v="0"/>
    <n v="9"/>
    <s v="Decaf"/>
    <x v="2"/>
  </r>
  <r>
    <x v="403"/>
    <x v="0"/>
    <x v="7"/>
    <x v="3"/>
    <x v="3"/>
    <x v="0"/>
    <n v="3.93"/>
    <x v="0"/>
    <s v="No"/>
    <s v="Alex"/>
    <x v="0"/>
    <n v="10"/>
    <s v="Double Espresso"/>
    <x v="0"/>
  </r>
  <r>
    <x v="404"/>
    <x v="4"/>
    <x v="9"/>
    <x v="4"/>
    <x v="6"/>
    <x v="1"/>
    <n v="6.03"/>
    <x v="2"/>
    <s v="Yes"/>
    <s v="Jordan"/>
    <x v="0"/>
    <n v="5"/>
    <s v="Decaf"/>
    <x v="0"/>
  </r>
  <r>
    <x v="405"/>
    <x v="2"/>
    <x v="0"/>
    <x v="2"/>
    <x v="3"/>
    <x v="1"/>
    <n v="3.66"/>
    <x v="0"/>
    <s v="No"/>
    <s v="Jamie"/>
    <x v="1"/>
    <n v="5"/>
    <s v="Extra Shot"/>
    <x v="2"/>
  </r>
  <r>
    <x v="406"/>
    <x v="4"/>
    <x v="6"/>
    <x v="2"/>
    <x v="2"/>
    <x v="2"/>
    <n v="4.1100000000000003"/>
    <x v="2"/>
    <s v="Yes"/>
    <s v="Taylor"/>
    <x v="0"/>
    <n v="4"/>
    <s v="Almond Milk"/>
    <x v="0"/>
  </r>
  <r>
    <x v="407"/>
    <x v="0"/>
    <x v="7"/>
    <x v="1"/>
    <x v="0"/>
    <x v="1"/>
    <n v="6.33"/>
    <x v="2"/>
    <s v="No"/>
    <s v="Maria"/>
    <x v="1"/>
    <n v="8"/>
    <s v="Oat Milk"/>
    <x v="4"/>
  </r>
  <r>
    <x v="408"/>
    <x v="4"/>
    <x v="3"/>
    <x v="2"/>
    <x v="5"/>
    <x v="2"/>
    <n v="6.68"/>
    <x v="2"/>
    <s v="No"/>
    <s v="Jamie"/>
    <x v="1"/>
    <n v="6"/>
    <s v="Almond Milk"/>
    <x v="1"/>
  </r>
  <r>
    <x v="409"/>
    <x v="4"/>
    <x v="5"/>
    <x v="2"/>
    <x v="5"/>
    <x v="0"/>
    <n v="5.91"/>
    <x v="0"/>
    <s v="Yes"/>
    <s v="Taylor"/>
    <x v="1"/>
    <n v="6"/>
    <s v="Decaf"/>
    <x v="0"/>
  </r>
  <r>
    <x v="410"/>
    <x v="3"/>
    <x v="5"/>
    <x v="4"/>
    <x v="0"/>
    <x v="1"/>
    <n v="3.4"/>
    <x v="1"/>
    <s v="No"/>
    <s v="Maria"/>
    <x v="0"/>
    <n v="2"/>
    <s v="Oat Milk"/>
    <x v="3"/>
  </r>
  <r>
    <x v="411"/>
    <x v="3"/>
    <x v="0"/>
    <x v="1"/>
    <x v="5"/>
    <x v="0"/>
    <n v="4.0599999999999996"/>
    <x v="2"/>
    <s v="No"/>
    <s v="Maria"/>
    <x v="0"/>
    <n v="9"/>
    <s v="No Sugar"/>
    <x v="1"/>
  </r>
  <r>
    <x v="412"/>
    <x v="3"/>
    <x v="5"/>
    <x v="1"/>
    <x v="0"/>
    <x v="1"/>
    <n v="3.27"/>
    <x v="1"/>
    <s v="Yes"/>
    <s v="Jordan"/>
    <x v="2"/>
    <n v="2"/>
    <s v="Decaf"/>
    <x v="2"/>
  </r>
  <r>
    <x v="413"/>
    <x v="5"/>
    <x v="0"/>
    <x v="4"/>
    <x v="6"/>
    <x v="2"/>
    <n v="5.63"/>
    <x v="2"/>
    <s v="No"/>
    <s v="Maria"/>
    <x v="1"/>
    <n v="9"/>
    <s v="Decaf"/>
    <x v="4"/>
  </r>
  <r>
    <x v="414"/>
    <x v="5"/>
    <x v="7"/>
    <x v="4"/>
    <x v="0"/>
    <x v="0"/>
    <n v="3.45"/>
    <x v="0"/>
    <s v="No"/>
    <s v="Jamie"/>
    <x v="1"/>
    <n v="5"/>
    <s v="Oat Milk"/>
    <x v="4"/>
  </r>
  <r>
    <x v="415"/>
    <x v="4"/>
    <x v="3"/>
    <x v="2"/>
    <x v="3"/>
    <x v="2"/>
    <n v="4.59"/>
    <x v="2"/>
    <s v="No"/>
    <s v="Jamie"/>
    <x v="0"/>
    <n v="8"/>
    <s v="Oat Milk"/>
    <x v="1"/>
  </r>
  <r>
    <x v="416"/>
    <x v="0"/>
    <x v="6"/>
    <x v="1"/>
    <x v="1"/>
    <x v="1"/>
    <n v="3.24"/>
    <x v="0"/>
    <s v="No"/>
    <s v="Jordan"/>
    <x v="1"/>
    <n v="8"/>
    <s v="Decaf"/>
    <x v="4"/>
  </r>
  <r>
    <x v="417"/>
    <x v="6"/>
    <x v="6"/>
    <x v="2"/>
    <x v="3"/>
    <x v="1"/>
    <n v="5.91"/>
    <x v="0"/>
    <s v="Yes"/>
    <s v="Chris"/>
    <x v="1"/>
    <n v="8"/>
    <s v="Extra Shot"/>
    <x v="0"/>
  </r>
  <r>
    <x v="168"/>
    <x v="0"/>
    <x v="7"/>
    <x v="2"/>
    <x v="4"/>
    <x v="2"/>
    <n v="4.32"/>
    <x v="1"/>
    <s v="Yes"/>
    <s v="Jordan"/>
    <x v="2"/>
    <n v="8"/>
    <s v="Almond Milk"/>
    <x v="2"/>
  </r>
  <r>
    <x v="418"/>
    <x v="0"/>
    <x v="7"/>
    <x v="2"/>
    <x v="4"/>
    <x v="0"/>
    <n v="4.45"/>
    <x v="2"/>
    <s v="Yes"/>
    <s v="Taylor"/>
    <x v="1"/>
    <n v="5"/>
    <s v="No Sugar"/>
    <x v="1"/>
  </r>
  <r>
    <x v="419"/>
    <x v="0"/>
    <x v="8"/>
    <x v="1"/>
    <x v="4"/>
    <x v="2"/>
    <n v="3.99"/>
    <x v="2"/>
    <s v="Yes"/>
    <s v="Alex"/>
    <x v="0"/>
    <n v="3"/>
    <s v="Double Espresso"/>
    <x v="4"/>
  </r>
  <r>
    <x v="420"/>
    <x v="1"/>
    <x v="4"/>
    <x v="4"/>
    <x v="3"/>
    <x v="0"/>
    <n v="3.92"/>
    <x v="1"/>
    <s v="Yes"/>
    <s v="Alex"/>
    <x v="1"/>
    <n v="3"/>
    <s v="Whipped Cream"/>
    <x v="4"/>
  </r>
  <r>
    <x v="421"/>
    <x v="3"/>
    <x v="1"/>
    <x v="4"/>
    <x v="1"/>
    <x v="0"/>
    <n v="3.31"/>
    <x v="1"/>
    <s v="No"/>
    <s v="Alex"/>
    <x v="2"/>
    <n v="10"/>
    <s v="Double Espresso"/>
    <x v="1"/>
  </r>
  <r>
    <x v="422"/>
    <x v="4"/>
    <x v="0"/>
    <x v="0"/>
    <x v="2"/>
    <x v="2"/>
    <n v="6.44"/>
    <x v="0"/>
    <s v="No"/>
    <s v="Taylor"/>
    <x v="0"/>
    <n v="2"/>
    <s v="No Sugar"/>
    <x v="2"/>
  </r>
  <r>
    <x v="423"/>
    <x v="0"/>
    <x v="5"/>
    <x v="3"/>
    <x v="6"/>
    <x v="1"/>
    <n v="4.16"/>
    <x v="2"/>
    <s v="Yes"/>
    <s v="Jamie"/>
    <x v="0"/>
    <n v="6"/>
    <s v="Decaf"/>
    <x v="2"/>
  </r>
  <r>
    <x v="424"/>
    <x v="0"/>
    <x v="7"/>
    <x v="1"/>
    <x v="6"/>
    <x v="0"/>
    <n v="6.97"/>
    <x v="1"/>
    <s v="No"/>
    <s v="Chris"/>
    <x v="0"/>
    <n v="3"/>
    <s v="Decaf"/>
    <x v="1"/>
  </r>
  <r>
    <x v="425"/>
    <x v="5"/>
    <x v="4"/>
    <x v="1"/>
    <x v="6"/>
    <x v="1"/>
    <n v="4.91"/>
    <x v="2"/>
    <s v="No"/>
    <s v="Chris"/>
    <x v="2"/>
    <n v="3"/>
    <s v="Almond Milk"/>
    <x v="0"/>
  </r>
  <r>
    <x v="426"/>
    <x v="5"/>
    <x v="3"/>
    <x v="1"/>
    <x v="0"/>
    <x v="0"/>
    <n v="4.6100000000000003"/>
    <x v="0"/>
    <s v="Yes"/>
    <s v="Alex"/>
    <x v="1"/>
    <n v="6"/>
    <s v="Decaf"/>
    <x v="2"/>
  </r>
  <r>
    <x v="427"/>
    <x v="2"/>
    <x v="1"/>
    <x v="4"/>
    <x v="5"/>
    <x v="2"/>
    <n v="5.39"/>
    <x v="2"/>
    <s v="No"/>
    <s v="Jordan"/>
    <x v="2"/>
    <n v="10"/>
    <s v="Whipped Cream"/>
    <x v="4"/>
  </r>
  <r>
    <x v="428"/>
    <x v="4"/>
    <x v="8"/>
    <x v="1"/>
    <x v="3"/>
    <x v="1"/>
    <n v="5.84"/>
    <x v="1"/>
    <s v="Yes"/>
    <s v="Alex"/>
    <x v="1"/>
    <n v="3"/>
    <s v="Decaf"/>
    <x v="1"/>
  </r>
  <r>
    <x v="429"/>
    <x v="1"/>
    <x v="1"/>
    <x v="2"/>
    <x v="2"/>
    <x v="0"/>
    <n v="4.75"/>
    <x v="2"/>
    <s v="Yes"/>
    <s v="Jamie"/>
    <x v="1"/>
    <n v="4"/>
    <s v="Oat Milk"/>
    <x v="0"/>
  </r>
  <r>
    <x v="430"/>
    <x v="0"/>
    <x v="7"/>
    <x v="0"/>
    <x v="0"/>
    <x v="1"/>
    <n v="3.47"/>
    <x v="0"/>
    <s v="No"/>
    <s v="Taylor"/>
    <x v="1"/>
    <n v="7"/>
    <s v="Double Espresso"/>
    <x v="1"/>
  </r>
  <r>
    <x v="431"/>
    <x v="5"/>
    <x v="7"/>
    <x v="1"/>
    <x v="1"/>
    <x v="2"/>
    <n v="6.81"/>
    <x v="0"/>
    <s v="No"/>
    <s v="Jamie"/>
    <x v="1"/>
    <n v="5"/>
    <s v="No Sugar"/>
    <x v="1"/>
  </r>
  <r>
    <x v="432"/>
    <x v="5"/>
    <x v="3"/>
    <x v="4"/>
    <x v="6"/>
    <x v="0"/>
    <n v="3.6"/>
    <x v="2"/>
    <s v="Yes"/>
    <s v="Chris"/>
    <x v="0"/>
    <n v="5"/>
    <s v="Extra Shot"/>
    <x v="3"/>
  </r>
  <r>
    <x v="433"/>
    <x v="4"/>
    <x v="8"/>
    <x v="2"/>
    <x v="4"/>
    <x v="1"/>
    <n v="5.38"/>
    <x v="2"/>
    <s v="No"/>
    <s v="Jordan"/>
    <x v="0"/>
    <n v="5"/>
    <s v="No Sugar"/>
    <x v="3"/>
  </r>
  <r>
    <x v="434"/>
    <x v="0"/>
    <x v="6"/>
    <x v="0"/>
    <x v="4"/>
    <x v="2"/>
    <n v="4.22"/>
    <x v="1"/>
    <s v="No"/>
    <s v="Chris"/>
    <x v="0"/>
    <n v="10"/>
    <s v="Oat Milk"/>
    <x v="1"/>
  </r>
  <r>
    <x v="435"/>
    <x v="4"/>
    <x v="1"/>
    <x v="1"/>
    <x v="3"/>
    <x v="0"/>
    <n v="4.05"/>
    <x v="2"/>
    <s v="Yes"/>
    <s v="Taylor"/>
    <x v="0"/>
    <n v="8"/>
    <s v="No Sugar"/>
    <x v="0"/>
  </r>
  <r>
    <x v="436"/>
    <x v="1"/>
    <x v="0"/>
    <x v="4"/>
    <x v="1"/>
    <x v="2"/>
    <n v="6.49"/>
    <x v="1"/>
    <s v="No"/>
    <s v="Maria"/>
    <x v="2"/>
    <n v="2"/>
    <s v="Whipped Cream"/>
    <x v="1"/>
  </r>
  <r>
    <x v="437"/>
    <x v="4"/>
    <x v="5"/>
    <x v="3"/>
    <x v="2"/>
    <x v="0"/>
    <n v="3.66"/>
    <x v="2"/>
    <s v="No"/>
    <s v="Alex"/>
    <x v="2"/>
    <n v="4"/>
    <s v="Double Espresso"/>
    <x v="4"/>
  </r>
  <r>
    <x v="438"/>
    <x v="6"/>
    <x v="3"/>
    <x v="4"/>
    <x v="4"/>
    <x v="0"/>
    <n v="3.96"/>
    <x v="0"/>
    <s v="No"/>
    <s v="Jamie"/>
    <x v="0"/>
    <n v="9"/>
    <s v="No Sugar"/>
    <x v="2"/>
  </r>
  <r>
    <x v="439"/>
    <x v="6"/>
    <x v="8"/>
    <x v="2"/>
    <x v="4"/>
    <x v="0"/>
    <n v="6.82"/>
    <x v="1"/>
    <s v="No"/>
    <s v="Jordan"/>
    <x v="2"/>
    <n v="8"/>
    <s v="Double Espresso"/>
    <x v="4"/>
  </r>
  <r>
    <x v="440"/>
    <x v="0"/>
    <x v="6"/>
    <x v="2"/>
    <x v="4"/>
    <x v="1"/>
    <n v="5.61"/>
    <x v="2"/>
    <s v="Yes"/>
    <s v="Chris"/>
    <x v="1"/>
    <n v="7"/>
    <s v="Oat Milk"/>
    <x v="4"/>
  </r>
  <r>
    <x v="441"/>
    <x v="3"/>
    <x v="7"/>
    <x v="1"/>
    <x v="6"/>
    <x v="1"/>
    <n v="3.72"/>
    <x v="1"/>
    <s v="Yes"/>
    <s v="Maria"/>
    <x v="1"/>
    <n v="7"/>
    <s v="Double Espresso"/>
    <x v="1"/>
  </r>
  <r>
    <x v="442"/>
    <x v="0"/>
    <x v="6"/>
    <x v="2"/>
    <x v="3"/>
    <x v="1"/>
    <n v="5.01"/>
    <x v="2"/>
    <s v="No"/>
    <s v="Alex"/>
    <x v="0"/>
    <n v="6"/>
    <s v="Oat Milk"/>
    <x v="4"/>
  </r>
  <r>
    <x v="443"/>
    <x v="6"/>
    <x v="6"/>
    <x v="2"/>
    <x v="4"/>
    <x v="0"/>
    <n v="6.45"/>
    <x v="0"/>
    <s v="No"/>
    <s v="Jamie"/>
    <x v="2"/>
    <n v="9"/>
    <s v="Oat Milk"/>
    <x v="0"/>
  </r>
  <r>
    <x v="444"/>
    <x v="1"/>
    <x v="4"/>
    <x v="2"/>
    <x v="4"/>
    <x v="2"/>
    <n v="3.61"/>
    <x v="1"/>
    <s v="Yes"/>
    <s v="Maria"/>
    <x v="2"/>
    <n v="8"/>
    <s v="Whipped Cream"/>
    <x v="3"/>
  </r>
  <r>
    <x v="445"/>
    <x v="0"/>
    <x v="4"/>
    <x v="2"/>
    <x v="1"/>
    <x v="2"/>
    <n v="4.1100000000000003"/>
    <x v="2"/>
    <s v="Yes"/>
    <s v="Chris"/>
    <x v="0"/>
    <n v="7"/>
    <s v="Oat Milk"/>
    <x v="1"/>
  </r>
  <r>
    <x v="446"/>
    <x v="0"/>
    <x v="0"/>
    <x v="4"/>
    <x v="4"/>
    <x v="0"/>
    <n v="6.76"/>
    <x v="0"/>
    <s v="No"/>
    <s v="Jordan"/>
    <x v="0"/>
    <n v="2"/>
    <s v="Almond Milk"/>
    <x v="1"/>
  </r>
  <r>
    <x v="447"/>
    <x v="6"/>
    <x v="7"/>
    <x v="4"/>
    <x v="0"/>
    <x v="0"/>
    <n v="4.7699999999999996"/>
    <x v="0"/>
    <s v="Yes"/>
    <s v="Jordan"/>
    <x v="0"/>
    <n v="8"/>
    <s v="Extra Shot"/>
    <x v="3"/>
  </r>
  <r>
    <x v="448"/>
    <x v="2"/>
    <x v="7"/>
    <x v="2"/>
    <x v="3"/>
    <x v="1"/>
    <n v="5.27"/>
    <x v="1"/>
    <s v="Yes"/>
    <s v="Taylor"/>
    <x v="1"/>
    <n v="3"/>
    <s v="Almond Milk"/>
    <x v="3"/>
  </r>
  <r>
    <x v="449"/>
    <x v="5"/>
    <x v="5"/>
    <x v="4"/>
    <x v="4"/>
    <x v="2"/>
    <n v="6.86"/>
    <x v="2"/>
    <s v="Yes"/>
    <s v="Maria"/>
    <x v="0"/>
    <n v="7"/>
    <s v="Decaf"/>
    <x v="3"/>
  </r>
  <r>
    <x v="450"/>
    <x v="0"/>
    <x v="2"/>
    <x v="1"/>
    <x v="5"/>
    <x v="2"/>
    <n v="3.53"/>
    <x v="2"/>
    <s v="No"/>
    <s v="Jordan"/>
    <x v="1"/>
    <n v="4"/>
    <s v="No Sugar"/>
    <x v="1"/>
  </r>
  <r>
    <x v="451"/>
    <x v="5"/>
    <x v="9"/>
    <x v="1"/>
    <x v="3"/>
    <x v="0"/>
    <n v="3.71"/>
    <x v="0"/>
    <s v="No"/>
    <s v="Jordan"/>
    <x v="1"/>
    <n v="6"/>
    <s v="Almond Milk"/>
    <x v="4"/>
  </r>
  <r>
    <x v="452"/>
    <x v="1"/>
    <x v="8"/>
    <x v="3"/>
    <x v="6"/>
    <x v="2"/>
    <n v="5.75"/>
    <x v="2"/>
    <s v="Yes"/>
    <s v="Taylor"/>
    <x v="1"/>
    <n v="4"/>
    <s v="Double Espresso"/>
    <x v="0"/>
  </r>
  <r>
    <x v="453"/>
    <x v="3"/>
    <x v="9"/>
    <x v="4"/>
    <x v="2"/>
    <x v="1"/>
    <n v="5.8"/>
    <x v="1"/>
    <s v="No"/>
    <s v="Alex"/>
    <x v="0"/>
    <n v="5"/>
    <s v="No Sugar"/>
    <x v="1"/>
  </r>
  <r>
    <x v="454"/>
    <x v="0"/>
    <x v="4"/>
    <x v="2"/>
    <x v="4"/>
    <x v="2"/>
    <n v="5.52"/>
    <x v="0"/>
    <s v="Yes"/>
    <s v="Jamie"/>
    <x v="0"/>
    <n v="7"/>
    <s v="No Sugar"/>
    <x v="0"/>
  </r>
  <r>
    <x v="455"/>
    <x v="6"/>
    <x v="0"/>
    <x v="2"/>
    <x v="3"/>
    <x v="2"/>
    <n v="3.42"/>
    <x v="0"/>
    <s v="Yes"/>
    <s v="Maria"/>
    <x v="1"/>
    <n v="9"/>
    <s v="No Sugar"/>
    <x v="2"/>
  </r>
  <r>
    <x v="456"/>
    <x v="3"/>
    <x v="5"/>
    <x v="4"/>
    <x v="3"/>
    <x v="0"/>
    <n v="4.87"/>
    <x v="2"/>
    <s v="Yes"/>
    <s v="Jamie"/>
    <x v="0"/>
    <n v="9"/>
    <s v="Double Espresso"/>
    <x v="0"/>
  </r>
  <r>
    <x v="243"/>
    <x v="2"/>
    <x v="9"/>
    <x v="1"/>
    <x v="3"/>
    <x v="2"/>
    <n v="4.49"/>
    <x v="0"/>
    <s v="No"/>
    <s v="Jordan"/>
    <x v="1"/>
    <n v="6"/>
    <s v="Almond Milk"/>
    <x v="1"/>
  </r>
  <r>
    <x v="457"/>
    <x v="1"/>
    <x v="7"/>
    <x v="0"/>
    <x v="6"/>
    <x v="1"/>
    <n v="6.82"/>
    <x v="0"/>
    <s v="Yes"/>
    <s v="Maria"/>
    <x v="0"/>
    <n v="4"/>
    <s v="No Sugar"/>
    <x v="0"/>
  </r>
  <r>
    <x v="458"/>
    <x v="4"/>
    <x v="7"/>
    <x v="3"/>
    <x v="1"/>
    <x v="0"/>
    <n v="3.52"/>
    <x v="0"/>
    <s v="Yes"/>
    <s v="Alex"/>
    <x v="1"/>
    <n v="4"/>
    <s v="Whipped Cream"/>
    <x v="2"/>
  </r>
  <r>
    <x v="459"/>
    <x v="0"/>
    <x v="1"/>
    <x v="2"/>
    <x v="5"/>
    <x v="0"/>
    <n v="3.8"/>
    <x v="2"/>
    <s v="No"/>
    <s v="Chris"/>
    <x v="2"/>
    <n v="4"/>
    <s v="Extra Shot"/>
    <x v="1"/>
  </r>
  <r>
    <x v="460"/>
    <x v="6"/>
    <x v="2"/>
    <x v="3"/>
    <x v="1"/>
    <x v="1"/>
    <n v="3.02"/>
    <x v="2"/>
    <s v="No"/>
    <s v="Alex"/>
    <x v="1"/>
    <n v="10"/>
    <s v="Oat Milk"/>
    <x v="4"/>
  </r>
  <r>
    <x v="461"/>
    <x v="2"/>
    <x v="3"/>
    <x v="0"/>
    <x v="1"/>
    <x v="1"/>
    <n v="5.82"/>
    <x v="2"/>
    <s v="No"/>
    <s v="Maria"/>
    <x v="1"/>
    <n v="4"/>
    <s v="Decaf"/>
    <x v="2"/>
  </r>
  <r>
    <x v="462"/>
    <x v="0"/>
    <x v="9"/>
    <x v="0"/>
    <x v="4"/>
    <x v="0"/>
    <n v="4.3899999999999997"/>
    <x v="1"/>
    <s v="Yes"/>
    <s v="Maria"/>
    <x v="0"/>
    <n v="4"/>
    <s v="Whipped Cream"/>
    <x v="1"/>
  </r>
  <r>
    <x v="463"/>
    <x v="1"/>
    <x v="8"/>
    <x v="2"/>
    <x v="4"/>
    <x v="2"/>
    <n v="6.01"/>
    <x v="2"/>
    <s v="Yes"/>
    <s v="Maria"/>
    <x v="1"/>
    <n v="5"/>
    <s v="Almond Milk"/>
    <x v="1"/>
  </r>
  <r>
    <x v="464"/>
    <x v="2"/>
    <x v="5"/>
    <x v="0"/>
    <x v="5"/>
    <x v="0"/>
    <n v="4.7"/>
    <x v="0"/>
    <s v="No"/>
    <s v="Jamie"/>
    <x v="0"/>
    <n v="9"/>
    <s v="Almond Milk"/>
    <x v="2"/>
  </r>
  <r>
    <x v="465"/>
    <x v="4"/>
    <x v="9"/>
    <x v="1"/>
    <x v="6"/>
    <x v="2"/>
    <n v="5.07"/>
    <x v="2"/>
    <s v="No"/>
    <s v="Alex"/>
    <x v="1"/>
    <n v="3"/>
    <s v="Oat Milk"/>
    <x v="4"/>
  </r>
  <r>
    <x v="420"/>
    <x v="1"/>
    <x v="4"/>
    <x v="4"/>
    <x v="2"/>
    <x v="2"/>
    <n v="5.03"/>
    <x v="1"/>
    <s v="No"/>
    <s v="Alex"/>
    <x v="1"/>
    <n v="8"/>
    <s v="Decaf"/>
    <x v="3"/>
  </r>
  <r>
    <x v="466"/>
    <x v="2"/>
    <x v="6"/>
    <x v="2"/>
    <x v="4"/>
    <x v="1"/>
    <n v="5.01"/>
    <x v="0"/>
    <s v="No"/>
    <s v="Taylor"/>
    <x v="1"/>
    <n v="3"/>
    <s v="Whipped Cream"/>
    <x v="1"/>
  </r>
  <r>
    <x v="467"/>
    <x v="4"/>
    <x v="7"/>
    <x v="0"/>
    <x v="1"/>
    <x v="2"/>
    <n v="3.32"/>
    <x v="2"/>
    <s v="No"/>
    <s v="Jordan"/>
    <x v="0"/>
    <n v="6"/>
    <s v="Extra Shot"/>
    <x v="0"/>
  </r>
  <r>
    <x v="468"/>
    <x v="6"/>
    <x v="3"/>
    <x v="2"/>
    <x v="6"/>
    <x v="1"/>
    <n v="3.16"/>
    <x v="0"/>
    <s v="No"/>
    <s v="Chris"/>
    <x v="2"/>
    <n v="7"/>
    <s v="No Sugar"/>
    <x v="4"/>
  </r>
  <r>
    <x v="469"/>
    <x v="1"/>
    <x v="6"/>
    <x v="2"/>
    <x v="4"/>
    <x v="1"/>
    <n v="3.71"/>
    <x v="0"/>
    <s v="No"/>
    <s v="Alex"/>
    <x v="1"/>
    <n v="7"/>
    <s v="No Sugar"/>
    <x v="3"/>
  </r>
  <r>
    <x v="470"/>
    <x v="5"/>
    <x v="8"/>
    <x v="2"/>
    <x v="4"/>
    <x v="2"/>
    <n v="4.58"/>
    <x v="2"/>
    <s v="Yes"/>
    <s v="Taylor"/>
    <x v="2"/>
    <n v="4"/>
    <s v="Oat Milk"/>
    <x v="1"/>
  </r>
  <r>
    <x v="471"/>
    <x v="3"/>
    <x v="9"/>
    <x v="4"/>
    <x v="3"/>
    <x v="1"/>
    <n v="5.76"/>
    <x v="2"/>
    <s v="No"/>
    <s v="Alex"/>
    <x v="2"/>
    <n v="7"/>
    <s v="No Sugar"/>
    <x v="3"/>
  </r>
  <r>
    <x v="472"/>
    <x v="5"/>
    <x v="5"/>
    <x v="3"/>
    <x v="5"/>
    <x v="0"/>
    <n v="4.3499999999999996"/>
    <x v="1"/>
    <s v="No"/>
    <s v="Jamie"/>
    <x v="1"/>
    <n v="2"/>
    <s v="Extra Shot"/>
    <x v="2"/>
  </r>
  <r>
    <x v="473"/>
    <x v="2"/>
    <x v="5"/>
    <x v="0"/>
    <x v="0"/>
    <x v="0"/>
    <n v="5.28"/>
    <x v="0"/>
    <s v="Yes"/>
    <s v="Jordan"/>
    <x v="2"/>
    <n v="7"/>
    <s v="Double Espresso"/>
    <x v="4"/>
  </r>
  <r>
    <x v="474"/>
    <x v="3"/>
    <x v="9"/>
    <x v="1"/>
    <x v="3"/>
    <x v="2"/>
    <n v="5.69"/>
    <x v="1"/>
    <s v="No"/>
    <s v="Maria"/>
    <x v="0"/>
    <n v="6"/>
    <s v="No Sugar"/>
    <x v="3"/>
  </r>
  <r>
    <x v="475"/>
    <x v="6"/>
    <x v="4"/>
    <x v="0"/>
    <x v="5"/>
    <x v="0"/>
    <n v="4.0999999999999996"/>
    <x v="0"/>
    <s v="No"/>
    <s v="Alex"/>
    <x v="2"/>
    <n v="5"/>
    <s v="Almond Milk"/>
    <x v="2"/>
  </r>
  <r>
    <x v="476"/>
    <x v="3"/>
    <x v="0"/>
    <x v="3"/>
    <x v="1"/>
    <x v="1"/>
    <n v="5.35"/>
    <x v="1"/>
    <s v="No"/>
    <s v="Taylor"/>
    <x v="1"/>
    <n v="9"/>
    <s v="Double Espresso"/>
    <x v="3"/>
  </r>
  <r>
    <x v="452"/>
    <x v="1"/>
    <x v="8"/>
    <x v="0"/>
    <x v="2"/>
    <x v="1"/>
    <n v="6.42"/>
    <x v="0"/>
    <s v="Yes"/>
    <s v="Taylor"/>
    <x v="0"/>
    <n v="4"/>
    <s v="Oat Milk"/>
    <x v="4"/>
  </r>
  <r>
    <x v="477"/>
    <x v="2"/>
    <x v="4"/>
    <x v="3"/>
    <x v="0"/>
    <x v="2"/>
    <n v="4.95"/>
    <x v="0"/>
    <s v="Yes"/>
    <s v="Maria"/>
    <x v="0"/>
    <n v="10"/>
    <s v="No Sugar"/>
    <x v="2"/>
  </r>
  <r>
    <x v="478"/>
    <x v="2"/>
    <x v="8"/>
    <x v="0"/>
    <x v="0"/>
    <x v="0"/>
    <n v="5.5"/>
    <x v="2"/>
    <s v="No"/>
    <s v="Taylor"/>
    <x v="1"/>
    <n v="8"/>
    <s v="Whipped Cream"/>
    <x v="3"/>
  </r>
  <r>
    <x v="479"/>
    <x v="1"/>
    <x v="6"/>
    <x v="0"/>
    <x v="2"/>
    <x v="1"/>
    <n v="6.68"/>
    <x v="2"/>
    <s v="No"/>
    <s v="Taylor"/>
    <x v="2"/>
    <n v="3"/>
    <s v="Decaf"/>
    <x v="1"/>
  </r>
  <r>
    <x v="480"/>
    <x v="3"/>
    <x v="5"/>
    <x v="4"/>
    <x v="2"/>
    <x v="0"/>
    <n v="6.07"/>
    <x v="1"/>
    <s v="No"/>
    <s v="Taylor"/>
    <x v="1"/>
    <n v="7"/>
    <s v="Whipped Cream"/>
    <x v="1"/>
  </r>
  <r>
    <x v="333"/>
    <x v="6"/>
    <x v="0"/>
    <x v="4"/>
    <x v="1"/>
    <x v="1"/>
    <n v="5.52"/>
    <x v="1"/>
    <s v="No"/>
    <s v="Taylor"/>
    <x v="0"/>
    <n v="10"/>
    <s v="Decaf"/>
    <x v="1"/>
  </r>
  <r>
    <x v="481"/>
    <x v="6"/>
    <x v="3"/>
    <x v="0"/>
    <x v="3"/>
    <x v="1"/>
    <n v="3.63"/>
    <x v="2"/>
    <s v="No"/>
    <s v="Chris"/>
    <x v="2"/>
    <n v="10"/>
    <s v="Whipped Cream"/>
    <x v="2"/>
  </r>
  <r>
    <x v="482"/>
    <x v="1"/>
    <x v="1"/>
    <x v="2"/>
    <x v="6"/>
    <x v="2"/>
    <n v="5.61"/>
    <x v="0"/>
    <s v="No"/>
    <s v="Maria"/>
    <x v="0"/>
    <n v="2"/>
    <s v="Double Espresso"/>
    <x v="1"/>
  </r>
  <r>
    <x v="483"/>
    <x v="5"/>
    <x v="0"/>
    <x v="2"/>
    <x v="4"/>
    <x v="2"/>
    <n v="5.93"/>
    <x v="2"/>
    <s v="No"/>
    <s v="Taylor"/>
    <x v="2"/>
    <n v="4"/>
    <s v="Double Espresso"/>
    <x v="4"/>
  </r>
  <r>
    <x v="484"/>
    <x v="3"/>
    <x v="8"/>
    <x v="3"/>
    <x v="1"/>
    <x v="2"/>
    <n v="4.5599999999999996"/>
    <x v="1"/>
    <s v="Yes"/>
    <s v="Maria"/>
    <x v="1"/>
    <n v="7"/>
    <s v="Oat Milk"/>
    <x v="1"/>
  </r>
  <r>
    <x v="485"/>
    <x v="5"/>
    <x v="2"/>
    <x v="1"/>
    <x v="3"/>
    <x v="0"/>
    <n v="6.58"/>
    <x v="2"/>
    <s v="No"/>
    <s v="Jamie"/>
    <x v="2"/>
    <n v="9"/>
    <s v="Extra Shot"/>
    <x v="1"/>
  </r>
  <r>
    <x v="486"/>
    <x v="4"/>
    <x v="7"/>
    <x v="2"/>
    <x v="1"/>
    <x v="2"/>
    <n v="6.35"/>
    <x v="2"/>
    <s v="Yes"/>
    <s v="Jamie"/>
    <x v="0"/>
    <n v="3"/>
    <s v="Almond Milk"/>
    <x v="3"/>
  </r>
  <r>
    <x v="487"/>
    <x v="3"/>
    <x v="9"/>
    <x v="3"/>
    <x v="6"/>
    <x v="1"/>
    <n v="3.28"/>
    <x v="0"/>
    <s v="No"/>
    <s v="Jordan"/>
    <x v="0"/>
    <n v="3"/>
    <s v="Oat Milk"/>
    <x v="0"/>
  </r>
  <r>
    <x v="488"/>
    <x v="3"/>
    <x v="7"/>
    <x v="2"/>
    <x v="6"/>
    <x v="1"/>
    <n v="6.31"/>
    <x v="2"/>
    <s v="No"/>
    <s v="Jamie"/>
    <x v="0"/>
    <n v="2"/>
    <s v="No Sugar"/>
    <x v="4"/>
  </r>
  <r>
    <x v="489"/>
    <x v="2"/>
    <x v="7"/>
    <x v="0"/>
    <x v="6"/>
    <x v="0"/>
    <n v="3.41"/>
    <x v="0"/>
    <s v="Yes"/>
    <s v="Jordan"/>
    <x v="2"/>
    <n v="7"/>
    <s v="Decaf"/>
    <x v="2"/>
  </r>
  <r>
    <x v="490"/>
    <x v="5"/>
    <x v="2"/>
    <x v="0"/>
    <x v="2"/>
    <x v="1"/>
    <n v="3.39"/>
    <x v="1"/>
    <s v="Yes"/>
    <s v="Jamie"/>
    <x v="0"/>
    <n v="9"/>
    <s v="Whipped Cream"/>
    <x v="1"/>
  </r>
  <r>
    <x v="491"/>
    <x v="1"/>
    <x v="8"/>
    <x v="0"/>
    <x v="3"/>
    <x v="1"/>
    <n v="5.8"/>
    <x v="1"/>
    <s v="No"/>
    <s v="Taylor"/>
    <x v="2"/>
    <n v="4"/>
    <s v="Extra Shot"/>
    <x v="0"/>
  </r>
  <r>
    <x v="492"/>
    <x v="2"/>
    <x v="2"/>
    <x v="4"/>
    <x v="4"/>
    <x v="1"/>
    <n v="5.86"/>
    <x v="0"/>
    <s v="Yes"/>
    <s v="Taylor"/>
    <x v="0"/>
    <n v="6"/>
    <s v="Decaf"/>
    <x v="4"/>
  </r>
  <r>
    <x v="493"/>
    <x v="3"/>
    <x v="1"/>
    <x v="1"/>
    <x v="2"/>
    <x v="2"/>
    <n v="4.17"/>
    <x v="0"/>
    <s v="No"/>
    <s v="Jordan"/>
    <x v="2"/>
    <n v="2"/>
    <s v="Whipped Cream"/>
    <x v="1"/>
  </r>
  <r>
    <x v="494"/>
    <x v="5"/>
    <x v="1"/>
    <x v="2"/>
    <x v="3"/>
    <x v="1"/>
    <n v="5.88"/>
    <x v="1"/>
    <s v="No"/>
    <s v="Jamie"/>
    <x v="0"/>
    <n v="4"/>
    <s v="No Sugar"/>
    <x v="1"/>
  </r>
  <r>
    <x v="495"/>
    <x v="5"/>
    <x v="7"/>
    <x v="3"/>
    <x v="3"/>
    <x v="1"/>
    <n v="6.46"/>
    <x v="0"/>
    <s v="Yes"/>
    <s v="Taylor"/>
    <x v="1"/>
    <n v="4"/>
    <s v="Decaf"/>
    <x v="4"/>
  </r>
  <r>
    <x v="496"/>
    <x v="0"/>
    <x v="5"/>
    <x v="1"/>
    <x v="3"/>
    <x v="0"/>
    <n v="3.9"/>
    <x v="0"/>
    <s v="Yes"/>
    <s v="Jordan"/>
    <x v="2"/>
    <n v="7"/>
    <s v="Decaf"/>
    <x v="4"/>
  </r>
  <r>
    <x v="497"/>
    <x v="5"/>
    <x v="4"/>
    <x v="3"/>
    <x v="2"/>
    <x v="2"/>
    <n v="3.81"/>
    <x v="1"/>
    <s v="Yes"/>
    <s v="Jamie"/>
    <x v="0"/>
    <n v="3"/>
    <s v="No Sugar"/>
    <x v="0"/>
  </r>
  <r>
    <x v="498"/>
    <x v="4"/>
    <x v="7"/>
    <x v="3"/>
    <x v="1"/>
    <x v="0"/>
    <n v="6.88"/>
    <x v="2"/>
    <s v="No"/>
    <s v="Taylor"/>
    <x v="0"/>
    <n v="5"/>
    <s v="Extra Shot"/>
    <x v="2"/>
  </r>
  <r>
    <x v="499"/>
    <x v="1"/>
    <x v="1"/>
    <x v="1"/>
    <x v="2"/>
    <x v="2"/>
    <n v="5.87"/>
    <x v="2"/>
    <s v="Yes"/>
    <s v="Taylor"/>
    <x v="1"/>
    <n v="10"/>
    <s v="No Sugar"/>
    <x v="3"/>
  </r>
  <r>
    <x v="500"/>
    <x v="2"/>
    <x v="5"/>
    <x v="1"/>
    <x v="4"/>
    <x v="1"/>
    <n v="3.24"/>
    <x v="2"/>
    <s v="Yes"/>
    <s v="Taylor"/>
    <x v="0"/>
    <n v="9"/>
    <s v="Decaf"/>
    <x v="3"/>
  </r>
  <r>
    <x v="501"/>
    <x v="4"/>
    <x v="4"/>
    <x v="2"/>
    <x v="2"/>
    <x v="1"/>
    <n v="3.47"/>
    <x v="2"/>
    <s v="No"/>
    <s v="Maria"/>
    <x v="2"/>
    <n v="10"/>
    <s v="Double Espresso"/>
    <x v="1"/>
  </r>
  <r>
    <x v="502"/>
    <x v="5"/>
    <x v="6"/>
    <x v="2"/>
    <x v="4"/>
    <x v="1"/>
    <n v="6.44"/>
    <x v="2"/>
    <s v="No"/>
    <s v="Jordan"/>
    <x v="2"/>
    <n v="9"/>
    <s v="Almond Milk"/>
    <x v="2"/>
  </r>
  <r>
    <x v="503"/>
    <x v="1"/>
    <x v="0"/>
    <x v="0"/>
    <x v="5"/>
    <x v="0"/>
    <n v="4.3099999999999996"/>
    <x v="0"/>
    <s v="No"/>
    <s v="Jordan"/>
    <x v="1"/>
    <n v="6"/>
    <s v="Whipped Cream"/>
    <x v="0"/>
  </r>
  <r>
    <x v="504"/>
    <x v="3"/>
    <x v="6"/>
    <x v="3"/>
    <x v="4"/>
    <x v="1"/>
    <n v="5.5"/>
    <x v="2"/>
    <s v="Yes"/>
    <s v="Jamie"/>
    <x v="2"/>
    <n v="7"/>
    <s v="Double Espresso"/>
    <x v="4"/>
  </r>
  <r>
    <x v="505"/>
    <x v="0"/>
    <x v="1"/>
    <x v="0"/>
    <x v="5"/>
    <x v="1"/>
    <n v="3.38"/>
    <x v="0"/>
    <s v="No"/>
    <s v="Jordan"/>
    <x v="0"/>
    <n v="10"/>
    <s v="Whipped Cream"/>
    <x v="1"/>
  </r>
  <r>
    <x v="506"/>
    <x v="3"/>
    <x v="5"/>
    <x v="1"/>
    <x v="2"/>
    <x v="1"/>
    <n v="5.01"/>
    <x v="0"/>
    <s v="No"/>
    <s v="Alex"/>
    <x v="0"/>
    <n v="6"/>
    <s v="Double Espresso"/>
    <x v="1"/>
  </r>
  <r>
    <x v="507"/>
    <x v="5"/>
    <x v="1"/>
    <x v="1"/>
    <x v="2"/>
    <x v="1"/>
    <n v="6.14"/>
    <x v="2"/>
    <s v="Yes"/>
    <s v="Chris"/>
    <x v="0"/>
    <n v="9"/>
    <s v="Oat Milk"/>
    <x v="0"/>
  </r>
  <r>
    <x v="508"/>
    <x v="1"/>
    <x v="6"/>
    <x v="4"/>
    <x v="6"/>
    <x v="1"/>
    <n v="4.4800000000000004"/>
    <x v="0"/>
    <s v="No"/>
    <s v="Jordan"/>
    <x v="1"/>
    <n v="7"/>
    <s v="Decaf"/>
    <x v="2"/>
  </r>
  <r>
    <x v="92"/>
    <x v="6"/>
    <x v="9"/>
    <x v="0"/>
    <x v="0"/>
    <x v="1"/>
    <n v="3.22"/>
    <x v="0"/>
    <s v="No"/>
    <s v="Jordan"/>
    <x v="2"/>
    <n v="9"/>
    <s v="Whipped Cream"/>
    <x v="2"/>
  </r>
  <r>
    <x v="509"/>
    <x v="0"/>
    <x v="2"/>
    <x v="4"/>
    <x v="3"/>
    <x v="1"/>
    <n v="3.09"/>
    <x v="0"/>
    <s v="No"/>
    <s v="Chris"/>
    <x v="0"/>
    <n v="10"/>
    <s v="Oat Milk"/>
    <x v="1"/>
  </r>
  <r>
    <x v="510"/>
    <x v="1"/>
    <x v="0"/>
    <x v="0"/>
    <x v="1"/>
    <x v="1"/>
    <n v="3.43"/>
    <x v="2"/>
    <s v="Yes"/>
    <s v="Chris"/>
    <x v="0"/>
    <n v="9"/>
    <s v="Oat Milk"/>
    <x v="0"/>
  </r>
  <r>
    <x v="511"/>
    <x v="0"/>
    <x v="4"/>
    <x v="0"/>
    <x v="5"/>
    <x v="2"/>
    <n v="4.95"/>
    <x v="0"/>
    <s v="No"/>
    <s v="Alex"/>
    <x v="2"/>
    <n v="2"/>
    <s v="Oat Milk"/>
    <x v="2"/>
  </r>
  <r>
    <x v="478"/>
    <x v="2"/>
    <x v="8"/>
    <x v="4"/>
    <x v="0"/>
    <x v="1"/>
    <n v="3.54"/>
    <x v="1"/>
    <s v="Yes"/>
    <s v="Chris"/>
    <x v="0"/>
    <n v="8"/>
    <s v="Whipped Cream"/>
    <x v="1"/>
  </r>
  <r>
    <x v="512"/>
    <x v="6"/>
    <x v="0"/>
    <x v="3"/>
    <x v="2"/>
    <x v="2"/>
    <n v="3.35"/>
    <x v="2"/>
    <s v="No"/>
    <s v="Taylor"/>
    <x v="0"/>
    <n v="6"/>
    <s v="Double Espresso"/>
    <x v="0"/>
  </r>
  <r>
    <x v="513"/>
    <x v="6"/>
    <x v="4"/>
    <x v="2"/>
    <x v="1"/>
    <x v="2"/>
    <n v="5.85"/>
    <x v="0"/>
    <s v="No"/>
    <s v="Jamie"/>
    <x v="0"/>
    <n v="5"/>
    <s v="Extra Shot"/>
    <x v="2"/>
  </r>
  <r>
    <x v="514"/>
    <x v="0"/>
    <x v="3"/>
    <x v="4"/>
    <x v="2"/>
    <x v="2"/>
    <n v="6.89"/>
    <x v="0"/>
    <s v="No"/>
    <s v="Taylor"/>
    <x v="0"/>
    <n v="2"/>
    <s v="Extra Shot"/>
    <x v="3"/>
  </r>
  <r>
    <x v="515"/>
    <x v="3"/>
    <x v="9"/>
    <x v="0"/>
    <x v="1"/>
    <x v="0"/>
    <n v="6.33"/>
    <x v="2"/>
    <s v="No"/>
    <s v="Alex"/>
    <x v="0"/>
    <n v="8"/>
    <s v="Almond Milk"/>
    <x v="0"/>
  </r>
  <r>
    <x v="516"/>
    <x v="6"/>
    <x v="8"/>
    <x v="3"/>
    <x v="6"/>
    <x v="1"/>
    <n v="5.3"/>
    <x v="1"/>
    <s v="Yes"/>
    <s v="Jordan"/>
    <x v="2"/>
    <n v="3"/>
    <s v="Double Espresso"/>
    <x v="3"/>
  </r>
  <r>
    <x v="517"/>
    <x v="4"/>
    <x v="7"/>
    <x v="2"/>
    <x v="4"/>
    <x v="1"/>
    <n v="5.44"/>
    <x v="2"/>
    <s v="Yes"/>
    <s v="Jordan"/>
    <x v="1"/>
    <n v="6"/>
    <s v="Decaf"/>
    <x v="4"/>
  </r>
  <r>
    <x v="518"/>
    <x v="0"/>
    <x v="1"/>
    <x v="4"/>
    <x v="0"/>
    <x v="0"/>
    <n v="5.59"/>
    <x v="0"/>
    <s v="No"/>
    <s v="Taylor"/>
    <x v="0"/>
    <n v="8"/>
    <s v="Almond Milk"/>
    <x v="4"/>
  </r>
  <r>
    <x v="519"/>
    <x v="5"/>
    <x v="4"/>
    <x v="0"/>
    <x v="0"/>
    <x v="0"/>
    <n v="3.9"/>
    <x v="0"/>
    <s v="Yes"/>
    <s v="Chris"/>
    <x v="2"/>
    <n v="7"/>
    <s v="Double Espresso"/>
    <x v="4"/>
  </r>
  <r>
    <x v="520"/>
    <x v="3"/>
    <x v="2"/>
    <x v="3"/>
    <x v="3"/>
    <x v="2"/>
    <n v="6.47"/>
    <x v="2"/>
    <s v="Yes"/>
    <s v="Maria"/>
    <x v="2"/>
    <n v="6"/>
    <s v="Extra Shot"/>
    <x v="3"/>
  </r>
  <r>
    <x v="521"/>
    <x v="0"/>
    <x v="0"/>
    <x v="2"/>
    <x v="1"/>
    <x v="0"/>
    <n v="5.16"/>
    <x v="2"/>
    <s v="No"/>
    <s v="Chris"/>
    <x v="2"/>
    <n v="5"/>
    <s v="Extra Shot"/>
    <x v="2"/>
  </r>
  <r>
    <x v="522"/>
    <x v="5"/>
    <x v="6"/>
    <x v="1"/>
    <x v="1"/>
    <x v="1"/>
    <n v="3.11"/>
    <x v="0"/>
    <s v="Yes"/>
    <s v="Jamie"/>
    <x v="2"/>
    <n v="9"/>
    <s v="Whipped Cream"/>
    <x v="1"/>
  </r>
  <r>
    <x v="523"/>
    <x v="6"/>
    <x v="3"/>
    <x v="0"/>
    <x v="2"/>
    <x v="0"/>
    <n v="6.08"/>
    <x v="1"/>
    <s v="Yes"/>
    <s v="Alex"/>
    <x v="2"/>
    <n v="10"/>
    <s v="Double Espresso"/>
    <x v="0"/>
  </r>
  <r>
    <x v="524"/>
    <x v="4"/>
    <x v="2"/>
    <x v="0"/>
    <x v="5"/>
    <x v="2"/>
    <n v="4.43"/>
    <x v="0"/>
    <s v="No"/>
    <s v="Maria"/>
    <x v="2"/>
    <n v="3"/>
    <s v="Whipped Cream"/>
    <x v="0"/>
  </r>
  <r>
    <x v="525"/>
    <x v="1"/>
    <x v="6"/>
    <x v="2"/>
    <x v="6"/>
    <x v="0"/>
    <n v="3.03"/>
    <x v="0"/>
    <s v="No"/>
    <s v="Alex"/>
    <x v="1"/>
    <n v="7"/>
    <s v="No Sugar"/>
    <x v="3"/>
  </r>
  <r>
    <x v="526"/>
    <x v="6"/>
    <x v="6"/>
    <x v="2"/>
    <x v="5"/>
    <x v="2"/>
    <n v="6.24"/>
    <x v="0"/>
    <s v="Yes"/>
    <s v="Chris"/>
    <x v="0"/>
    <n v="7"/>
    <s v="Almond Milk"/>
    <x v="1"/>
  </r>
  <r>
    <x v="527"/>
    <x v="6"/>
    <x v="1"/>
    <x v="2"/>
    <x v="2"/>
    <x v="2"/>
    <n v="3.62"/>
    <x v="1"/>
    <s v="No"/>
    <s v="Alex"/>
    <x v="2"/>
    <n v="5"/>
    <s v="Whipped Cream"/>
    <x v="2"/>
  </r>
  <r>
    <x v="528"/>
    <x v="1"/>
    <x v="9"/>
    <x v="1"/>
    <x v="6"/>
    <x v="0"/>
    <n v="3.7"/>
    <x v="1"/>
    <s v="Yes"/>
    <s v="Jordan"/>
    <x v="0"/>
    <n v="4"/>
    <s v="No Sugar"/>
    <x v="3"/>
  </r>
  <r>
    <x v="529"/>
    <x v="1"/>
    <x v="4"/>
    <x v="1"/>
    <x v="3"/>
    <x v="1"/>
    <n v="5.5"/>
    <x v="0"/>
    <s v="No"/>
    <s v="Alex"/>
    <x v="2"/>
    <n v="7"/>
    <s v="Almond Milk"/>
    <x v="4"/>
  </r>
  <r>
    <x v="530"/>
    <x v="0"/>
    <x v="1"/>
    <x v="0"/>
    <x v="0"/>
    <x v="2"/>
    <n v="4.51"/>
    <x v="1"/>
    <s v="Yes"/>
    <s v="Maria"/>
    <x v="2"/>
    <n v="2"/>
    <s v="No Sugar"/>
    <x v="1"/>
  </r>
  <r>
    <x v="215"/>
    <x v="4"/>
    <x v="5"/>
    <x v="0"/>
    <x v="6"/>
    <x v="1"/>
    <n v="6.42"/>
    <x v="1"/>
    <s v="No"/>
    <s v="Maria"/>
    <x v="0"/>
    <n v="2"/>
    <s v="No Sugar"/>
    <x v="4"/>
  </r>
  <r>
    <x v="531"/>
    <x v="0"/>
    <x v="6"/>
    <x v="4"/>
    <x v="5"/>
    <x v="2"/>
    <n v="4.46"/>
    <x v="1"/>
    <s v="Yes"/>
    <s v="Jamie"/>
    <x v="1"/>
    <n v="5"/>
    <s v="Extra Shot"/>
    <x v="1"/>
  </r>
  <r>
    <x v="532"/>
    <x v="4"/>
    <x v="1"/>
    <x v="2"/>
    <x v="5"/>
    <x v="0"/>
    <n v="5.87"/>
    <x v="0"/>
    <s v="Yes"/>
    <s v="Maria"/>
    <x v="2"/>
    <n v="6"/>
    <s v="Extra Shot"/>
    <x v="2"/>
  </r>
  <r>
    <x v="533"/>
    <x v="1"/>
    <x v="3"/>
    <x v="3"/>
    <x v="4"/>
    <x v="2"/>
    <n v="5.31"/>
    <x v="0"/>
    <s v="Yes"/>
    <s v="Chris"/>
    <x v="1"/>
    <n v="7"/>
    <s v="Oat Milk"/>
    <x v="1"/>
  </r>
  <r>
    <x v="534"/>
    <x v="5"/>
    <x v="4"/>
    <x v="0"/>
    <x v="5"/>
    <x v="0"/>
    <n v="6.18"/>
    <x v="2"/>
    <s v="Yes"/>
    <s v="Maria"/>
    <x v="0"/>
    <n v="2"/>
    <s v="Whipped Cream"/>
    <x v="1"/>
  </r>
  <r>
    <x v="535"/>
    <x v="5"/>
    <x v="8"/>
    <x v="3"/>
    <x v="6"/>
    <x v="1"/>
    <n v="6.43"/>
    <x v="2"/>
    <s v="No"/>
    <s v="Jamie"/>
    <x v="2"/>
    <n v="9"/>
    <s v="Double Espresso"/>
    <x v="2"/>
  </r>
  <r>
    <x v="536"/>
    <x v="4"/>
    <x v="5"/>
    <x v="4"/>
    <x v="5"/>
    <x v="2"/>
    <n v="6.7"/>
    <x v="0"/>
    <s v="Yes"/>
    <s v="Chris"/>
    <x v="1"/>
    <n v="9"/>
    <s v="Whipped Cream"/>
    <x v="0"/>
  </r>
  <r>
    <x v="537"/>
    <x v="0"/>
    <x v="5"/>
    <x v="4"/>
    <x v="1"/>
    <x v="2"/>
    <n v="4.05"/>
    <x v="0"/>
    <s v="No"/>
    <s v="Jordan"/>
    <x v="2"/>
    <n v="10"/>
    <s v="Extra Shot"/>
    <x v="3"/>
  </r>
  <r>
    <x v="538"/>
    <x v="3"/>
    <x v="3"/>
    <x v="2"/>
    <x v="0"/>
    <x v="2"/>
    <n v="5.85"/>
    <x v="2"/>
    <s v="No"/>
    <s v="Chris"/>
    <x v="1"/>
    <n v="8"/>
    <s v="Double Espresso"/>
    <x v="3"/>
  </r>
  <r>
    <x v="539"/>
    <x v="4"/>
    <x v="7"/>
    <x v="0"/>
    <x v="1"/>
    <x v="2"/>
    <n v="3.78"/>
    <x v="1"/>
    <s v="Yes"/>
    <s v="Alex"/>
    <x v="2"/>
    <n v="7"/>
    <s v="Double Espresso"/>
    <x v="0"/>
  </r>
  <r>
    <x v="540"/>
    <x v="1"/>
    <x v="0"/>
    <x v="3"/>
    <x v="4"/>
    <x v="0"/>
    <n v="6.2"/>
    <x v="0"/>
    <s v="Yes"/>
    <s v="Jordan"/>
    <x v="0"/>
    <n v="4"/>
    <s v="No Sugar"/>
    <x v="1"/>
  </r>
  <r>
    <x v="356"/>
    <x v="4"/>
    <x v="1"/>
    <x v="3"/>
    <x v="2"/>
    <x v="2"/>
    <n v="3.61"/>
    <x v="1"/>
    <s v="No"/>
    <s v="Maria"/>
    <x v="1"/>
    <n v="2"/>
    <s v="Decaf"/>
    <x v="2"/>
  </r>
  <r>
    <x v="541"/>
    <x v="6"/>
    <x v="7"/>
    <x v="0"/>
    <x v="6"/>
    <x v="1"/>
    <n v="3.54"/>
    <x v="0"/>
    <s v="Yes"/>
    <s v="Alex"/>
    <x v="1"/>
    <n v="10"/>
    <s v="Oat Milk"/>
    <x v="2"/>
  </r>
  <r>
    <x v="542"/>
    <x v="3"/>
    <x v="0"/>
    <x v="2"/>
    <x v="0"/>
    <x v="1"/>
    <n v="3.56"/>
    <x v="0"/>
    <s v="Yes"/>
    <s v="Maria"/>
    <x v="1"/>
    <n v="4"/>
    <s v="Oat Milk"/>
    <x v="4"/>
  </r>
  <r>
    <x v="543"/>
    <x v="6"/>
    <x v="2"/>
    <x v="4"/>
    <x v="0"/>
    <x v="0"/>
    <n v="6.85"/>
    <x v="0"/>
    <s v="Yes"/>
    <s v="Jamie"/>
    <x v="2"/>
    <n v="4"/>
    <s v="Extra Shot"/>
    <x v="4"/>
  </r>
  <r>
    <x v="544"/>
    <x v="5"/>
    <x v="6"/>
    <x v="4"/>
    <x v="0"/>
    <x v="2"/>
    <n v="3.47"/>
    <x v="0"/>
    <s v="Yes"/>
    <s v="Jordan"/>
    <x v="0"/>
    <n v="9"/>
    <s v="Extra Shot"/>
    <x v="4"/>
  </r>
  <r>
    <x v="545"/>
    <x v="2"/>
    <x v="5"/>
    <x v="3"/>
    <x v="6"/>
    <x v="0"/>
    <n v="3.28"/>
    <x v="1"/>
    <s v="No"/>
    <s v="Chris"/>
    <x v="2"/>
    <n v="8"/>
    <s v="Whipped Cream"/>
    <x v="2"/>
  </r>
  <r>
    <x v="546"/>
    <x v="4"/>
    <x v="3"/>
    <x v="3"/>
    <x v="2"/>
    <x v="2"/>
    <n v="5.77"/>
    <x v="0"/>
    <s v="No"/>
    <s v="Maria"/>
    <x v="0"/>
    <n v="3"/>
    <s v="Almond Milk"/>
    <x v="0"/>
  </r>
  <r>
    <x v="547"/>
    <x v="4"/>
    <x v="8"/>
    <x v="0"/>
    <x v="1"/>
    <x v="2"/>
    <n v="6.85"/>
    <x v="0"/>
    <s v="Yes"/>
    <s v="Jordan"/>
    <x v="2"/>
    <n v="6"/>
    <s v="Whipped Cream"/>
    <x v="2"/>
  </r>
  <r>
    <x v="548"/>
    <x v="0"/>
    <x v="7"/>
    <x v="0"/>
    <x v="5"/>
    <x v="1"/>
    <n v="6.93"/>
    <x v="2"/>
    <s v="Yes"/>
    <s v="Alex"/>
    <x v="0"/>
    <n v="9"/>
    <s v="Extra Shot"/>
    <x v="0"/>
  </r>
  <r>
    <x v="549"/>
    <x v="0"/>
    <x v="0"/>
    <x v="4"/>
    <x v="0"/>
    <x v="2"/>
    <n v="4.95"/>
    <x v="1"/>
    <s v="No"/>
    <s v="Taylor"/>
    <x v="0"/>
    <n v="8"/>
    <s v="Almond Milk"/>
    <x v="0"/>
  </r>
  <r>
    <x v="550"/>
    <x v="4"/>
    <x v="5"/>
    <x v="2"/>
    <x v="0"/>
    <x v="0"/>
    <n v="4.4400000000000004"/>
    <x v="1"/>
    <s v="No"/>
    <s v="Jamie"/>
    <x v="0"/>
    <n v="2"/>
    <s v="No Sugar"/>
    <x v="4"/>
  </r>
  <r>
    <x v="551"/>
    <x v="6"/>
    <x v="0"/>
    <x v="3"/>
    <x v="0"/>
    <x v="1"/>
    <n v="6.25"/>
    <x v="1"/>
    <s v="No"/>
    <s v="Jordan"/>
    <x v="2"/>
    <n v="5"/>
    <s v="Double Espresso"/>
    <x v="1"/>
  </r>
  <r>
    <x v="552"/>
    <x v="0"/>
    <x v="8"/>
    <x v="4"/>
    <x v="6"/>
    <x v="0"/>
    <n v="5.92"/>
    <x v="0"/>
    <s v="No"/>
    <s v="Jordan"/>
    <x v="1"/>
    <n v="7"/>
    <s v="Extra Shot"/>
    <x v="2"/>
  </r>
  <r>
    <x v="553"/>
    <x v="0"/>
    <x v="4"/>
    <x v="0"/>
    <x v="5"/>
    <x v="2"/>
    <n v="4.05"/>
    <x v="2"/>
    <s v="Yes"/>
    <s v="Taylor"/>
    <x v="0"/>
    <n v="7"/>
    <s v="Oat Milk"/>
    <x v="4"/>
  </r>
  <r>
    <x v="554"/>
    <x v="1"/>
    <x v="1"/>
    <x v="0"/>
    <x v="1"/>
    <x v="0"/>
    <n v="4.34"/>
    <x v="1"/>
    <s v="Yes"/>
    <s v="Chris"/>
    <x v="1"/>
    <n v="3"/>
    <s v="Oat Milk"/>
    <x v="3"/>
  </r>
  <r>
    <x v="555"/>
    <x v="3"/>
    <x v="8"/>
    <x v="0"/>
    <x v="5"/>
    <x v="0"/>
    <n v="6.03"/>
    <x v="2"/>
    <s v="No"/>
    <s v="Jordan"/>
    <x v="1"/>
    <n v="7"/>
    <s v="No Sugar"/>
    <x v="4"/>
  </r>
  <r>
    <x v="556"/>
    <x v="0"/>
    <x v="1"/>
    <x v="4"/>
    <x v="0"/>
    <x v="0"/>
    <n v="3.76"/>
    <x v="0"/>
    <s v="No"/>
    <s v="Taylor"/>
    <x v="0"/>
    <n v="4"/>
    <s v="Decaf"/>
    <x v="0"/>
  </r>
  <r>
    <x v="557"/>
    <x v="2"/>
    <x v="2"/>
    <x v="2"/>
    <x v="5"/>
    <x v="2"/>
    <n v="6.66"/>
    <x v="1"/>
    <s v="No"/>
    <s v="Chris"/>
    <x v="2"/>
    <n v="7"/>
    <s v="Double Espresso"/>
    <x v="2"/>
  </r>
  <r>
    <x v="558"/>
    <x v="6"/>
    <x v="9"/>
    <x v="4"/>
    <x v="4"/>
    <x v="2"/>
    <n v="6.88"/>
    <x v="0"/>
    <s v="Yes"/>
    <s v="Jamie"/>
    <x v="2"/>
    <n v="5"/>
    <s v="Double Espresso"/>
    <x v="1"/>
  </r>
  <r>
    <x v="559"/>
    <x v="3"/>
    <x v="6"/>
    <x v="0"/>
    <x v="2"/>
    <x v="2"/>
    <n v="6.93"/>
    <x v="2"/>
    <s v="Yes"/>
    <s v="Jamie"/>
    <x v="0"/>
    <n v="5"/>
    <s v="Extra Shot"/>
    <x v="3"/>
  </r>
  <r>
    <x v="560"/>
    <x v="2"/>
    <x v="4"/>
    <x v="3"/>
    <x v="6"/>
    <x v="1"/>
    <n v="4.66"/>
    <x v="1"/>
    <s v="Yes"/>
    <s v="Jamie"/>
    <x v="2"/>
    <n v="10"/>
    <s v="Double Espresso"/>
    <x v="4"/>
  </r>
  <r>
    <x v="561"/>
    <x v="3"/>
    <x v="9"/>
    <x v="4"/>
    <x v="5"/>
    <x v="1"/>
    <n v="6.21"/>
    <x v="0"/>
    <s v="No"/>
    <s v="Chris"/>
    <x v="1"/>
    <n v="5"/>
    <s v="No Sugar"/>
    <x v="0"/>
  </r>
  <r>
    <x v="562"/>
    <x v="1"/>
    <x v="1"/>
    <x v="1"/>
    <x v="1"/>
    <x v="2"/>
    <n v="5.32"/>
    <x v="2"/>
    <s v="No"/>
    <s v="Taylor"/>
    <x v="1"/>
    <n v="3"/>
    <s v="Whipped Cream"/>
    <x v="0"/>
  </r>
  <r>
    <x v="563"/>
    <x v="3"/>
    <x v="8"/>
    <x v="3"/>
    <x v="1"/>
    <x v="0"/>
    <n v="4.8600000000000003"/>
    <x v="1"/>
    <s v="Yes"/>
    <s v="Jamie"/>
    <x v="0"/>
    <n v="9"/>
    <s v="Decaf"/>
    <x v="0"/>
  </r>
  <r>
    <x v="564"/>
    <x v="6"/>
    <x v="1"/>
    <x v="3"/>
    <x v="6"/>
    <x v="2"/>
    <n v="5.6"/>
    <x v="0"/>
    <s v="No"/>
    <s v="Jordan"/>
    <x v="2"/>
    <n v="3"/>
    <s v="Oat Milk"/>
    <x v="2"/>
  </r>
  <r>
    <x v="565"/>
    <x v="4"/>
    <x v="6"/>
    <x v="4"/>
    <x v="5"/>
    <x v="0"/>
    <n v="5.85"/>
    <x v="0"/>
    <s v="No"/>
    <s v="Jordan"/>
    <x v="2"/>
    <n v="8"/>
    <s v="Extra Shot"/>
    <x v="4"/>
  </r>
  <r>
    <x v="566"/>
    <x v="2"/>
    <x v="6"/>
    <x v="1"/>
    <x v="4"/>
    <x v="2"/>
    <n v="6.79"/>
    <x v="2"/>
    <s v="No"/>
    <s v="Alex"/>
    <x v="0"/>
    <n v="2"/>
    <s v="Oat Milk"/>
    <x v="2"/>
  </r>
  <r>
    <x v="567"/>
    <x v="5"/>
    <x v="5"/>
    <x v="2"/>
    <x v="4"/>
    <x v="1"/>
    <n v="5.92"/>
    <x v="1"/>
    <s v="Yes"/>
    <s v="Maria"/>
    <x v="0"/>
    <n v="4"/>
    <s v="Whipped Cream"/>
    <x v="1"/>
  </r>
  <r>
    <x v="568"/>
    <x v="0"/>
    <x v="3"/>
    <x v="2"/>
    <x v="3"/>
    <x v="0"/>
    <n v="3.38"/>
    <x v="0"/>
    <s v="No"/>
    <s v="Jamie"/>
    <x v="1"/>
    <n v="9"/>
    <s v="Extra Shot"/>
    <x v="2"/>
  </r>
  <r>
    <x v="569"/>
    <x v="5"/>
    <x v="6"/>
    <x v="1"/>
    <x v="5"/>
    <x v="1"/>
    <n v="6.52"/>
    <x v="0"/>
    <s v="Yes"/>
    <s v="Maria"/>
    <x v="1"/>
    <n v="8"/>
    <s v="Extra Shot"/>
    <x v="1"/>
  </r>
  <r>
    <x v="235"/>
    <x v="1"/>
    <x v="5"/>
    <x v="0"/>
    <x v="1"/>
    <x v="0"/>
    <n v="5.0999999999999996"/>
    <x v="2"/>
    <s v="Yes"/>
    <s v="Taylor"/>
    <x v="2"/>
    <n v="7"/>
    <s v="Almond Milk"/>
    <x v="1"/>
  </r>
  <r>
    <x v="570"/>
    <x v="0"/>
    <x v="7"/>
    <x v="2"/>
    <x v="3"/>
    <x v="1"/>
    <n v="4.2300000000000004"/>
    <x v="1"/>
    <s v="No"/>
    <s v="Alex"/>
    <x v="2"/>
    <n v="5"/>
    <s v="Oat Milk"/>
    <x v="0"/>
  </r>
  <r>
    <x v="571"/>
    <x v="0"/>
    <x v="7"/>
    <x v="4"/>
    <x v="0"/>
    <x v="2"/>
    <n v="6.65"/>
    <x v="1"/>
    <s v="No"/>
    <s v="Taylor"/>
    <x v="2"/>
    <n v="9"/>
    <s v="Oat Milk"/>
    <x v="1"/>
  </r>
  <r>
    <x v="572"/>
    <x v="4"/>
    <x v="3"/>
    <x v="3"/>
    <x v="0"/>
    <x v="2"/>
    <n v="6.55"/>
    <x v="2"/>
    <s v="No"/>
    <s v="Chris"/>
    <x v="2"/>
    <n v="7"/>
    <s v="Oat Milk"/>
    <x v="1"/>
  </r>
  <r>
    <x v="573"/>
    <x v="5"/>
    <x v="1"/>
    <x v="2"/>
    <x v="6"/>
    <x v="0"/>
    <n v="5.41"/>
    <x v="1"/>
    <s v="No"/>
    <s v="Jamie"/>
    <x v="0"/>
    <n v="10"/>
    <s v="Whipped Cream"/>
    <x v="4"/>
  </r>
  <r>
    <x v="574"/>
    <x v="1"/>
    <x v="5"/>
    <x v="3"/>
    <x v="0"/>
    <x v="1"/>
    <n v="3.98"/>
    <x v="2"/>
    <s v="Yes"/>
    <s v="Jamie"/>
    <x v="2"/>
    <n v="8"/>
    <s v="Almond Milk"/>
    <x v="2"/>
  </r>
  <r>
    <x v="575"/>
    <x v="0"/>
    <x v="3"/>
    <x v="3"/>
    <x v="0"/>
    <x v="2"/>
    <n v="3.36"/>
    <x v="1"/>
    <s v="No"/>
    <s v="Taylor"/>
    <x v="0"/>
    <n v="10"/>
    <s v="Double Espresso"/>
    <x v="4"/>
  </r>
  <r>
    <x v="576"/>
    <x v="1"/>
    <x v="2"/>
    <x v="4"/>
    <x v="2"/>
    <x v="1"/>
    <n v="6.05"/>
    <x v="0"/>
    <s v="No"/>
    <s v="Jamie"/>
    <x v="1"/>
    <n v="8"/>
    <s v="Almond Milk"/>
    <x v="4"/>
  </r>
  <r>
    <x v="577"/>
    <x v="0"/>
    <x v="5"/>
    <x v="3"/>
    <x v="6"/>
    <x v="2"/>
    <n v="4.5599999999999996"/>
    <x v="0"/>
    <s v="No"/>
    <s v="Jordan"/>
    <x v="0"/>
    <n v="2"/>
    <s v="Double Espresso"/>
    <x v="3"/>
  </r>
  <r>
    <x v="578"/>
    <x v="3"/>
    <x v="5"/>
    <x v="3"/>
    <x v="5"/>
    <x v="2"/>
    <n v="5.17"/>
    <x v="1"/>
    <s v="No"/>
    <s v="Jordan"/>
    <x v="2"/>
    <n v="10"/>
    <s v="Almond Milk"/>
    <x v="3"/>
  </r>
  <r>
    <x v="579"/>
    <x v="4"/>
    <x v="9"/>
    <x v="4"/>
    <x v="4"/>
    <x v="0"/>
    <n v="6.29"/>
    <x v="1"/>
    <s v="No"/>
    <s v="Jordan"/>
    <x v="0"/>
    <n v="10"/>
    <s v="Whipped Cream"/>
    <x v="1"/>
  </r>
  <r>
    <x v="580"/>
    <x v="4"/>
    <x v="4"/>
    <x v="1"/>
    <x v="0"/>
    <x v="1"/>
    <n v="6.8"/>
    <x v="2"/>
    <s v="No"/>
    <s v="Alex"/>
    <x v="0"/>
    <n v="5"/>
    <s v="Decaf"/>
    <x v="1"/>
  </r>
  <r>
    <x v="581"/>
    <x v="5"/>
    <x v="0"/>
    <x v="2"/>
    <x v="6"/>
    <x v="0"/>
    <n v="6.6"/>
    <x v="2"/>
    <s v="No"/>
    <s v="Alex"/>
    <x v="2"/>
    <n v="7"/>
    <s v="Extra Shot"/>
    <x v="4"/>
  </r>
  <r>
    <x v="582"/>
    <x v="6"/>
    <x v="8"/>
    <x v="0"/>
    <x v="0"/>
    <x v="0"/>
    <n v="3.57"/>
    <x v="2"/>
    <s v="No"/>
    <s v="Jamie"/>
    <x v="0"/>
    <n v="6"/>
    <s v="Extra Shot"/>
    <x v="2"/>
  </r>
  <r>
    <x v="583"/>
    <x v="6"/>
    <x v="4"/>
    <x v="0"/>
    <x v="6"/>
    <x v="1"/>
    <n v="6.37"/>
    <x v="2"/>
    <s v="No"/>
    <s v="Chris"/>
    <x v="0"/>
    <n v="2"/>
    <s v="Oat Milk"/>
    <x v="4"/>
  </r>
  <r>
    <x v="584"/>
    <x v="0"/>
    <x v="3"/>
    <x v="1"/>
    <x v="0"/>
    <x v="2"/>
    <n v="3.46"/>
    <x v="2"/>
    <s v="No"/>
    <s v="Alex"/>
    <x v="2"/>
    <n v="10"/>
    <s v="No Sugar"/>
    <x v="1"/>
  </r>
  <r>
    <x v="585"/>
    <x v="4"/>
    <x v="6"/>
    <x v="0"/>
    <x v="3"/>
    <x v="2"/>
    <n v="4.1500000000000004"/>
    <x v="1"/>
    <s v="No"/>
    <s v="Alex"/>
    <x v="2"/>
    <n v="8"/>
    <s v="Whipped Cream"/>
    <x v="1"/>
  </r>
  <r>
    <x v="586"/>
    <x v="4"/>
    <x v="7"/>
    <x v="0"/>
    <x v="2"/>
    <x v="0"/>
    <n v="5.07"/>
    <x v="2"/>
    <s v="No"/>
    <s v="Jamie"/>
    <x v="2"/>
    <n v="3"/>
    <s v="Extra Shot"/>
    <x v="3"/>
  </r>
  <r>
    <x v="587"/>
    <x v="6"/>
    <x v="1"/>
    <x v="2"/>
    <x v="2"/>
    <x v="1"/>
    <n v="5.46"/>
    <x v="0"/>
    <s v="Yes"/>
    <s v="Jamie"/>
    <x v="0"/>
    <n v="2"/>
    <s v="Oat Milk"/>
    <x v="0"/>
  </r>
  <r>
    <x v="588"/>
    <x v="1"/>
    <x v="2"/>
    <x v="1"/>
    <x v="5"/>
    <x v="1"/>
    <n v="3.18"/>
    <x v="2"/>
    <s v="Yes"/>
    <s v="Chris"/>
    <x v="1"/>
    <n v="4"/>
    <s v="No Sugar"/>
    <x v="4"/>
  </r>
  <r>
    <x v="589"/>
    <x v="3"/>
    <x v="4"/>
    <x v="0"/>
    <x v="2"/>
    <x v="1"/>
    <n v="5.0199999999999996"/>
    <x v="2"/>
    <s v="Yes"/>
    <s v="Jordan"/>
    <x v="2"/>
    <n v="7"/>
    <s v="Oat Milk"/>
    <x v="4"/>
  </r>
  <r>
    <x v="590"/>
    <x v="0"/>
    <x v="3"/>
    <x v="1"/>
    <x v="4"/>
    <x v="2"/>
    <n v="4.1500000000000004"/>
    <x v="2"/>
    <s v="Yes"/>
    <s v="Taylor"/>
    <x v="1"/>
    <n v="2"/>
    <s v="Almond Milk"/>
    <x v="3"/>
  </r>
  <r>
    <x v="591"/>
    <x v="6"/>
    <x v="7"/>
    <x v="3"/>
    <x v="5"/>
    <x v="0"/>
    <n v="5.9"/>
    <x v="0"/>
    <s v="No"/>
    <s v="Alex"/>
    <x v="2"/>
    <n v="3"/>
    <s v="Oat Milk"/>
    <x v="1"/>
  </r>
  <r>
    <x v="334"/>
    <x v="0"/>
    <x v="4"/>
    <x v="2"/>
    <x v="1"/>
    <x v="1"/>
    <n v="6.07"/>
    <x v="2"/>
    <s v="Yes"/>
    <s v="Jordan"/>
    <x v="2"/>
    <n v="10"/>
    <s v="Almond Milk"/>
    <x v="3"/>
  </r>
  <r>
    <x v="592"/>
    <x v="3"/>
    <x v="3"/>
    <x v="3"/>
    <x v="5"/>
    <x v="1"/>
    <n v="4.13"/>
    <x v="1"/>
    <s v="No"/>
    <s v="Jamie"/>
    <x v="0"/>
    <n v="5"/>
    <s v="Oat Milk"/>
    <x v="4"/>
  </r>
  <r>
    <x v="593"/>
    <x v="5"/>
    <x v="8"/>
    <x v="0"/>
    <x v="6"/>
    <x v="0"/>
    <n v="4.82"/>
    <x v="0"/>
    <s v="Yes"/>
    <s v="Maria"/>
    <x v="1"/>
    <n v="4"/>
    <s v="Decaf"/>
    <x v="2"/>
  </r>
  <r>
    <x v="594"/>
    <x v="0"/>
    <x v="8"/>
    <x v="2"/>
    <x v="6"/>
    <x v="1"/>
    <n v="3.58"/>
    <x v="0"/>
    <s v="No"/>
    <s v="Jordan"/>
    <x v="0"/>
    <n v="5"/>
    <s v="Decaf"/>
    <x v="1"/>
  </r>
  <r>
    <x v="595"/>
    <x v="6"/>
    <x v="8"/>
    <x v="0"/>
    <x v="6"/>
    <x v="1"/>
    <n v="4.84"/>
    <x v="0"/>
    <s v="No"/>
    <s v="Jamie"/>
    <x v="1"/>
    <n v="7"/>
    <s v="No Sugar"/>
    <x v="2"/>
  </r>
  <r>
    <x v="596"/>
    <x v="3"/>
    <x v="1"/>
    <x v="3"/>
    <x v="2"/>
    <x v="0"/>
    <n v="3.87"/>
    <x v="2"/>
    <s v="Yes"/>
    <s v="Jordan"/>
    <x v="0"/>
    <n v="7"/>
    <s v="Decaf"/>
    <x v="0"/>
  </r>
  <r>
    <x v="597"/>
    <x v="6"/>
    <x v="9"/>
    <x v="4"/>
    <x v="2"/>
    <x v="1"/>
    <n v="3.57"/>
    <x v="2"/>
    <s v="No"/>
    <s v="Chris"/>
    <x v="0"/>
    <n v="8"/>
    <s v="Almond Milk"/>
    <x v="1"/>
  </r>
  <r>
    <x v="441"/>
    <x v="3"/>
    <x v="7"/>
    <x v="1"/>
    <x v="5"/>
    <x v="1"/>
    <n v="6.75"/>
    <x v="0"/>
    <s v="Yes"/>
    <s v="Jamie"/>
    <x v="2"/>
    <n v="5"/>
    <s v="Decaf"/>
    <x v="0"/>
  </r>
  <r>
    <x v="598"/>
    <x v="3"/>
    <x v="6"/>
    <x v="3"/>
    <x v="1"/>
    <x v="0"/>
    <n v="5.56"/>
    <x v="1"/>
    <s v="Yes"/>
    <s v="Maria"/>
    <x v="1"/>
    <n v="7"/>
    <s v="Decaf"/>
    <x v="1"/>
  </r>
  <r>
    <x v="599"/>
    <x v="6"/>
    <x v="1"/>
    <x v="0"/>
    <x v="3"/>
    <x v="2"/>
    <n v="6.73"/>
    <x v="1"/>
    <s v="Yes"/>
    <s v="Jordan"/>
    <x v="2"/>
    <n v="3"/>
    <s v="Almond Milk"/>
    <x v="3"/>
  </r>
  <r>
    <x v="600"/>
    <x v="0"/>
    <x v="4"/>
    <x v="2"/>
    <x v="3"/>
    <x v="1"/>
    <n v="3.81"/>
    <x v="2"/>
    <s v="Yes"/>
    <s v="Chris"/>
    <x v="2"/>
    <n v="7"/>
    <s v="Double Espresso"/>
    <x v="2"/>
  </r>
  <r>
    <x v="601"/>
    <x v="5"/>
    <x v="3"/>
    <x v="4"/>
    <x v="5"/>
    <x v="0"/>
    <n v="4.16"/>
    <x v="2"/>
    <s v="Yes"/>
    <s v="Maria"/>
    <x v="2"/>
    <n v="8"/>
    <s v="Almond Milk"/>
    <x v="0"/>
  </r>
  <r>
    <x v="602"/>
    <x v="0"/>
    <x v="9"/>
    <x v="3"/>
    <x v="4"/>
    <x v="2"/>
    <n v="4.88"/>
    <x v="0"/>
    <s v="Yes"/>
    <s v="Alex"/>
    <x v="0"/>
    <n v="4"/>
    <s v="Decaf"/>
    <x v="3"/>
  </r>
  <r>
    <x v="603"/>
    <x v="1"/>
    <x v="1"/>
    <x v="0"/>
    <x v="6"/>
    <x v="1"/>
    <n v="4.91"/>
    <x v="2"/>
    <s v="No"/>
    <s v="Jamie"/>
    <x v="0"/>
    <n v="4"/>
    <s v="Decaf"/>
    <x v="3"/>
  </r>
  <r>
    <x v="604"/>
    <x v="4"/>
    <x v="0"/>
    <x v="4"/>
    <x v="0"/>
    <x v="1"/>
    <n v="3.28"/>
    <x v="2"/>
    <s v="No"/>
    <s v="Jordan"/>
    <x v="1"/>
    <n v="4"/>
    <s v="Almond Milk"/>
    <x v="1"/>
  </r>
  <r>
    <x v="605"/>
    <x v="4"/>
    <x v="8"/>
    <x v="2"/>
    <x v="3"/>
    <x v="2"/>
    <n v="6.93"/>
    <x v="0"/>
    <s v="Yes"/>
    <s v="Taylor"/>
    <x v="0"/>
    <n v="8"/>
    <s v="Extra Shot"/>
    <x v="2"/>
  </r>
  <r>
    <x v="606"/>
    <x v="6"/>
    <x v="2"/>
    <x v="4"/>
    <x v="4"/>
    <x v="0"/>
    <n v="4.96"/>
    <x v="2"/>
    <s v="Yes"/>
    <s v="Jordan"/>
    <x v="2"/>
    <n v="6"/>
    <s v="No Sugar"/>
    <x v="4"/>
  </r>
  <r>
    <x v="607"/>
    <x v="4"/>
    <x v="8"/>
    <x v="4"/>
    <x v="5"/>
    <x v="2"/>
    <n v="4.83"/>
    <x v="2"/>
    <s v="No"/>
    <s v="Taylor"/>
    <x v="2"/>
    <n v="4"/>
    <s v="Whipped Cream"/>
    <x v="0"/>
  </r>
  <r>
    <x v="608"/>
    <x v="0"/>
    <x v="0"/>
    <x v="4"/>
    <x v="6"/>
    <x v="0"/>
    <n v="6.62"/>
    <x v="0"/>
    <s v="No"/>
    <s v="Alex"/>
    <x v="0"/>
    <n v="6"/>
    <s v="Oat Milk"/>
    <x v="4"/>
  </r>
  <r>
    <x v="368"/>
    <x v="1"/>
    <x v="7"/>
    <x v="0"/>
    <x v="6"/>
    <x v="2"/>
    <n v="4.37"/>
    <x v="0"/>
    <s v="No"/>
    <s v="Taylor"/>
    <x v="2"/>
    <n v="9"/>
    <s v="No Sugar"/>
    <x v="2"/>
  </r>
  <r>
    <x v="609"/>
    <x v="4"/>
    <x v="3"/>
    <x v="2"/>
    <x v="1"/>
    <x v="2"/>
    <n v="6.65"/>
    <x v="1"/>
    <s v="Yes"/>
    <s v="Alex"/>
    <x v="2"/>
    <n v="3"/>
    <s v="Extra Shot"/>
    <x v="3"/>
  </r>
  <r>
    <x v="610"/>
    <x v="5"/>
    <x v="5"/>
    <x v="3"/>
    <x v="1"/>
    <x v="0"/>
    <n v="6.12"/>
    <x v="2"/>
    <s v="Yes"/>
    <s v="Jordan"/>
    <x v="2"/>
    <n v="7"/>
    <s v="Whipped Cream"/>
    <x v="0"/>
  </r>
  <r>
    <x v="611"/>
    <x v="4"/>
    <x v="0"/>
    <x v="0"/>
    <x v="5"/>
    <x v="1"/>
    <n v="6.14"/>
    <x v="2"/>
    <s v="Yes"/>
    <s v="Alex"/>
    <x v="0"/>
    <n v="4"/>
    <s v="Extra Shot"/>
    <x v="3"/>
  </r>
  <r>
    <x v="612"/>
    <x v="5"/>
    <x v="5"/>
    <x v="0"/>
    <x v="1"/>
    <x v="2"/>
    <n v="3.93"/>
    <x v="2"/>
    <s v="Yes"/>
    <s v="Jamie"/>
    <x v="1"/>
    <n v="10"/>
    <s v="Extra Shot"/>
    <x v="4"/>
  </r>
  <r>
    <x v="613"/>
    <x v="6"/>
    <x v="3"/>
    <x v="1"/>
    <x v="6"/>
    <x v="1"/>
    <n v="5.93"/>
    <x v="1"/>
    <s v="Yes"/>
    <s v="Jamie"/>
    <x v="2"/>
    <n v="10"/>
    <s v="Almond Milk"/>
    <x v="3"/>
  </r>
  <r>
    <x v="614"/>
    <x v="5"/>
    <x v="2"/>
    <x v="1"/>
    <x v="4"/>
    <x v="2"/>
    <n v="6.89"/>
    <x v="1"/>
    <s v="Yes"/>
    <s v="Jordan"/>
    <x v="2"/>
    <n v="5"/>
    <s v="Extra Shot"/>
    <x v="2"/>
  </r>
  <r>
    <x v="615"/>
    <x v="1"/>
    <x v="2"/>
    <x v="0"/>
    <x v="5"/>
    <x v="2"/>
    <n v="4.1900000000000004"/>
    <x v="0"/>
    <s v="No"/>
    <s v="Maria"/>
    <x v="1"/>
    <n v="6"/>
    <s v="Whipped Cream"/>
    <x v="2"/>
  </r>
  <r>
    <x v="616"/>
    <x v="2"/>
    <x v="7"/>
    <x v="4"/>
    <x v="3"/>
    <x v="0"/>
    <n v="3.26"/>
    <x v="2"/>
    <s v="No"/>
    <s v="Chris"/>
    <x v="0"/>
    <n v="2"/>
    <s v="Double Espresso"/>
    <x v="4"/>
  </r>
  <r>
    <x v="617"/>
    <x v="4"/>
    <x v="3"/>
    <x v="2"/>
    <x v="3"/>
    <x v="2"/>
    <n v="6.09"/>
    <x v="0"/>
    <s v="Yes"/>
    <s v="Taylor"/>
    <x v="1"/>
    <n v="7"/>
    <s v="Decaf"/>
    <x v="2"/>
  </r>
  <r>
    <x v="618"/>
    <x v="2"/>
    <x v="3"/>
    <x v="0"/>
    <x v="3"/>
    <x v="1"/>
    <n v="4.25"/>
    <x v="1"/>
    <s v="Yes"/>
    <s v="Maria"/>
    <x v="0"/>
    <n v="4"/>
    <s v="Almond Milk"/>
    <x v="2"/>
  </r>
  <r>
    <x v="438"/>
    <x v="6"/>
    <x v="3"/>
    <x v="0"/>
    <x v="6"/>
    <x v="1"/>
    <n v="4.8099999999999996"/>
    <x v="2"/>
    <s v="No"/>
    <s v="Jamie"/>
    <x v="2"/>
    <n v="4"/>
    <s v="Whipped Cream"/>
    <x v="2"/>
  </r>
  <r>
    <x v="619"/>
    <x v="6"/>
    <x v="1"/>
    <x v="4"/>
    <x v="0"/>
    <x v="1"/>
    <n v="6.17"/>
    <x v="1"/>
    <s v="Yes"/>
    <s v="Maria"/>
    <x v="0"/>
    <n v="4"/>
    <s v="Extra Shot"/>
    <x v="3"/>
  </r>
  <r>
    <x v="620"/>
    <x v="0"/>
    <x v="3"/>
    <x v="4"/>
    <x v="3"/>
    <x v="0"/>
    <n v="3.09"/>
    <x v="0"/>
    <s v="Yes"/>
    <s v="Chris"/>
    <x v="0"/>
    <n v="6"/>
    <s v="Extra Shot"/>
    <x v="1"/>
  </r>
  <r>
    <x v="621"/>
    <x v="0"/>
    <x v="3"/>
    <x v="0"/>
    <x v="1"/>
    <x v="0"/>
    <n v="4.95"/>
    <x v="1"/>
    <s v="Yes"/>
    <s v="Chris"/>
    <x v="2"/>
    <n v="3"/>
    <s v="No Sugar"/>
    <x v="4"/>
  </r>
  <r>
    <x v="622"/>
    <x v="5"/>
    <x v="1"/>
    <x v="3"/>
    <x v="6"/>
    <x v="0"/>
    <n v="4.67"/>
    <x v="2"/>
    <s v="No"/>
    <s v="Jordan"/>
    <x v="2"/>
    <n v="7"/>
    <s v="Oat Milk"/>
    <x v="2"/>
  </r>
  <r>
    <x v="623"/>
    <x v="3"/>
    <x v="9"/>
    <x v="2"/>
    <x v="4"/>
    <x v="0"/>
    <n v="5.12"/>
    <x v="0"/>
    <s v="No"/>
    <s v="Jordan"/>
    <x v="2"/>
    <n v="7"/>
    <s v="Double Espresso"/>
    <x v="4"/>
  </r>
  <r>
    <x v="624"/>
    <x v="4"/>
    <x v="3"/>
    <x v="0"/>
    <x v="2"/>
    <x v="0"/>
    <n v="6.78"/>
    <x v="1"/>
    <s v="Yes"/>
    <s v="Chris"/>
    <x v="0"/>
    <n v="9"/>
    <s v="Whipped Cream"/>
    <x v="2"/>
  </r>
  <r>
    <x v="625"/>
    <x v="4"/>
    <x v="0"/>
    <x v="4"/>
    <x v="5"/>
    <x v="0"/>
    <n v="6.61"/>
    <x v="0"/>
    <s v="Yes"/>
    <s v="Jordan"/>
    <x v="0"/>
    <n v="5"/>
    <s v="Whipped Cream"/>
    <x v="1"/>
  </r>
  <r>
    <x v="626"/>
    <x v="0"/>
    <x v="3"/>
    <x v="2"/>
    <x v="3"/>
    <x v="2"/>
    <n v="6.52"/>
    <x v="0"/>
    <s v="Yes"/>
    <s v="Taylor"/>
    <x v="1"/>
    <n v="3"/>
    <s v="Double Espresso"/>
    <x v="4"/>
  </r>
  <r>
    <x v="627"/>
    <x v="0"/>
    <x v="6"/>
    <x v="0"/>
    <x v="6"/>
    <x v="0"/>
    <n v="6.17"/>
    <x v="0"/>
    <s v="Yes"/>
    <s v="Chris"/>
    <x v="2"/>
    <n v="9"/>
    <s v="Extra Shot"/>
    <x v="1"/>
  </r>
  <r>
    <x v="628"/>
    <x v="3"/>
    <x v="8"/>
    <x v="3"/>
    <x v="6"/>
    <x v="2"/>
    <n v="3.58"/>
    <x v="0"/>
    <s v="No"/>
    <s v="Jamie"/>
    <x v="1"/>
    <n v="10"/>
    <s v="Extra Shot"/>
    <x v="1"/>
  </r>
  <r>
    <x v="629"/>
    <x v="4"/>
    <x v="0"/>
    <x v="2"/>
    <x v="3"/>
    <x v="2"/>
    <n v="3.24"/>
    <x v="2"/>
    <s v="No"/>
    <s v="Maria"/>
    <x v="1"/>
    <n v="8"/>
    <s v="Oat Milk"/>
    <x v="3"/>
  </r>
  <r>
    <x v="630"/>
    <x v="2"/>
    <x v="2"/>
    <x v="4"/>
    <x v="0"/>
    <x v="0"/>
    <n v="5.61"/>
    <x v="0"/>
    <s v="Yes"/>
    <s v="Chris"/>
    <x v="1"/>
    <n v="4"/>
    <s v="Decaf"/>
    <x v="4"/>
  </r>
  <r>
    <x v="631"/>
    <x v="4"/>
    <x v="0"/>
    <x v="4"/>
    <x v="0"/>
    <x v="1"/>
    <n v="4.82"/>
    <x v="2"/>
    <s v="No"/>
    <s v="Chris"/>
    <x v="2"/>
    <n v="4"/>
    <s v="No Sugar"/>
    <x v="3"/>
  </r>
  <r>
    <x v="632"/>
    <x v="4"/>
    <x v="8"/>
    <x v="0"/>
    <x v="3"/>
    <x v="0"/>
    <n v="4.26"/>
    <x v="1"/>
    <s v="No"/>
    <s v="Taylor"/>
    <x v="2"/>
    <n v="8"/>
    <s v="Oat Milk"/>
    <x v="2"/>
  </r>
  <r>
    <x v="633"/>
    <x v="6"/>
    <x v="8"/>
    <x v="2"/>
    <x v="5"/>
    <x v="1"/>
    <n v="4.3"/>
    <x v="1"/>
    <s v="Yes"/>
    <s v="Taylor"/>
    <x v="2"/>
    <n v="4"/>
    <s v="Decaf"/>
    <x v="3"/>
  </r>
  <r>
    <x v="634"/>
    <x v="0"/>
    <x v="1"/>
    <x v="2"/>
    <x v="4"/>
    <x v="0"/>
    <n v="6.76"/>
    <x v="2"/>
    <s v="Yes"/>
    <s v="Chris"/>
    <x v="1"/>
    <n v="7"/>
    <s v="Almond Milk"/>
    <x v="4"/>
  </r>
  <r>
    <x v="635"/>
    <x v="1"/>
    <x v="5"/>
    <x v="0"/>
    <x v="4"/>
    <x v="0"/>
    <n v="5.0999999999999996"/>
    <x v="1"/>
    <s v="No"/>
    <s v="Jordan"/>
    <x v="2"/>
    <n v="10"/>
    <s v="Whipped Cream"/>
    <x v="3"/>
  </r>
  <r>
    <x v="636"/>
    <x v="6"/>
    <x v="3"/>
    <x v="2"/>
    <x v="1"/>
    <x v="1"/>
    <n v="3.91"/>
    <x v="2"/>
    <s v="Yes"/>
    <s v="Alex"/>
    <x v="0"/>
    <n v="5"/>
    <s v="Decaf"/>
    <x v="3"/>
  </r>
  <r>
    <x v="637"/>
    <x v="0"/>
    <x v="2"/>
    <x v="1"/>
    <x v="4"/>
    <x v="1"/>
    <n v="4.29"/>
    <x v="1"/>
    <s v="No"/>
    <s v="Alex"/>
    <x v="0"/>
    <n v="6"/>
    <s v="Decaf"/>
    <x v="3"/>
  </r>
  <r>
    <x v="638"/>
    <x v="3"/>
    <x v="9"/>
    <x v="2"/>
    <x v="0"/>
    <x v="0"/>
    <n v="5.36"/>
    <x v="2"/>
    <s v="Yes"/>
    <s v="Taylor"/>
    <x v="1"/>
    <n v="2"/>
    <s v="No Sugar"/>
    <x v="3"/>
  </r>
  <r>
    <x v="639"/>
    <x v="5"/>
    <x v="8"/>
    <x v="1"/>
    <x v="6"/>
    <x v="0"/>
    <n v="3.61"/>
    <x v="2"/>
    <s v="No"/>
    <s v="Chris"/>
    <x v="0"/>
    <n v="7"/>
    <s v="Double Espresso"/>
    <x v="4"/>
  </r>
  <r>
    <x v="640"/>
    <x v="5"/>
    <x v="2"/>
    <x v="3"/>
    <x v="3"/>
    <x v="1"/>
    <n v="3.78"/>
    <x v="0"/>
    <s v="No"/>
    <s v="Alex"/>
    <x v="0"/>
    <n v="6"/>
    <s v="Decaf"/>
    <x v="3"/>
  </r>
  <r>
    <x v="641"/>
    <x v="0"/>
    <x v="7"/>
    <x v="0"/>
    <x v="2"/>
    <x v="0"/>
    <n v="3.45"/>
    <x v="0"/>
    <s v="Yes"/>
    <s v="Jordan"/>
    <x v="2"/>
    <n v="5"/>
    <s v="Whipped Cream"/>
    <x v="0"/>
  </r>
  <r>
    <x v="642"/>
    <x v="2"/>
    <x v="6"/>
    <x v="1"/>
    <x v="4"/>
    <x v="1"/>
    <n v="4.4400000000000004"/>
    <x v="2"/>
    <s v="Yes"/>
    <s v="Taylor"/>
    <x v="1"/>
    <n v="5"/>
    <s v="Double Espresso"/>
    <x v="3"/>
  </r>
  <r>
    <x v="643"/>
    <x v="2"/>
    <x v="2"/>
    <x v="1"/>
    <x v="1"/>
    <x v="1"/>
    <n v="3.83"/>
    <x v="1"/>
    <s v="No"/>
    <s v="Jordan"/>
    <x v="1"/>
    <n v="9"/>
    <s v="Decaf"/>
    <x v="0"/>
  </r>
  <r>
    <x v="644"/>
    <x v="1"/>
    <x v="3"/>
    <x v="3"/>
    <x v="4"/>
    <x v="1"/>
    <n v="6.18"/>
    <x v="1"/>
    <s v="Yes"/>
    <s v="Alex"/>
    <x v="0"/>
    <n v="3"/>
    <s v="Almond Milk"/>
    <x v="3"/>
  </r>
  <r>
    <x v="645"/>
    <x v="5"/>
    <x v="4"/>
    <x v="2"/>
    <x v="3"/>
    <x v="1"/>
    <n v="4.53"/>
    <x v="1"/>
    <s v="Yes"/>
    <s v="Alex"/>
    <x v="2"/>
    <n v="7"/>
    <s v="Extra Shot"/>
    <x v="1"/>
  </r>
  <r>
    <x v="646"/>
    <x v="4"/>
    <x v="8"/>
    <x v="4"/>
    <x v="6"/>
    <x v="2"/>
    <n v="3.09"/>
    <x v="2"/>
    <s v="Yes"/>
    <s v="Chris"/>
    <x v="2"/>
    <n v="6"/>
    <s v="Decaf"/>
    <x v="1"/>
  </r>
  <r>
    <x v="647"/>
    <x v="4"/>
    <x v="4"/>
    <x v="0"/>
    <x v="2"/>
    <x v="0"/>
    <n v="3.45"/>
    <x v="1"/>
    <s v="Yes"/>
    <s v="Jamie"/>
    <x v="0"/>
    <n v="10"/>
    <s v="No Sugar"/>
    <x v="2"/>
  </r>
  <r>
    <x v="648"/>
    <x v="0"/>
    <x v="0"/>
    <x v="2"/>
    <x v="5"/>
    <x v="2"/>
    <n v="3.61"/>
    <x v="2"/>
    <s v="No"/>
    <s v="Jordan"/>
    <x v="1"/>
    <n v="2"/>
    <s v="Almond Milk"/>
    <x v="4"/>
  </r>
  <r>
    <x v="649"/>
    <x v="6"/>
    <x v="3"/>
    <x v="1"/>
    <x v="0"/>
    <x v="2"/>
    <n v="6.59"/>
    <x v="1"/>
    <s v="Yes"/>
    <s v="Chris"/>
    <x v="0"/>
    <n v="6"/>
    <s v="Oat Milk"/>
    <x v="4"/>
  </r>
  <r>
    <x v="650"/>
    <x v="3"/>
    <x v="6"/>
    <x v="4"/>
    <x v="1"/>
    <x v="0"/>
    <n v="3.94"/>
    <x v="0"/>
    <s v="Yes"/>
    <s v="Jordan"/>
    <x v="2"/>
    <n v="8"/>
    <s v="Double Espresso"/>
    <x v="4"/>
  </r>
  <r>
    <x v="651"/>
    <x v="1"/>
    <x v="4"/>
    <x v="4"/>
    <x v="0"/>
    <x v="2"/>
    <n v="4.47"/>
    <x v="0"/>
    <s v="Yes"/>
    <s v="Chris"/>
    <x v="0"/>
    <n v="7"/>
    <s v="Oat Milk"/>
    <x v="0"/>
  </r>
  <r>
    <x v="652"/>
    <x v="4"/>
    <x v="8"/>
    <x v="4"/>
    <x v="6"/>
    <x v="0"/>
    <n v="5.32"/>
    <x v="0"/>
    <s v="No"/>
    <s v="Chris"/>
    <x v="1"/>
    <n v="4"/>
    <s v="Whipped Cream"/>
    <x v="4"/>
  </r>
  <r>
    <x v="653"/>
    <x v="3"/>
    <x v="9"/>
    <x v="0"/>
    <x v="0"/>
    <x v="2"/>
    <n v="4.01"/>
    <x v="2"/>
    <s v="No"/>
    <s v="Chris"/>
    <x v="0"/>
    <n v="9"/>
    <s v="Decaf"/>
    <x v="0"/>
  </r>
  <r>
    <x v="654"/>
    <x v="6"/>
    <x v="1"/>
    <x v="2"/>
    <x v="3"/>
    <x v="2"/>
    <n v="6.67"/>
    <x v="1"/>
    <s v="Yes"/>
    <s v="Taylor"/>
    <x v="1"/>
    <n v="10"/>
    <s v="Oat Milk"/>
    <x v="1"/>
  </r>
  <r>
    <x v="655"/>
    <x v="6"/>
    <x v="0"/>
    <x v="1"/>
    <x v="1"/>
    <x v="2"/>
    <n v="4.59"/>
    <x v="0"/>
    <s v="Yes"/>
    <s v="Taylor"/>
    <x v="0"/>
    <n v="2"/>
    <s v="Double Espresso"/>
    <x v="3"/>
  </r>
  <r>
    <x v="656"/>
    <x v="5"/>
    <x v="6"/>
    <x v="3"/>
    <x v="5"/>
    <x v="0"/>
    <n v="5.96"/>
    <x v="1"/>
    <s v="No"/>
    <s v="Jamie"/>
    <x v="2"/>
    <n v="7"/>
    <s v="Oat Milk"/>
    <x v="2"/>
  </r>
  <r>
    <x v="657"/>
    <x v="4"/>
    <x v="9"/>
    <x v="0"/>
    <x v="2"/>
    <x v="2"/>
    <n v="4.4000000000000004"/>
    <x v="0"/>
    <s v="Yes"/>
    <s v="Maria"/>
    <x v="0"/>
    <n v="9"/>
    <s v="Extra Shot"/>
    <x v="1"/>
  </r>
  <r>
    <x v="658"/>
    <x v="2"/>
    <x v="7"/>
    <x v="2"/>
    <x v="6"/>
    <x v="0"/>
    <n v="6.66"/>
    <x v="1"/>
    <s v="No"/>
    <s v="Maria"/>
    <x v="1"/>
    <n v="6"/>
    <s v="Whipped Cream"/>
    <x v="1"/>
  </r>
  <r>
    <x v="659"/>
    <x v="4"/>
    <x v="5"/>
    <x v="1"/>
    <x v="0"/>
    <x v="0"/>
    <n v="3.12"/>
    <x v="2"/>
    <s v="Yes"/>
    <s v="Maria"/>
    <x v="0"/>
    <n v="3"/>
    <s v="Almond Milk"/>
    <x v="2"/>
  </r>
  <r>
    <x v="660"/>
    <x v="0"/>
    <x v="5"/>
    <x v="4"/>
    <x v="5"/>
    <x v="1"/>
    <n v="3.04"/>
    <x v="1"/>
    <s v="No"/>
    <s v="Chris"/>
    <x v="1"/>
    <n v="7"/>
    <s v="Extra Shot"/>
    <x v="2"/>
  </r>
  <r>
    <x v="661"/>
    <x v="6"/>
    <x v="0"/>
    <x v="0"/>
    <x v="5"/>
    <x v="2"/>
    <n v="5.37"/>
    <x v="1"/>
    <s v="No"/>
    <s v="Alex"/>
    <x v="1"/>
    <n v="7"/>
    <s v="No Sugar"/>
    <x v="3"/>
  </r>
  <r>
    <x v="662"/>
    <x v="2"/>
    <x v="3"/>
    <x v="0"/>
    <x v="1"/>
    <x v="2"/>
    <n v="6.08"/>
    <x v="0"/>
    <s v="No"/>
    <s v="Jordan"/>
    <x v="1"/>
    <n v="2"/>
    <s v="Decaf"/>
    <x v="3"/>
  </r>
  <r>
    <x v="663"/>
    <x v="4"/>
    <x v="5"/>
    <x v="4"/>
    <x v="4"/>
    <x v="0"/>
    <n v="3.33"/>
    <x v="1"/>
    <s v="Yes"/>
    <s v="Jamie"/>
    <x v="1"/>
    <n v="7"/>
    <s v="Extra Shot"/>
    <x v="0"/>
  </r>
  <r>
    <x v="664"/>
    <x v="4"/>
    <x v="4"/>
    <x v="4"/>
    <x v="4"/>
    <x v="2"/>
    <n v="6.42"/>
    <x v="2"/>
    <s v="No"/>
    <s v="Alex"/>
    <x v="2"/>
    <n v="4"/>
    <s v="Double Espresso"/>
    <x v="3"/>
  </r>
  <r>
    <x v="665"/>
    <x v="0"/>
    <x v="3"/>
    <x v="3"/>
    <x v="2"/>
    <x v="1"/>
    <n v="4.0999999999999996"/>
    <x v="1"/>
    <s v="No"/>
    <s v="Taylor"/>
    <x v="0"/>
    <n v="2"/>
    <s v="No Sugar"/>
    <x v="0"/>
  </r>
  <r>
    <x v="666"/>
    <x v="4"/>
    <x v="7"/>
    <x v="1"/>
    <x v="6"/>
    <x v="1"/>
    <n v="6.41"/>
    <x v="2"/>
    <s v="No"/>
    <s v="Taylor"/>
    <x v="1"/>
    <n v="8"/>
    <s v="Almond Milk"/>
    <x v="1"/>
  </r>
  <r>
    <x v="667"/>
    <x v="4"/>
    <x v="5"/>
    <x v="0"/>
    <x v="6"/>
    <x v="0"/>
    <n v="3.02"/>
    <x v="1"/>
    <s v="Yes"/>
    <s v="Jamie"/>
    <x v="2"/>
    <n v="6"/>
    <s v="Extra Shot"/>
    <x v="1"/>
  </r>
  <r>
    <x v="668"/>
    <x v="1"/>
    <x v="0"/>
    <x v="0"/>
    <x v="2"/>
    <x v="2"/>
    <n v="4.78"/>
    <x v="1"/>
    <s v="Yes"/>
    <s v="Alex"/>
    <x v="2"/>
    <n v="4"/>
    <s v="Extra Shot"/>
    <x v="0"/>
  </r>
  <r>
    <x v="669"/>
    <x v="5"/>
    <x v="3"/>
    <x v="4"/>
    <x v="1"/>
    <x v="2"/>
    <n v="4.72"/>
    <x v="1"/>
    <s v="No"/>
    <s v="Jordan"/>
    <x v="0"/>
    <n v="3"/>
    <s v="Decaf"/>
    <x v="4"/>
  </r>
  <r>
    <x v="670"/>
    <x v="0"/>
    <x v="9"/>
    <x v="0"/>
    <x v="0"/>
    <x v="0"/>
    <n v="3.35"/>
    <x v="1"/>
    <s v="No"/>
    <s v="Jamie"/>
    <x v="1"/>
    <n v="10"/>
    <s v="Extra Shot"/>
    <x v="1"/>
  </r>
  <r>
    <x v="671"/>
    <x v="4"/>
    <x v="1"/>
    <x v="3"/>
    <x v="2"/>
    <x v="2"/>
    <n v="3.79"/>
    <x v="1"/>
    <s v="No"/>
    <s v="Taylor"/>
    <x v="1"/>
    <n v="9"/>
    <s v="Almond Milk"/>
    <x v="1"/>
  </r>
  <r>
    <x v="672"/>
    <x v="5"/>
    <x v="5"/>
    <x v="2"/>
    <x v="2"/>
    <x v="0"/>
    <n v="3.59"/>
    <x v="2"/>
    <s v="No"/>
    <s v="Alex"/>
    <x v="1"/>
    <n v="2"/>
    <s v="Double Espresso"/>
    <x v="3"/>
  </r>
  <r>
    <x v="673"/>
    <x v="4"/>
    <x v="6"/>
    <x v="3"/>
    <x v="0"/>
    <x v="1"/>
    <n v="6.52"/>
    <x v="2"/>
    <s v="No"/>
    <s v="Maria"/>
    <x v="1"/>
    <n v="5"/>
    <s v="Extra Shot"/>
    <x v="4"/>
  </r>
  <r>
    <x v="674"/>
    <x v="0"/>
    <x v="2"/>
    <x v="1"/>
    <x v="6"/>
    <x v="2"/>
    <n v="5.53"/>
    <x v="1"/>
    <s v="Yes"/>
    <s v="Maria"/>
    <x v="0"/>
    <n v="4"/>
    <s v="Whipped Cream"/>
    <x v="0"/>
  </r>
  <r>
    <x v="675"/>
    <x v="5"/>
    <x v="5"/>
    <x v="3"/>
    <x v="0"/>
    <x v="2"/>
    <n v="3.66"/>
    <x v="1"/>
    <s v="No"/>
    <s v="Jordan"/>
    <x v="1"/>
    <n v="5"/>
    <s v="Whipped Cream"/>
    <x v="2"/>
  </r>
  <r>
    <x v="676"/>
    <x v="6"/>
    <x v="9"/>
    <x v="4"/>
    <x v="1"/>
    <x v="1"/>
    <n v="3.11"/>
    <x v="1"/>
    <s v="No"/>
    <s v="Jamie"/>
    <x v="1"/>
    <n v="5"/>
    <s v="Oat Milk"/>
    <x v="1"/>
  </r>
  <r>
    <x v="677"/>
    <x v="0"/>
    <x v="7"/>
    <x v="0"/>
    <x v="5"/>
    <x v="2"/>
    <n v="3.63"/>
    <x v="1"/>
    <s v="No"/>
    <s v="Jamie"/>
    <x v="2"/>
    <n v="8"/>
    <s v="Double Espresso"/>
    <x v="3"/>
  </r>
  <r>
    <x v="678"/>
    <x v="6"/>
    <x v="7"/>
    <x v="1"/>
    <x v="1"/>
    <x v="2"/>
    <n v="3.16"/>
    <x v="0"/>
    <s v="No"/>
    <s v="Chris"/>
    <x v="1"/>
    <n v="7"/>
    <s v="No Sugar"/>
    <x v="0"/>
  </r>
  <r>
    <x v="679"/>
    <x v="5"/>
    <x v="6"/>
    <x v="0"/>
    <x v="4"/>
    <x v="1"/>
    <n v="4.54"/>
    <x v="1"/>
    <s v="Yes"/>
    <s v="Jamie"/>
    <x v="1"/>
    <n v="3"/>
    <s v="Oat Milk"/>
    <x v="4"/>
  </r>
  <r>
    <x v="680"/>
    <x v="4"/>
    <x v="7"/>
    <x v="3"/>
    <x v="5"/>
    <x v="0"/>
    <n v="4.01"/>
    <x v="0"/>
    <s v="No"/>
    <s v="Chris"/>
    <x v="0"/>
    <n v="10"/>
    <s v="Extra Shot"/>
    <x v="2"/>
  </r>
  <r>
    <x v="681"/>
    <x v="0"/>
    <x v="8"/>
    <x v="1"/>
    <x v="4"/>
    <x v="0"/>
    <n v="4.3899999999999997"/>
    <x v="0"/>
    <s v="Yes"/>
    <s v="Chris"/>
    <x v="0"/>
    <n v="8"/>
    <s v="No Sugar"/>
    <x v="2"/>
  </r>
  <r>
    <x v="682"/>
    <x v="5"/>
    <x v="2"/>
    <x v="3"/>
    <x v="1"/>
    <x v="0"/>
    <n v="6.21"/>
    <x v="1"/>
    <s v="No"/>
    <s v="Maria"/>
    <x v="0"/>
    <n v="7"/>
    <s v="Oat Milk"/>
    <x v="0"/>
  </r>
  <r>
    <x v="683"/>
    <x v="4"/>
    <x v="2"/>
    <x v="0"/>
    <x v="4"/>
    <x v="2"/>
    <n v="3.69"/>
    <x v="1"/>
    <s v="No"/>
    <s v="Jordan"/>
    <x v="2"/>
    <n v="5"/>
    <s v="Double Espresso"/>
    <x v="2"/>
  </r>
  <r>
    <x v="684"/>
    <x v="5"/>
    <x v="3"/>
    <x v="1"/>
    <x v="6"/>
    <x v="1"/>
    <n v="5.87"/>
    <x v="1"/>
    <s v="No"/>
    <s v="Taylor"/>
    <x v="1"/>
    <n v="4"/>
    <s v="No Sugar"/>
    <x v="0"/>
  </r>
  <r>
    <x v="685"/>
    <x v="4"/>
    <x v="5"/>
    <x v="3"/>
    <x v="6"/>
    <x v="0"/>
    <n v="3.27"/>
    <x v="0"/>
    <s v="No"/>
    <s v="Jamie"/>
    <x v="0"/>
    <n v="6"/>
    <s v="Double Espresso"/>
    <x v="0"/>
  </r>
  <r>
    <x v="686"/>
    <x v="6"/>
    <x v="6"/>
    <x v="0"/>
    <x v="5"/>
    <x v="1"/>
    <n v="5.38"/>
    <x v="0"/>
    <s v="No"/>
    <s v="Jamie"/>
    <x v="1"/>
    <n v="3"/>
    <s v="Extra Shot"/>
    <x v="1"/>
  </r>
  <r>
    <x v="687"/>
    <x v="4"/>
    <x v="4"/>
    <x v="2"/>
    <x v="3"/>
    <x v="0"/>
    <n v="5.19"/>
    <x v="0"/>
    <s v="Yes"/>
    <s v="Alex"/>
    <x v="0"/>
    <n v="8"/>
    <s v="Extra Shot"/>
    <x v="3"/>
  </r>
  <r>
    <x v="688"/>
    <x v="0"/>
    <x v="0"/>
    <x v="2"/>
    <x v="0"/>
    <x v="1"/>
    <n v="6.91"/>
    <x v="1"/>
    <s v="No"/>
    <s v="Chris"/>
    <x v="1"/>
    <n v="5"/>
    <s v="Extra Shot"/>
    <x v="1"/>
  </r>
  <r>
    <x v="689"/>
    <x v="5"/>
    <x v="0"/>
    <x v="4"/>
    <x v="4"/>
    <x v="1"/>
    <n v="6.36"/>
    <x v="2"/>
    <s v="Yes"/>
    <s v="Taylor"/>
    <x v="0"/>
    <n v="7"/>
    <s v="Whipped Cream"/>
    <x v="1"/>
  </r>
  <r>
    <x v="690"/>
    <x v="5"/>
    <x v="9"/>
    <x v="3"/>
    <x v="4"/>
    <x v="0"/>
    <n v="6.82"/>
    <x v="2"/>
    <s v="No"/>
    <s v="Jamie"/>
    <x v="2"/>
    <n v="3"/>
    <s v="Extra Shot"/>
    <x v="4"/>
  </r>
  <r>
    <x v="691"/>
    <x v="3"/>
    <x v="3"/>
    <x v="1"/>
    <x v="2"/>
    <x v="0"/>
    <n v="4.12"/>
    <x v="2"/>
    <s v="Yes"/>
    <s v="Jordan"/>
    <x v="1"/>
    <n v="8"/>
    <s v="Double Espresso"/>
    <x v="0"/>
  </r>
  <r>
    <x v="692"/>
    <x v="6"/>
    <x v="3"/>
    <x v="1"/>
    <x v="0"/>
    <x v="0"/>
    <n v="4.63"/>
    <x v="0"/>
    <s v="No"/>
    <s v="Maria"/>
    <x v="0"/>
    <n v="8"/>
    <s v="Whipped Cream"/>
    <x v="0"/>
  </r>
  <r>
    <x v="693"/>
    <x v="1"/>
    <x v="4"/>
    <x v="4"/>
    <x v="2"/>
    <x v="2"/>
    <n v="4.97"/>
    <x v="1"/>
    <s v="No"/>
    <s v="Chris"/>
    <x v="2"/>
    <n v="9"/>
    <s v="Double Espresso"/>
    <x v="0"/>
  </r>
  <r>
    <x v="361"/>
    <x v="6"/>
    <x v="3"/>
    <x v="1"/>
    <x v="3"/>
    <x v="0"/>
    <n v="5.81"/>
    <x v="1"/>
    <s v="No"/>
    <s v="Maria"/>
    <x v="1"/>
    <n v="5"/>
    <s v="Extra Shot"/>
    <x v="2"/>
  </r>
  <r>
    <x v="694"/>
    <x v="1"/>
    <x v="6"/>
    <x v="4"/>
    <x v="2"/>
    <x v="1"/>
    <n v="5.4"/>
    <x v="0"/>
    <s v="Yes"/>
    <s v="Jordan"/>
    <x v="0"/>
    <n v="5"/>
    <s v="Oat Milk"/>
    <x v="3"/>
  </r>
  <r>
    <x v="695"/>
    <x v="0"/>
    <x v="4"/>
    <x v="3"/>
    <x v="3"/>
    <x v="1"/>
    <n v="4.5199999999999996"/>
    <x v="0"/>
    <s v="No"/>
    <s v="Jordan"/>
    <x v="1"/>
    <n v="8"/>
    <s v="Almond Milk"/>
    <x v="4"/>
  </r>
  <r>
    <x v="696"/>
    <x v="2"/>
    <x v="2"/>
    <x v="4"/>
    <x v="3"/>
    <x v="1"/>
    <n v="3.63"/>
    <x v="2"/>
    <s v="Yes"/>
    <s v="Alex"/>
    <x v="1"/>
    <n v="7"/>
    <s v="Almond Milk"/>
    <x v="1"/>
  </r>
  <r>
    <x v="671"/>
    <x v="4"/>
    <x v="1"/>
    <x v="3"/>
    <x v="5"/>
    <x v="2"/>
    <n v="3.2"/>
    <x v="2"/>
    <s v="No"/>
    <s v="Jamie"/>
    <x v="2"/>
    <n v="6"/>
    <s v="Extra Shot"/>
    <x v="4"/>
  </r>
  <r>
    <x v="697"/>
    <x v="2"/>
    <x v="1"/>
    <x v="0"/>
    <x v="3"/>
    <x v="0"/>
    <n v="5.08"/>
    <x v="2"/>
    <s v="Yes"/>
    <s v="Taylor"/>
    <x v="2"/>
    <n v="4"/>
    <s v="No Sugar"/>
    <x v="0"/>
  </r>
  <r>
    <x v="698"/>
    <x v="0"/>
    <x v="9"/>
    <x v="1"/>
    <x v="2"/>
    <x v="0"/>
    <n v="6.23"/>
    <x v="2"/>
    <s v="Yes"/>
    <s v="Alex"/>
    <x v="2"/>
    <n v="6"/>
    <s v="Whipped Cream"/>
    <x v="1"/>
  </r>
  <r>
    <x v="699"/>
    <x v="4"/>
    <x v="3"/>
    <x v="4"/>
    <x v="5"/>
    <x v="0"/>
    <n v="3.61"/>
    <x v="2"/>
    <s v="Yes"/>
    <s v="Alex"/>
    <x v="1"/>
    <n v="4"/>
    <s v="Whipped Cream"/>
    <x v="2"/>
  </r>
  <r>
    <x v="700"/>
    <x v="4"/>
    <x v="4"/>
    <x v="3"/>
    <x v="0"/>
    <x v="1"/>
    <n v="3.54"/>
    <x v="2"/>
    <s v="No"/>
    <s v="Maria"/>
    <x v="2"/>
    <n v="5"/>
    <s v="Whipped Cream"/>
    <x v="0"/>
  </r>
  <r>
    <x v="701"/>
    <x v="6"/>
    <x v="0"/>
    <x v="4"/>
    <x v="6"/>
    <x v="0"/>
    <n v="4.82"/>
    <x v="1"/>
    <s v="Yes"/>
    <s v="Jordan"/>
    <x v="2"/>
    <n v="4"/>
    <s v="Oat Milk"/>
    <x v="0"/>
  </r>
  <r>
    <x v="702"/>
    <x v="1"/>
    <x v="5"/>
    <x v="1"/>
    <x v="0"/>
    <x v="1"/>
    <n v="4.84"/>
    <x v="0"/>
    <s v="No"/>
    <s v="Taylor"/>
    <x v="0"/>
    <n v="8"/>
    <s v="Double Espresso"/>
    <x v="4"/>
  </r>
  <r>
    <x v="703"/>
    <x v="4"/>
    <x v="7"/>
    <x v="3"/>
    <x v="4"/>
    <x v="2"/>
    <n v="6.35"/>
    <x v="0"/>
    <s v="No"/>
    <s v="Taylor"/>
    <x v="1"/>
    <n v="4"/>
    <s v="Double Espresso"/>
    <x v="4"/>
  </r>
  <r>
    <x v="704"/>
    <x v="5"/>
    <x v="4"/>
    <x v="2"/>
    <x v="4"/>
    <x v="1"/>
    <n v="6.37"/>
    <x v="2"/>
    <s v="No"/>
    <s v="Jamie"/>
    <x v="1"/>
    <n v="6"/>
    <s v="No Sugar"/>
    <x v="3"/>
  </r>
  <r>
    <x v="705"/>
    <x v="1"/>
    <x v="2"/>
    <x v="2"/>
    <x v="2"/>
    <x v="1"/>
    <n v="6.1"/>
    <x v="2"/>
    <s v="No"/>
    <s v="Taylor"/>
    <x v="0"/>
    <n v="4"/>
    <s v="Oat Milk"/>
    <x v="2"/>
  </r>
  <r>
    <x v="564"/>
    <x v="6"/>
    <x v="1"/>
    <x v="1"/>
    <x v="6"/>
    <x v="1"/>
    <n v="4.95"/>
    <x v="0"/>
    <s v="No"/>
    <s v="Chris"/>
    <x v="2"/>
    <n v="9"/>
    <s v="Extra Shot"/>
    <x v="4"/>
  </r>
  <r>
    <x v="706"/>
    <x v="4"/>
    <x v="2"/>
    <x v="2"/>
    <x v="3"/>
    <x v="1"/>
    <n v="3.21"/>
    <x v="0"/>
    <s v="No"/>
    <s v="Jordan"/>
    <x v="1"/>
    <n v="3"/>
    <s v="Double Espresso"/>
    <x v="2"/>
  </r>
  <r>
    <x v="707"/>
    <x v="1"/>
    <x v="7"/>
    <x v="0"/>
    <x v="0"/>
    <x v="1"/>
    <n v="3.27"/>
    <x v="0"/>
    <s v="Yes"/>
    <s v="Chris"/>
    <x v="0"/>
    <n v="4"/>
    <s v="Almond Milk"/>
    <x v="3"/>
  </r>
  <r>
    <x v="708"/>
    <x v="5"/>
    <x v="7"/>
    <x v="2"/>
    <x v="0"/>
    <x v="2"/>
    <n v="3.87"/>
    <x v="1"/>
    <s v="No"/>
    <s v="Alex"/>
    <x v="1"/>
    <n v="8"/>
    <s v="No Sugar"/>
    <x v="0"/>
  </r>
  <r>
    <x v="709"/>
    <x v="0"/>
    <x v="0"/>
    <x v="4"/>
    <x v="3"/>
    <x v="0"/>
    <n v="6.2"/>
    <x v="1"/>
    <s v="Yes"/>
    <s v="Jamie"/>
    <x v="1"/>
    <n v="8"/>
    <s v="Whipped Cream"/>
    <x v="0"/>
  </r>
  <r>
    <x v="710"/>
    <x v="0"/>
    <x v="7"/>
    <x v="3"/>
    <x v="4"/>
    <x v="0"/>
    <n v="6.99"/>
    <x v="2"/>
    <s v="No"/>
    <s v="Chris"/>
    <x v="0"/>
    <n v="9"/>
    <s v="Oat Milk"/>
    <x v="2"/>
  </r>
  <r>
    <x v="711"/>
    <x v="5"/>
    <x v="2"/>
    <x v="3"/>
    <x v="6"/>
    <x v="1"/>
    <n v="4.58"/>
    <x v="2"/>
    <s v="Yes"/>
    <s v="Chris"/>
    <x v="2"/>
    <n v="4"/>
    <s v="Extra Shot"/>
    <x v="4"/>
  </r>
  <r>
    <x v="712"/>
    <x v="5"/>
    <x v="9"/>
    <x v="1"/>
    <x v="6"/>
    <x v="2"/>
    <n v="5.27"/>
    <x v="2"/>
    <s v="Yes"/>
    <s v="Alex"/>
    <x v="2"/>
    <n v="2"/>
    <s v="No Sugar"/>
    <x v="4"/>
  </r>
  <r>
    <x v="713"/>
    <x v="1"/>
    <x v="2"/>
    <x v="1"/>
    <x v="5"/>
    <x v="1"/>
    <n v="3.46"/>
    <x v="1"/>
    <s v="No"/>
    <s v="Chris"/>
    <x v="0"/>
    <n v="7"/>
    <s v="Whipped Cream"/>
    <x v="4"/>
  </r>
  <r>
    <x v="714"/>
    <x v="4"/>
    <x v="6"/>
    <x v="3"/>
    <x v="4"/>
    <x v="2"/>
    <n v="4.32"/>
    <x v="1"/>
    <s v="No"/>
    <s v="Taylor"/>
    <x v="2"/>
    <n v="10"/>
    <s v="Oat Milk"/>
    <x v="2"/>
  </r>
  <r>
    <x v="715"/>
    <x v="1"/>
    <x v="2"/>
    <x v="2"/>
    <x v="6"/>
    <x v="1"/>
    <n v="4.09"/>
    <x v="1"/>
    <s v="No"/>
    <s v="Jamie"/>
    <x v="0"/>
    <n v="8"/>
    <s v="Almond Milk"/>
    <x v="0"/>
  </r>
  <r>
    <x v="716"/>
    <x v="2"/>
    <x v="6"/>
    <x v="1"/>
    <x v="4"/>
    <x v="0"/>
    <n v="6.38"/>
    <x v="2"/>
    <s v="Yes"/>
    <s v="Jamie"/>
    <x v="2"/>
    <n v="3"/>
    <s v="Oat Milk"/>
    <x v="0"/>
  </r>
  <r>
    <x v="717"/>
    <x v="4"/>
    <x v="9"/>
    <x v="0"/>
    <x v="6"/>
    <x v="2"/>
    <n v="4.32"/>
    <x v="2"/>
    <s v="Yes"/>
    <s v="Maria"/>
    <x v="0"/>
    <n v="9"/>
    <s v="Oat Milk"/>
    <x v="3"/>
  </r>
  <r>
    <x v="718"/>
    <x v="1"/>
    <x v="4"/>
    <x v="0"/>
    <x v="1"/>
    <x v="1"/>
    <n v="3.62"/>
    <x v="0"/>
    <s v="Yes"/>
    <s v="Chris"/>
    <x v="1"/>
    <n v="3"/>
    <s v="No Sugar"/>
    <x v="1"/>
  </r>
  <r>
    <x v="719"/>
    <x v="0"/>
    <x v="3"/>
    <x v="0"/>
    <x v="4"/>
    <x v="0"/>
    <n v="4.62"/>
    <x v="2"/>
    <s v="No"/>
    <s v="Maria"/>
    <x v="0"/>
    <n v="4"/>
    <s v="No Sugar"/>
    <x v="1"/>
  </r>
  <r>
    <x v="720"/>
    <x v="5"/>
    <x v="0"/>
    <x v="2"/>
    <x v="0"/>
    <x v="0"/>
    <n v="3.33"/>
    <x v="1"/>
    <s v="Yes"/>
    <s v="Maria"/>
    <x v="0"/>
    <n v="8"/>
    <s v="Decaf"/>
    <x v="3"/>
  </r>
  <r>
    <x v="721"/>
    <x v="0"/>
    <x v="1"/>
    <x v="2"/>
    <x v="6"/>
    <x v="0"/>
    <n v="3.13"/>
    <x v="0"/>
    <s v="No"/>
    <s v="Jordan"/>
    <x v="0"/>
    <n v="7"/>
    <s v="Oat Milk"/>
    <x v="0"/>
  </r>
  <r>
    <x v="722"/>
    <x v="4"/>
    <x v="1"/>
    <x v="4"/>
    <x v="3"/>
    <x v="0"/>
    <n v="3.16"/>
    <x v="1"/>
    <s v="Yes"/>
    <s v="Alex"/>
    <x v="0"/>
    <n v="2"/>
    <s v="Whipped Cream"/>
    <x v="1"/>
  </r>
  <r>
    <x v="723"/>
    <x v="1"/>
    <x v="9"/>
    <x v="0"/>
    <x v="0"/>
    <x v="1"/>
    <n v="5.37"/>
    <x v="1"/>
    <s v="Yes"/>
    <s v="Taylor"/>
    <x v="1"/>
    <n v="4"/>
    <s v="Almond Milk"/>
    <x v="4"/>
  </r>
  <r>
    <x v="724"/>
    <x v="5"/>
    <x v="6"/>
    <x v="3"/>
    <x v="0"/>
    <x v="1"/>
    <n v="5.43"/>
    <x v="1"/>
    <s v="No"/>
    <s v="Alex"/>
    <x v="1"/>
    <n v="7"/>
    <s v="Oat Milk"/>
    <x v="1"/>
  </r>
  <r>
    <x v="725"/>
    <x v="2"/>
    <x v="3"/>
    <x v="3"/>
    <x v="3"/>
    <x v="1"/>
    <n v="5.61"/>
    <x v="0"/>
    <s v="No"/>
    <s v="Maria"/>
    <x v="1"/>
    <n v="7"/>
    <s v="Extra Shot"/>
    <x v="1"/>
  </r>
  <r>
    <x v="726"/>
    <x v="0"/>
    <x v="1"/>
    <x v="2"/>
    <x v="0"/>
    <x v="2"/>
    <n v="6.5"/>
    <x v="2"/>
    <s v="Yes"/>
    <s v="Jamie"/>
    <x v="2"/>
    <n v="4"/>
    <s v="Oat Milk"/>
    <x v="3"/>
  </r>
  <r>
    <x v="727"/>
    <x v="2"/>
    <x v="8"/>
    <x v="4"/>
    <x v="4"/>
    <x v="0"/>
    <n v="5.87"/>
    <x v="0"/>
    <s v="No"/>
    <s v="Alex"/>
    <x v="0"/>
    <n v="10"/>
    <s v="Oat Milk"/>
    <x v="0"/>
  </r>
  <r>
    <x v="728"/>
    <x v="2"/>
    <x v="2"/>
    <x v="0"/>
    <x v="5"/>
    <x v="0"/>
    <n v="4.46"/>
    <x v="0"/>
    <s v="Yes"/>
    <s v="Chris"/>
    <x v="2"/>
    <n v="2"/>
    <s v="Almond Milk"/>
    <x v="2"/>
  </r>
  <r>
    <x v="729"/>
    <x v="6"/>
    <x v="3"/>
    <x v="0"/>
    <x v="1"/>
    <x v="2"/>
    <n v="6.45"/>
    <x v="0"/>
    <s v="Yes"/>
    <s v="Chris"/>
    <x v="0"/>
    <n v="8"/>
    <s v="Oat Milk"/>
    <x v="2"/>
  </r>
  <r>
    <x v="730"/>
    <x v="4"/>
    <x v="0"/>
    <x v="1"/>
    <x v="0"/>
    <x v="0"/>
    <n v="6.82"/>
    <x v="0"/>
    <s v="Yes"/>
    <s v="Jamie"/>
    <x v="1"/>
    <n v="4"/>
    <s v="Almond Milk"/>
    <x v="1"/>
  </r>
  <r>
    <x v="731"/>
    <x v="3"/>
    <x v="0"/>
    <x v="4"/>
    <x v="2"/>
    <x v="2"/>
    <n v="3.72"/>
    <x v="2"/>
    <s v="Yes"/>
    <s v="Jordan"/>
    <x v="1"/>
    <n v="7"/>
    <s v="Whipped Cream"/>
    <x v="0"/>
  </r>
  <r>
    <x v="732"/>
    <x v="1"/>
    <x v="4"/>
    <x v="0"/>
    <x v="1"/>
    <x v="2"/>
    <n v="3.81"/>
    <x v="2"/>
    <s v="No"/>
    <s v="Jordan"/>
    <x v="0"/>
    <n v="10"/>
    <s v="No Sugar"/>
    <x v="0"/>
  </r>
  <r>
    <x v="733"/>
    <x v="6"/>
    <x v="7"/>
    <x v="3"/>
    <x v="4"/>
    <x v="0"/>
    <n v="4.74"/>
    <x v="1"/>
    <s v="Yes"/>
    <s v="Jamie"/>
    <x v="0"/>
    <n v="10"/>
    <s v="No Sugar"/>
    <x v="0"/>
  </r>
  <r>
    <x v="62"/>
    <x v="4"/>
    <x v="3"/>
    <x v="4"/>
    <x v="3"/>
    <x v="0"/>
    <n v="4.63"/>
    <x v="1"/>
    <s v="Yes"/>
    <s v="Jamie"/>
    <x v="1"/>
    <n v="9"/>
    <s v="Double Espresso"/>
    <x v="0"/>
  </r>
  <r>
    <x v="734"/>
    <x v="3"/>
    <x v="8"/>
    <x v="3"/>
    <x v="2"/>
    <x v="1"/>
    <n v="4.0599999999999996"/>
    <x v="1"/>
    <s v="Yes"/>
    <s v="Maria"/>
    <x v="0"/>
    <n v="6"/>
    <s v="Decaf"/>
    <x v="2"/>
  </r>
  <r>
    <x v="735"/>
    <x v="0"/>
    <x v="2"/>
    <x v="1"/>
    <x v="1"/>
    <x v="1"/>
    <n v="3.96"/>
    <x v="2"/>
    <s v="No"/>
    <s v="Alex"/>
    <x v="2"/>
    <n v="6"/>
    <s v="Double Espresso"/>
    <x v="0"/>
  </r>
  <r>
    <x v="736"/>
    <x v="4"/>
    <x v="4"/>
    <x v="4"/>
    <x v="1"/>
    <x v="2"/>
    <n v="5.65"/>
    <x v="0"/>
    <s v="Yes"/>
    <s v="Taylor"/>
    <x v="0"/>
    <n v="10"/>
    <s v="No Sugar"/>
    <x v="3"/>
  </r>
  <r>
    <x v="737"/>
    <x v="6"/>
    <x v="9"/>
    <x v="4"/>
    <x v="2"/>
    <x v="2"/>
    <n v="5.62"/>
    <x v="2"/>
    <s v="No"/>
    <s v="Alex"/>
    <x v="1"/>
    <n v="5"/>
    <s v="Decaf"/>
    <x v="3"/>
  </r>
  <r>
    <x v="738"/>
    <x v="4"/>
    <x v="6"/>
    <x v="4"/>
    <x v="5"/>
    <x v="1"/>
    <n v="4.66"/>
    <x v="0"/>
    <s v="Yes"/>
    <s v="Jordan"/>
    <x v="2"/>
    <n v="7"/>
    <s v="Almond Milk"/>
    <x v="2"/>
  </r>
  <r>
    <x v="739"/>
    <x v="2"/>
    <x v="7"/>
    <x v="3"/>
    <x v="5"/>
    <x v="0"/>
    <n v="3.3"/>
    <x v="2"/>
    <s v="Yes"/>
    <s v="Alex"/>
    <x v="2"/>
    <n v="3"/>
    <s v="Whipped Cream"/>
    <x v="2"/>
  </r>
  <r>
    <x v="740"/>
    <x v="4"/>
    <x v="5"/>
    <x v="0"/>
    <x v="3"/>
    <x v="0"/>
    <n v="5"/>
    <x v="1"/>
    <s v="No"/>
    <s v="Taylor"/>
    <x v="2"/>
    <n v="9"/>
    <s v="Oat Milk"/>
    <x v="0"/>
  </r>
  <r>
    <x v="741"/>
    <x v="2"/>
    <x v="5"/>
    <x v="2"/>
    <x v="3"/>
    <x v="0"/>
    <n v="4.55"/>
    <x v="2"/>
    <s v="No"/>
    <s v="Jordan"/>
    <x v="2"/>
    <n v="3"/>
    <s v="Almond Milk"/>
    <x v="1"/>
  </r>
  <r>
    <x v="742"/>
    <x v="5"/>
    <x v="1"/>
    <x v="3"/>
    <x v="2"/>
    <x v="1"/>
    <n v="6.96"/>
    <x v="1"/>
    <s v="No"/>
    <s v="Alex"/>
    <x v="1"/>
    <n v="8"/>
    <s v="Whipped Cream"/>
    <x v="4"/>
  </r>
  <r>
    <x v="743"/>
    <x v="4"/>
    <x v="7"/>
    <x v="0"/>
    <x v="2"/>
    <x v="0"/>
    <n v="3.76"/>
    <x v="1"/>
    <s v="No"/>
    <s v="Taylor"/>
    <x v="0"/>
    <n v="3"/>
    <s v="Oat Milk"/>
    <x v="1"/>
  </r>
  <r>
    <x v="744"/>
    <x v="6"/>
    <x v="3"/>
    <x v="0"/>
    <x v="6"/>
    <x v="1"/>
    <n v="5.57"/>
    <x v="2"/>
    <s v="Yes"/>
    <s v="Alex"/>
    <x v="1"/>
    <n v="5"/>
    <s v="Almond Milk"/>
    <x v="0"/>
  </r>
  <r>
    <x v="745"/>
    <x v="1"/>
    <x v="8"/>
    <x v="4"/>
    <x v="6"/>
    <x v="2"/>
    <n v="6.35"/>
    <x v="0"/>
    <s v="No"/>
    <s v="Alex"/>
    <x v="2"/>
    <n v="3"/>
    <s v="Double Espresso"/>
    <x v="0"/>
  </r>
  <r>
    <x v="746"/>
    <x v="4"/>
    <x v="5"/>
    <x v="1"/>
    <x v="6"/>
    <x v="1"/>
    <n v="5.21"/>
    <x v="1"/>
    <s v="No"/>
    <s v="Alex"/>
    <x v="0"/>
    <n v="2"/>
    <s v="Whipped Cream"/>
    <x v="2"/>
  </r>
  <r>
    <x v="747"/>
    <x v="3"/>
    <x v="7"/>
    <x v="0"/>
    <x v="3"/>
    <x v="0"/>
    <n v="6.43"/>
    <x v="2"/>
    <s v="No"/>
    <s v="Jordan"/>
    <x v="2"/>
    <n v="6"/>
    <s v="Whipped Cream"/>
    <x v="4"/>
  </r>
  <r>
    <x v="748"/>
    <x v="4"/>
    <x v="6"/>
    <x v="0"/>
    <x v="0"/>
    <x v="2"/>
    <n v="4.46"/>
    <x v="0"/>
    <s v="No"/>
    <s v="Jordan"/>
    <x v="1"/>
    <n v="8"/>
    <s v="Almond Milk"/>
    <x v="3"/>
  </r>
  <r>
    <x v="749"/>
    <x v="4"/>
    <x v="8"/>
    <x v="2"/>
    <x v="1"/>
    <x v="0"/>
    <n v="6.73"/>
    <x v="1"/>
    <s v="Yes"/>
    <s v="Chris"/>
    <x v="2"/>
    <n v="3"/>
    <s v="No Sugar"/>
    <x v="2"/>
  </r>
  <r>
    <x v="750"/>
    <x v="1"/>
    <x v="5"/>
    <x v="3"/>
    <x v="2"/>
    <x v="2"/>
    <n v="6.2"/>
    <x v="2"/>
    <s v="Yes"/>
    <s v="Chris"/>
    <x v="1"/>
    <n v="10"/>
    <s v="Whipped Cream"/>
    <x v="0"/>
  </r>
  <r>
    <x v="751"/>
    <x v="0"/>
    <x v="5"/>
    <x v="3"/>
    <x v="4"/>
    <x v="2"/>
    <n v="5.18"/>
    <x v="1"/>
    <s v="No"/>
    <s v="Alex"/>
    <x v="1"/>
    <n v="2"/>
    <s v="No Sugar"/>
    <x v="4"/>
  </r>
  <r>
    <x v="33"/>
    <x v="4"/>
    <x v="8"/>
    <x v="2"/>
    <x v="2"/>
    <x v="0"/>
    <n v="3.38"/>
    <x v="1"/>
    <s v="Yes"/>
    <s v="Alex"/>
    <x v="1"/>
    <n v="2"/>
    <s v="Decaf"/>
    <x v="2"/>
  </r>
  <r>
    <x v="752"/>
    <x v="6"/>
    <x v="5"/>
    <x v="1"/>
    <x v="4"/>
    <x v="2"/>
    <n v="6.58"/>
    <x v="2"/>
    <s v="Yes"/>
    <s v="Chris"/>
    <x v="2"/>
    <n v="4"/>
    <s v="Oat Milk"/>
    <x v="0"/>
  </r>
  <r>
    <x v="753"/>
    <x v="2"/>
    <x v="5"/>
    <x v="2"/>
    <x v="6"/>
    <x v="0"/>
    <n v="5.91"/>
    <x v="2"/>
    <s v="Yes"/>
    <s v="Jordan"/>
    <x v="0"/>
    <n v="10"/>
    <s v="Extra Shot"/>
    <x v="4"/>
  </r>
  <r>
    <x v="754"/>
    <x v="0"/>
    <x v="7"/>
    <x v="4"/>
    <x v="4"/>
    <x v="2"/>
    <n v="6.11"/>
    <x v="2"/>
    <s v="No"/>
    <s v="Taylor"/>
    <x v="2"/>
    <n v="2"/>
    <s v="Decaf"/>
    <x v="1"/>
  </r>
  <r>
    <x v="755"/>
    <x v="5"/>
    <x v="9"/>
    <x v="3"/>
    <x v="3"/>
    <x v="1"/>
    <n v="3.54"/>
    <x v="1"/>
    <s v="No"/>
    <s v="Taylor"/>
    <x v="1"/>
    <n v="6"/>
    <s v="Extra Shot"/>
    <x v="0"/>
  </r>
  <r>
    <x v="756"/>
    <x v="6"/>
    <x v="5"/>
    <x v="0"/>
    <x v="3"/>
    <x v="2"/>
    <n v="5.42"/>
    <x v="2"/>
    <s v="Yes"/>
    <s v="Jamie"/>
    <x v="0"/>
    <n v="5"/>
    <s v="Oat Milk"/>
    <x v="2"/>
  </r>
  <r>
    <x v="757"/>
    <x v="2"/>
    <x v="0"/>
    <x v="3"/>
    <x v="0"/>
    <x v="2"/>
    <n v="4"/>
    <x v="1"/>
    <s v="Yes"/>
    <s v="Maria"/>
    <x v="2"/>
    <n v="2"/>
    <s v="Oat Milk"/>
    <x v="3"/>
  </r>
  <r>
    <x v="758"/>
    <x v="3"/>
    <x v="1"/>
    <x v="4"/>
    <x v="0"/>
    <x v="2"/>
    <n v="3.01"/>
    <x v="2"/>
    <s v="Yes"/>
    <s v="Jordan"/>
    <x v="2"/>
    <n v="8"/>
    <s v="Almond Milk"/>
    <x v="2"/>
  </r>
  <r>
    <x v="759"/>
    <x v="3"/>
    <x v="1"/>
    <x v="2"/>
    <x v="1"/>
    <x v="1"/>
    <n v="4.3"/>
    <x v="0"/>
    <s v="No"/>
    <s v="Jordan"/>
    <x v="0"/>
    <n v="6"/>
    <s v="Decaf"/>
    <x v="1"/>
  </r>
  <r>
    <x v="760"/>
    <x v="6"/>
    <x v="1"/>
    <x v="0"/>
    <x v="3"/>
    <x v="0"/>
    <n v="6.48"/>
    <x v="1"/>
    <s v="Yes"/>
    <s v="Jamie"/>
    <x v="1"/>
    <n v="6"/>
    <s v="Decaf"/>
    <x v="3"/>
  </r>
  <r>
    <x v="761"/>
    <x v="2"/>
    <x v="9"/>
    <x v="1"/>
    <x v="0"/>
    <x v="0"/>
    <n v="5.99"/>
    <x v="1"/>
    <s v="No"/>
    <s v="Maria"/>
    <x v="1"/>
    <n v="3"/>
    <s v="No Sugar"/>
    <x v="1"/>
  </r>
  <r>
    <x v="762"/>
    <x v="2"/>
    <x v="1"/>
    <x v="2"/>
    <x v="6"/>
    <x v="2"/>
    <n v="3.26"/>
    <x v="0"/>
    <s v="No"/>
    <s v="Chris"/>
    <x v="0"/>
    <n v="5"/>
    <s v="Decaf"/>
    <x v="1"/>
  </r>
  <r>
    <x v="642"/>
    <x v="2"/>
    <x v="6"/>
    <x v="0"/>
    <x v="6"/>
    <x v="1"/>
    <n v="3.64"/>
    <x v="2"/>
    <s v="No"/>
    <s v="Maria"/>
    <x v="2"/>
    <n v="5"/>
    <s v="Oat Milk"/>
    <x v="4"/>
  </r>
  <r>
    <x v="763"/>
    <x v="6"/>
    <x v="7"/>
    <x v="1"/>
    <x v="0"/>
    <x v="1"/>
    <n v="5.88"/>
    <x v="1"/>
    <s v="No"/>
    <s v="Jordan"/>
    <x v="2"/>
    <n v="6"/>
    <s v="Whipped Cream"/>
    <x v="0"/>
  </r>
  <r>
    <x v="764"/>
    <x v="1"/>
    <x v="9"/>
    <x v="2"/>
    <x v="4"/>
    <x v="0"/>
    <n v="3.96"/>
    <x v="0"/>
    <s v="No"/>
    <s v="Maria"/>
    <x v="0"/>
    <n v="10"/>
    <s v="Whipped Cream"/>
    <x v="0"/>
  </r>
  <r>
    <x v="765"/>
    <x v="5"/>
    <x v="7"/>
    <x v="1"/>
    <x v="5"/>
    <x v="1"/>
    <n v="6.91"/>
    <x v="2"/>
    <s v="Yes"/>
    <s v="Alex"/>
    <x v="1"/>
    <n v="10"/>
    <s v="Decaf"/>
    <x v="0"/>
  </r>
  <r>
    <x v="766"/>
    <x v="1"/>
    <x v="3"/>
    <x v="1"/>
    <x v="0"/>
    <x v="2"/>
    <n v="4.2300000000000004"/>
    <x v="0"/>
    <s v="No"/>
    <s v="Jordan"/>
    <x v="1"/>
    <n v="5"/>
    <s v="Oat Milk"/>
    <x v="4"/>
  </r>
  <r>
    <x v="767"/>
    <x v="3"/>
    <x v="0"/>
    <x v="3"/>
    <x v="3"/>
    <x v="0"/>
    <n v="4.5199999999999996"/>
    <x v="1"/>
    <s v="Yes"/>
    <s v="Maria"/>
    <x v="1"/>
    <n v="2"/>
    <s v="Whipped Cream"/>
    <x v="2"/>
  </r>
  <r>
    <x v="178"/>
    <x v="1"/>
    <x v="2"/>
    <x v="4"/>
    <x v="6"/>
    <x v="0"/>
    <n v="4.72"/>
    <x v="1"/>
    <s v="Yes"/>
    <s v="Jordan"/>
    <x v="2"/>
    <n v="3"/>
    <s v="Double Espresso"/>
    <x v="1"/>
  </r>
  <r>
    <x v="768"/>
    <x v="3"/>
    <x v="4"/>
    <x v="0"/>
    <x v="6"/>
    <x v="2"/>
    <n v="6.98"/>
    <x v="2"/>
    <s v="Yes"/>
    <s v="Jordan"/>
    <x v="0"/>
    <n v="9"/>
    <s v="Oat Milk"/>
    <x v="1"/>
  </r>
  <r>
    <x v="769"/>
    <x v="3"/>
    <x v="2"/>
    <x v="4"/>
    <x v="0"/>
    <x v="0"/>
    <n v="4.03"/>
    <x v="1"/>
    <s v="No"/>
    <s v="Alex"/>
    <x v="1"/>
    <n v="9"/>
    <s v="Extra Shot"/>
    <x v="3"/>
  </r>
  <r>
    <x v="770"/>
    <x v="1"/>
    <x v="2"/>
    <x v="2"/>
    <x v="0"/>
    <x v="1"/>
    <n v="6.16"/>
    <x v="1"/>
    <s v="Yes"/>
    <s v="Alex"/>
    <x v="1"/>
    <n v="6"/>
    <s v="Double Espresso"/>
    <x v="1"/>
  </r>
  <r>
    <x v="771"/>
    <x v="3"/>
    <x v="4"/>
    <x v="0"/>
    <x v="1"/>
    <x v="0"/>
    <n v="6.18"/>
    <x v="0"/>
    <s v="Yes"/>
    <s v="Alex"/>
    <x v="0"/>
    <n v="5"/>
    <s v="Double Espresso"/>
    <x v="2"/>
  </r>
  <r>
    <x v="772"/>
    <x v="0"/>
    <x v="8"/>
    <x v="4"/>
    <x v="1"/>
    <x v="1"/>
    <n v="5.23"/>
    <x v="2"/>
    <s v="Yes"/>
    <s v="Jordan"/>
    <x v="2"/>
    <n v="2"/>
    <s v="Oat Milk"/>
    <x v="2"/>
  </r>
  <r>
    <x v="773"/>
    <x v="3"/>
    <x v="1"/>
    <x v="2"/>
    <x v="5"/>
    <x v="0"/>
    <n v="3.78"/>
    <x v="2"/>
    <s v="Yes"/>
    <s v="Maria"/>
    <x v="1"/>
    <n v="9"/>
    <s v="Almond Milk"/>
    <x v="4"/>
  </r>
  <r>
    <x v="774"/>
    <x v="3"/>
    <x v="1"/>
    <x v="2"/>
    <x v="5"/>
    <x v="2"/>
    <n v="3.82"/>
    <x v="1"/>
    <s v="No"/>
    <s v="Jordan"/>
    <x v="1"/>
    <n v="4"/>
    <s v="Oat Milk"/>
    <x v="3"/>
  </r>
  <r>
    <x v="775"/>
    <x v="6"/>
    <x v="1"/>
    <x v="0"/>
    <x v="0"/>
    <x v="0"/>
    <n v="4.5"/>
    <x v="1"/>
    <s v="Yes"/>
    <s v="Jordan"/>
    <x v="1"/>
    <n v="3"/>
    <s v="Almond Milk"/>
    <x v="1"/>
  </r>
  <r>
    <x v="776"/>
    <x v="3"/>
    <x v="1"/>
    <x v="2"/>
    <x v="6"/>
    <x v="0"/>
    <n v="5.8"/>
    <x v="2"/>
    <s v="No"/>
    <s v="Jordan"/>
    <x v="0"/>
    <n v="10"/>
    <s v="Oat Milk"/>
    <x v="0"/>
  </r>
  <r>
    <x v="777"/>
    <x v="4"/>
    <x v="0"/>
    <x v="3"/>
    <x v="3"/>
    <x v="1"/>
    <n v="3.63"/>
    <x v="1"/>
    <s v="Yes"/>
    <s v="Jamie"/>
    <x v="1"/>
    <n v="4"/>
    <s v="Double Espresso"/>
    <x v="4"/>
  </r>
  <r>
    <x v="778"/>
    <x v="2"/>
    <x v="6"/>
    <x v="1"/>
    <x v="5"/>
    <x v="0"/>
    <n v="3.79"/>
    <x v="0"/>
    <s v="No"/>
    <s v="Taylor"/>
    <x v="1"/>
    <n v="3"/>
    <s v="Whipped Cream"/>
    <x v="0"/>
  </r>
  <r>
    <x v="722"/>
    <x v="4"/>
    <x v="1"/>
    <x v="2"/>
    <x v="2"/>
    <x v="2"/>
    <n v="5.8"/>
    <x v="2"/>
    <s v="No"/>
    <s v="Jamie"/>
    <x v="0"/>
    <n v="4"/>
    <s v="Almond Milk"/>
    <x v="0"/>
  </r>
  <r>
    <x v="779"/>
    <x v="5"/>
    <x v="2"/>
    <x v="1"/>
    <x v="2"/>
    <x v="0"/>
    <n v="5.03"/>
    <x v="1"/>
    <s v="Yes"/>
    <s v="Maria"/>
    <x v="0"/>
    <n v="10"/>
    <s v="Almond Milk"/>
    <x v="2"/>
  </r>
  <r>
    <x v="780"/>
    <x v="4"/>
    <x v="5"/>
    <x v="4"/>
    <x v="3"/>
    <x v="2"/>
    <n v="3.54"/>
    <x v="2"/>
    <s v="Yes"/>
    <s v="Jamie"/>
    <x v="1"/>
    <n v="5"/>
    <s v="Extra Shot"/>
    <x v="1"/>
  </r>
  <r>
    <x v="41"/>
    <x v="2"/>
    <x v="5"/>
    <x v="1"/>
    <x v="4"/>
    <x v="1"/>
    <n v="3.29"/>
    <x v="1"/>
    <s v="Yes"/>
    <s v="Jordan"/>
    <x v="1"/>
    <n v="9"/>
    <s v="Extra Shot"/>
    <x v="2"/>
  </r>
  <r>
    <x v="781"/>
    <x v="4"/>
    <x v="8"/>
    <x v="2"/>
    <x v="1"/>
    <x v="0"/>
    <n v="6.12"/>
    <x v="1"/>
    <s v="Yes"/>
    <s v="Jordan"/>
    <x v="2"/>
    <n v="3"/>
    <s v="No Sugar"/>
    <x v="1"/>
  </r>
  <r>
    <x v="782"/>
    <x v="1"/>
    <x v="0"/>
    <x v="2"/>
    <x v="5"/>
    <x v="0"/>
    <n v="4.92"/>
    <x v="2"/>
    <s v="No"/>
    <s v="Taylor"/>
    <x v="0"/>
    <n v="7"/>
    <s v="Almond Milk"/>
    <x v="0"/>
  </r>
  <r>
    <x v="783"/>
    <x v="0"/>
    <x v="1"/>
    <x v="4"/>
    <x v="6"/>
    <x v="2"/>
    <n v="3.46"/>
    <x v="1"/>
    <s v="No"/>
    <s v="Chris"/>
    <x v="1"/>
    <n v="4"/>
    <s v="Almond Milk"/>
    <x v="0"/>
  </r>
  <r>
    <x v="784"/>
    <x v="6"/>
    <x v="0"/>
    <x v="3"/>
    <x v="4"/>
    <x v="1"/>
    <n v="4.1500000000000004"/>
    <x v="1"/>
    <s v="Yes"/>
    <s v="Maria"/>
    <x v="2"/>
    <n v="6"/>
    <s v="Double Espresso"/>
    <x v="0"/>
  </r>
  <r>
    <x v="785"/>
    <x v="1"/>
    <x v="8"/>
    <x v="0"/>
    <x v="0"/>
    <x v="2"/>
    <n v="4.74"/>
    <x v="2"/>
    <s v="Yes"/>
    <s v="Taylor"/>
    <x v="2"/>
    <n v="2"/>
    <s v="Oat Milk"/>
    <x v="2"/>
  </r>
  <r>
    <x v="786"/>
    <x v="0"/>
    <x v="9"/>
    <x v="4"/>
    <x v="0"/>
    <x v="1"/>
    <n v="5.9"/>
    <x v="0"/>
    <s v="Yes"/>
    <s v="Jamie"/>
    <x v="1"/>
    <n v="3"/>
    <s v="Extra Shot"/>
    <x v="4"/>
  </r>
  <r>
    <x v="787"/>
    <x v="5"/>
    <x v="6"/>
    <x v="1"/>
    <x v="3"/>
    <x v="1"/>
    <n v="5.65"/>
    <x v="0"/>
    <s v="No"/>
    <s v="Maria"/>
    <x v="0"/>
    <n v="8"/>
    <s v="Oat Milk"/>
    <x v="3"/>
  </r>
  <r>
    <x v="788"/>
    <x v="4"/>
    <x v="4"/>
    <x v="0"/>
    <x v="0"/>
    <x v="1"/>
    <n v="3.83"/>
    <x v="0"/>
    <s v="No"/>
    <s v="Taylor"/>
    <x v="1"/>
    <n v="2"/>
    <s v="Whipped Cream"/>
    <x v="0"/>
  </r>
  <r>
    <x v="789"/>
    <x v="1"/>
    <x v="7"/>
    <x v="1"/>
    <x v="0"/>
    <x v="0"/>
    <n v="4.07"/>
    <x v="2"/>
    <s v="Yes"/>
    <s v="Jamie"/>
    <x v="1"/>
    <n v="10"/>
    <s v="Almond Milk"/>
    <x v="0"/>
  </r>
  <r>
    <x v="790"/>
    <x v="0"/>
    <x v="4"/>
    <x v="4"/>
    <x v="1"/>
    <x v="2"/>
    <n v="3.71"/>
    <x v="0"/>
    <s v="No"/>
    <s v="Maria"/>
    <x v="0"/>
    <n v="5"/>
    <s v="Decaf"/>
    <x v="1"/>
  </r>
  <r>
    <x v="791"/>
    <x v="4"/>
    <x v="5"/>
    <x v="4"/>
    <x v="2"/>
    <x v="0"/>
    <n v="5.69"/>
    <x v="2"/>
    <s v="No"/>
    <s v="Taylor"/>
    <x v="0"/>
    <n v="6"/>
    <s v="Oat Milk"/>
    <x v="1"/>
  </r>
  <r>
    <x v="792"/>
    <x v="4"/>
    <x v="6"/>
    <x v="4"/>
    <x v="2"/>
    <x v="0"/>
    <n v="3.97"/>
    <x v="0"/>
    <s v="Yes"/>
    <s v="Chris"/>
    <x v="0"/>
    <n v="10"/>
    <s v="Decaf"/>
    <x v="1"/>
  </r>
  <r>
    <x v="793"/>
    <x v="4"/>
    <x v="6"/>
    <x v="0"/>
    <x v="1"/>
    <x v="0"/>
    <n v="6.29"/>
    <x v="0"/>
    <s v="No"/>
    <s v="Maria"/>
    <x v="1"/>
    <n v="7"/>
    <s v="Whipped Cream"/>
    <x v="2"/>
  </r>
  <r>
    <x v="794"/>
    <x v="6"/>
    <x v="4"/>
    <x v="0"/>
    <x v="1"/>
    <x v="0"/>
    <n v="5.88"/>
    <x v="0"/>
    <s v="No"/>
    <s v="Taylor"/>
    <x v="0"/>
    <n v="4"/>
    <s v="No Sugar"/>
    <x v="1"/>
  </r>
  <r>
    <x v="795"/>
    <x v="4"/>
    <x v="4"/>
    <x v="2"/>
    <x v="6"/>
    <x v="1"/>
    <n v="4.2300000000000004"/>
    <x v="0"/>
    <s v="No"/>
    <s v="Taylor"/>
    <x v="0"/>
    <n v="10"/>
    <s v="Double Espresso"/>
    <x v="3"/>
  </r>
  <r>
    <x v="796"/>
    <x v="1"/>
    <x v="5"/>
    <x v="1"/>
    <x v="4"/>
    <x v="2"/>
    <n v="5"/>
    <x v="2"/>
    <s v="No"/>
    <s v="Chris"/>
    <x v="0"/>
    <n v="4"/>
    <s v="Decaf"/>
    <x v="0"/>
  </r>
  <r>
    <x v="797"/>
    <x v="6"/>
    <x v="4"/>
    <x v="4"/>
    <x v="0"/>
    <x v="1"/>
    <n v="5.75"/>
    <x v="2"/>
    <s v="No"/>
    <s v="Maria"/>
    <x v="2"/>
    <n v="5"/>
    <s v="Extra Shot"/>
    <x v="2"/>
  </r>
  <r>
    <x v="798"/>
    <x v="3"/>
    <x v="7"/>
    <x v="3"/>
    <x v="3"/>
    <x v="2"/>
    <n v="3.49"/>
    <x v="1"/>
    <s v="Yes"/>
    <s v="Maria"/>
    <x v="2"/>
    <n v="3"/>
    <s v="Almond Milk"/>
    <x v="0"/>
  </r>
  <r>
    <x v="799"/>
    <x v="0"/>
    <x v="3"/>
    <x v="2"/>
    <x v="4"/>
    <x v="0"/>
    <n v="5.43"/>
    <x v="2"/>
    <s v="Yes"/>
    <s v="Taylor"/>
    <x v="2"/>
    <n v="5"/>
    <s v="Decaf"/>
    <x v="1"/>
  </r>
  <r>
    <x v="800"/>
    <x v="5"/>
    <x v="8"/>
    <x v="2"/>
    <x v="6"/>
    <x v="0"/>
    <n v="5.89"/>
    <x v="2"/>
    <s v="No"/>
    <s v="Chris"/>
    <x v="1"/>
    <n v="3"/>
    <s v="Decaf"/>
    <x v="0"/>
  </r>
  <r>
    <x v="801"/>
    <x v="6"/>
    <x v="7"/>
    <x v="3"/>
    <x v="0"/>
    <x v="0"/>
    <n v="6.65"/>
    <x v="2"/>
    <s v="Yes"/>
    <s v="Alex"/>
    <x v="0"/>
    <n v="3"/>
    <s v="No Sugar"/>
    <x v="4"/>
  </r>
  <r>
    <x v="802"/>
    <x v="4"/>
    <x v="1"/>
    <x v="3"/>
    <x v="4"/>
    <x v="0"/>
    <n v="3.98"/>
    <x v="0"/>
    <s v="No"/>
    <s v="Jamie"/>
    <x v="0"/>
    <n v="9"/>
    <s v="No Sugar"/>
    <x v="2"/>
  </r>
  <r>
    <x v="803"/>
    <x v="6"/>
    <x v="0"/>
    <x v="0"/>
    <x v="0"/>
    <x v="2"/>
    <n v="5.72"/>
    <x v="0"/>
    <s v="No"/>
    <s v="Taylor"/>
    <x v="1"/>
    <n v="4"/>
    <s v="Almond Milk"/>
    <x v="3"/>
  </r>
  <r>
    <x v="804"/>
    <x v="2"/>
    <x v="5"/>
    <x v="2"/>
    <x v="1"/>
    <x v="2"/>
    <n v="5.56"/>
    <x v="1"/>
    <s v="No"/>
    <s v="Alex"/>
    <x v="0"/>
    <n v="6"/>
    <s v="Extra Shot"/>
    <x v="1"/>
  </r>
  <r>
    <x v="805"/>
    <x v="6"/>
    <x v="3"/>
    <x v="2"/>
    <x v="4"/>
    <x v="0"/>
    <n v="6.03"/>
    <x v="0"/>
    <s v="Yes"/>
    <s v="Maria"/>
    <x v="0"/>
    <n v="4"/>
    <s v="Extra Shot"/>
    <x v="0"/>
  </r>
  <r>
    <x v="806"/>
    <x v="5"/>
    <x v="1"/>
    <x v="1"/>
    <x v="6"/>
    <x v="1"/>
    <n v="4.34"/>
    <x v="0"/>
    <s v="Yes"/>
    <s v="Alex"/>
    <x v="1"/>
    <n v="2"/>
    <s v="Oat Milk"/>
    <x v="2"/>
  </r>
  <r>
    <x v="807"/>
    <x v="5"/>
    <x v="7"/>
    <x v="2"/>
    <x v="1"/>
    <x v="1"/>
    <n v="5.52"/>
    <x v="0"/>
    <s v="Yes"/>
    <s v="Jamie"/>
    <x v="1"/>
    <n v="8"/>
    <s v="Decaf"/>
    <x v="3"/>
  </r>
  <r>
    <x v="808"/>
    <x v="4"/>
    <x v="5"/>
    <x v="1"/>
    <x v="6"/>
    <x v="0"/>
    <n v="6.76"/>
    <x v="2"/>
    <s v="Yes"/>
    <s v="Taylor"/>
    <x v="2"/>
    <n v="7"/>
    <s v="Decaf"/>
    <x v="4"/>
  </r>
  <r>
    <x v="809"/>
    <x v="0"/>
    <x v="5"/>
    <x v="2"/>
    <x v="6"/>
    <x v="0"/>
    <n v="5.74"/>
    <x v="2"/>
    <s v="No"/>
    <s v="Jordan"/>
    <x v="2"/>
    <n v="3"/>
    <s v="Extra Shot"/>
    <x v="1"/>
  </r>
  <r>
    <x v="810"/>
    <x v="2"/>
    <x v="8"/>
    <x v="2"/>
    <x v="1"/>
    <x v="1"/>
    <n v="5.04"/>
    <x v="2"/>
    <s v="No"/>
    <s v="Taylor"/>
    <x v="2"/>
    <n v="9"/>
    <s v="Oat Milk"/>
    <x v="4"/>
  </r>
  <r>
    <x v="811"/>
    <x v="6"/>
    <x v="7"/>
    <x v="1"/>
    <x v="4"/>
    <x v="0"/>
    <n v="6.94"/>
    <x v="0"/>
    <s v="No"/>
    <s v="Jordan"/>
    <x v="2"/>
    <n v="3"/>
    <s v="Extra Shot"/>
    <x v="2"/>
  </r>
  <r>
    <x v="812"/>
    <x v="0"/>
    <x v="4"/>
    <x v="3"/>
    <x v="6"/>
    <x v="0"/>
    <n v="4.37"/>
    <x v="2"/>
    <s v="No"/>
    <s v="Jordan"/>
    <x v="0"/>
    <n v="10"/>
    <s v="Extra Shot"/>
    <x v="4"/>
  </r>
  <r>
    <x v="813"/>
    <x v="0"/>
    <x v="2"/>
    <x v="4"/>
    <x v="4"/>
    <x v="2"/>
    <n v="3.5"/>
    <x v="2"/>
    <s v="No"/>
    <s v="Jamie"/>
    <x v="0"/>
    <n v="2"/>
    <s v="Double Espresso"/>
    <x v="3"/>
  </r>
  <r>
    <x v="814"/>
    <x v="4"/>
    <x v="0"/>
    <x v="2"/>
    <x v="1"/>
    <x v="1"/>
    <n v="4.1399999999999997"/>
    <x v="2"/>
    <s v="Yes"/>
    <s v="Jordan"/>
    <x v="1"/>
    <n v="6"/>
    <s v="Double Espresso"/>
    <x v="1"/>
  </r>
  <r>
    <x v="815"/>
    <x v="6"/>
    <x v="0"/>
    <x v="3"/>
    <x v="4"/>
    <x v="2"/>
    <n v="4.68"/>
    <x v="1"/>
    <s v="No"/>
    <s v="Jordan"/>
    <x v="1"/>
    <n v="10"/>
    <s v="Oat Milk"/>
    <x v="0"/>
  </r>
  <r>
    <x v="816"/>
    <x v="1"/>
    <x v="3"/>
    <x v="3"/>
    <x v="3"/>
    <x v="0"/>
    <n v="5.14"/>
    <x v="0"/>
    <s v="No"/>
    <s v="Jordan"/>
    <x v="0"/>
    <n v="5"/>
    <s v="Extra Shot"/>
    <x v="2"/>
  </r>
  <r>
    <x v="817"/>
    <x v="5"/>
    <x v="6"/>
    <x v="3"/>
    <x v="3"/>
    <x v="2"/>
    <n v="5.48"/>
    <x v="2"/>
    <s v="Yes"/>
    <s v="Maria"/>
    <x v="2"/>
    <n v="4"/>
    <s v="Whipped Cream"/>
    <x v="1"/>
  </r>
  <r>
    <x v="818"/>
    <x v="2"/>
    <x v="1"/>
    <x v="0"/>
    <x v="6"/>
    <x v="2"/>
    <n v="5.24"/>
    <x v="2"/>
    <s v="No"/>
    <s v="Taylor"/>
    <x v="0"/>
    <n v="2"/>
    <s v="Double Espresso"/>
    <x v="4"/>
  </r>
  <r>
    <x v="819"/>
    <x v="5"/>
    <x v="5"/>
    <x v="0"/>
    <x v="0"/>
    <x v="2"/>
    <n v="4.7699999999999996"/>
    <x v="1"/>
    <s v="Yes"/>
    <s v="Chris"/>
    <x v="0"/>
    <n v="5"/>
    <s v="Double Espresso"/>
    <x v="0"/>
  </r>
  <r>
    <x v="820"/>
    <x v="3"/>
    <x v="0"/>
    <x v="4"/>
    <x v="5"/>
    <x v="0"/>
    <n v="6.59"/>
    <x v="1"/>
    <s v="Yes"/>
    <s v="Jordan"/>
    <x v="0"/>
    <n v="2"/>
    <s v="Whipped Cream"/>
    <x v="2"/>
  </r>
  <r>
    <x v="821"/>
    <x v="6"/>
    <x v="8"/>
    <x v="2"/>
    <x v="2"/>
    <x v="2"/>
    <n v="5.27"/>
    <x v="0"/>
    <s v="No"/>
    <s v="Alex"/>
    <x v="0"/>
    <n v="4"/>
    <s v="Decaf"/>
    <x v="0"/>
  </r>
  <r>
    <x v="822"/>
    <x v="1"/>
    <x v="7"/>
    <x v="1"/>
    <x v="6"/>
    <x v="2"/>
    <n v="4.0599999999999996"/>
    <x v="1"/>
    <s v="No"/>
    <s v="Taylor"/>
    <x v="1"/>
    <n v="7"/>
    <s v="Decaf"/>
    <x v="3"/>
  </r>
  <r>
    <x v="823"/>
    <x v="0"/>
    <x v="2"/>
    <x v="3"/>
    <x v="6"/>
    <x v="1"/>
    <n v="3.39"/>
    <x v="1"/>
    <s v="Yes"/>
    <s v="Maria"/>
    <x v="0"/>
    <n v="7"/>
    <s v="Double Espresso"/>
    <x v="2"/>
  </r>
  <r>
    <x v="824"/>
    <x v="4"/>
    <x v="5"/>
    <x v="1"/>
    <x v="1"/>
    <x v="1"/>
    <n v="4.59"/>
    <x v="2"/>
    <s v="Yes"/>
    <s v="Taylor"/>
    <x v="1"/>
    <n v="10"/>
    <s v="No Sugar"/>
    <x v="3"/>
  </r>
  <r>
    <x v="775"/>
    <x v="6"/>
    <x v="1"/>
    <x v="1"/>
    <x v="0"/>
    <x v="0"/>
    <n v="5.67"/>
    <x v="1"/>
    <s v="No"/>
    <s v="Taylor"/>
    <x v="1"/>
    <n v="8"/>
    <s v="Almond Milk"/>
    <x v="3"/>
  </r>
  <r>
    <x v="825"/>
    <x v="4"/>
    <x v="9"/>
    <x v="1"/>
    <x v="0"/>
    <x v="0"/>
    <n v="5.67"/>
    <x v="1"/>
    <s v="No"/>
    <s v="Alex"/>
    <x v="2"/>
    <n v="3"/>
    <s v="Decaf"/>
    <x v="0"/>
  </r>
  <r>
    <x v="826"/>
    <x v="0"/>
    <x v="6"/>
    <x v="4"/>
    <x v="5"/>
    <x v="2"/>
    <n v="3.29"/>
    <x v="1"/>
    <s v="No"/>
    <s v="Alex"/>
    <x v="1"/>
    <n v="8"/>
    <s v="Whipped Cream"/>
    <x v="1"/>
  </r>
  <r>
    <x v="69"/>
    <x v="6"/>
    <x v="7"/>
    <x v="3"/>
    <x v="6"/>
    <x v="2"/>
    <n v="4.6399999999999997"/>
    <x v="2"/>
    <s v="Yes"/>
    <s v="Jordan"/>
    <x v="1"/>
    <n v="5"/>
    <s v="Oat Milk"/>
    <x v="2"/>
  </r>
  <r>
    <x v="827"/>
    <x v="2"/>
    <x v="3"/>
    <x v="0"/>
    <x v="4"/>
    <x v="1"/>
    <n v="4.5599999999999996"/>
    <x v="2"/>
    <s v="No"/>
    <s v="Maria"/>
    <x v="0"/>
    <n v="8"/>
    <s v="Whipped Cream"/>
    <x v="4"/>
  </r>
  <r>
    <x v="828"/>
    <x v="3"/>
    <x v="0"/>
    <x v="4"/>
    <x v="0"/>
    <x v="2"/>
    <n v="6.19"/>
    <x v="1"/>
    <s v="No"/>
    <s v="Jordan"/>
    <x v="0"/>
    <n v="9"/>
    <s v="Decaf"/>
    <x v="3"/>
  </r>
  <r>
    <x v="829"/>
    <x v="4"/>
    <x v="0"/>
    <x v="3"/>
    <x v="0"/>
    <x v="1"/>
    <n v="3.09"/>
    <x v="1"/>
    <s v="No"/>
    <s v="Alex"/>
    <x v="2"/>
    <n v="5"/>
    <s v="Extra Shot"/>
    <x v="4"/>
  </r>
  <r>
    <x v="398"/>
    <x v="3"/>
    <x v="1"/>
    <x v="4"/>
    <x v="3"/>
    <x v="2"/>
    <n v="6.72"/>
    <x v="2"/>
    <s v="No"/>
    <s v="Jamie"/>
    <x v="2"/>
    <n v="9"/>
    <s v="Double Espresso"/>
    <x v="3"/>
  </r>
  <r>
    <x v="830"/>
    <x v="0"/>
    <x v="2"/>
    <x v="1"/>
    <x v="5"/>
    <x v="0"/>
    <n v="3.31"/>
    <x v="2"/>
    <s v="Yes"/>
    <s v="Jamie"/>
    <x v="2"/>
    <n v="5"/>
    <s v="Whipped Cream"/>
    <x v="4"/>
  </r>
  <r>
    <x v="831"/>
    <x v="3"/>
    <x v="7"/>
    <x v="4"/>
    <x v="2"/>
    <x v="1"/>
    <n v="4.9800000000000004"/>
    <x v="1"/>
    <s v="No"/>
    <s v="Jamie"/>
    <x v="2"/>
    <n v="5"/>
    <s v="Extra Shot"/>
    <x v="4"/>
  </r>
  <r>
    <x v="832"/>
    <x v="4"/>
    <x v="7"/>
    <x v="4"/>
    <x v="3"/>
    <x v="2"/>
    <n v="3.2"/>
    <x v="2"/>
    <s v="No"/>
    <s v="Alex"/>
    <x v="2"/>
    <n v="8"/>
    <s v="No Sugar"/>
    <x v="0"/>
  </r>
  <r>
    <x v="833"/>
    <x v="0"/>
    <x v="5"/>
    <x v="4"/>
    <x v="3"/>
    <x v="0"/>
    <n v="3.95"/>
    <x v="2"/>
    <s v="No"/>
    <s v="Alex"/>
    <x v="1"/>
    <n v="9"/>
    <s v="Double Espresso"/>
    <x v="3"/>
  </r>
  <r>
    <x v="834"/>
    <x v="0"/>
    <x v="3"/>
    <x v="0"/>
    <x v="5"/>
    <x v="2"/>
    <n v="3.68"/>
    <x v="2"/>
    <s v="Yes"/>
    <s v="Alex"/>
    <x v="2"/>
    <n v="3"/>
    <s v="Decaf"/>
    <x v="0"/>
  </r>
  <r>
    <x v="835"/>
    <x v="4"/>
    <x v="1"/>
    <x v="1"/>
    <x v="3"/>
    <x v="2"/>
    <n v="6.72"/>
    <x v="0"/>
    <s v="Yes"/>
    <s v="Taylor"/>
    <x v="0"/>
    <n v="7"/>
    <s v="Oat Milk"/>
    <x v="4"/>
  </r>
  <r>
    <x v="836"/>
    <x v="1"/>
    <x v="0"/>
    <x v="1"/>
    <x v="1"/>
    <x v="1"/>
    <n v="6.47"/>
    <x v="2"/>
    <s v="Yes"/>
    <s v="Alex"/>
    <x v="0"/>
    <n v="4"/>
    <s v="Double Espresso"/>
    <x v="2"/>
  </r>
  <r>
    <x v="837"/>
    <x v="6"/>
    <x v="8"/>
    <x v="3"/>
    <x v="1"/>
    <x v="1"/>
    <n v="6.84"/>
    <x v="2"/>
    <s v="No"/>
    <s v="Jordan"/>
    <x v="0"/>
    <n v="10"/>
    <s v="Oat Milk"/>
    <x v="4"/>
  </r>
  <r>
    <x v="838"/>
    <x v="6"/>
    <x v="5"/>
    <x v="0"/>
    <x v="5"/>
    <x v="0"/>
    <n v="4.6100000000000003"/>
    <x v="0"/>
    <s v="Yes"/>
    <s v="Jamie"/>
    <x v="0"/>
    <n v="4"/>
    <s v="Whipped Cream"/>
    <x v="3"/>
  </r>
  <r>
    <x v="839"/>
    <x v="1"/>
    <x v="4"/>
    <x v="3"/>
    <x v="2"/>
    <x v="0"/>
    <n v="5.64"/>
    <x v="2"/>
    <s v="Yes"/>
    <s v="Maria"/>
    <x v="0"/>
    <n v="7"/>
    <s v="No Sugar"/>
    <x v="1"/>
  </r>
  <r>
    <x v="840"/>
    <x v="4"/>
    <x v="9"/>
    <x v="4"/>
    <x v="0"/>
    <x v="1"/>
    <n v="5.16"/>
    <x v="0"/>
    <s v="Yes"/>
    <s v="Jordan"/>
    <x v="1"/>
    <n v="8"/>
    <s v="Double Espresso"/>
    <x v="1"/>
  </r>
  <r>
    <x v="841"/>
    <x v="2"/>
    <x v="7"/>
    <x v="1"/>
    <x v="0"/>
    <x v="2"/>
    <n v="3.55"/>
    <x v="1"/>
    <s v="No"/>
    <s v="Jamie"/>
    <x v="0"/>
    <n v="2"/>
    <s v="Double Espresso"/>
    <x v="0"/>
  </r>
  <r>
    <x v="842"/>
    <x v="4"/>
    <x v="6"/>
    <x v="0"/>
    <x v="4"/>
    <x v="2"/>
    <n v="5.17"/>
    <x v="1"/>
    <s v="Yes"/>
    <s v="Maria"/>
    <x v="2"/>
    <n v="2"/>
    <s v="Whipped Cream"/>
    <x v="2"/>
  </r>
  <r>
    <x v="843"/>
    <x v="1"/>
    <x v="0"/>
    <x v="1"/>
    <x v="5"/>
    <x v="2"/>
    <n v="4.7300000000000004"/>
    <x v="1"/>
    <s v="No"/>
    <s v="Taylor"/>
    <x v="1"/>
    <n v="4"/>
    <s v="No Sugar"/>
    <x v="0"/>
  </r>
  <r>
    <x v="844"/>
    <x v="1"/>
    <x v="0"/>
    <x v="3"/>
    <x v="5"/>
    <x v="0"/>
    <n v="5.59"/>
    <x v="0"/>
    <s v="No"/>
    <s v="Jamie"/>
    <x v="0"/>
    <n v="10"/>
    <s v="Double Espresso"/>
    <x v="4"/>
  </r>
  <r>
    <x v="845"/>
    <x v="4"/>
    <x v="4"/>
    <x v="0"/>
    <x v="0"/>
    <x v="1"/>
    <n v="6.69"/>
    <x v="2"/>
    <s v="No"/>
    <s v="Jamie"/>
    <x v="1"/>
    <n v="9"/>
    <s v="Extra Shot"/>
    <x v="0"/>
  </r>
  <r>
    <x v="846"/>
    <x v="1"/>
    <x v="1"/>
    <x v="3"/>
    <x v="6"/>
    <x v="1"/>
    <n v="4.5199999999999996"/>
    <x v="2"/>
    <s v="Yes"/>
    <s v="Jordan"/>
    <x v="0"/>
    <n v="9"/>
    <s v="Decaf"/>
    <x v="0"/>
  </r>
  <r>
    <x v="847"/>
    <x v="4"/>
    <x v="9"/>
    <x v="1"/>
    <x v="1"/>
    <x v="2"/>
    <n v="5.3"/>
    <x v="0"/>
    <s v="No"/>
    <s v="Jordan"/>
    <x v="2"/>
    <n v="4"/>
    <s v="No Sugar"/>
    <x v="0"/>
  </r>
  <r>
    <x v="848"/>
    <x v="5"/>
    <x v="3"/>
    <x v="2"/>
    <x v="1"/>
    <x v="2"/>
    <n v="5.13"/>
    <x v="1"/>
    <s v="Yes"/>
    <s v="Jamie"/>
    <x v="0"/>
    <n v="4"/>
    <s v="Oat Milk"/>
    <x v="1"/>
  </r>
  <r>
    <x v="849"/>
    <x v="1"/>
    <x v="6"/>
    <x v="2"/>
    <x v="5"/>
    <x v="1"/>
    <n v="6.02"/>
    <x v="0"/>
    <s v="No"/>
    <s v="Jordan"/>
    <x v="0"/>
    <n v="7"/>
    <s v="Oat Milk"/>
    <x v="4"/>
  </r>
  <r>
    <x v="850"/>
    <x v="5"/>
    <x v="4"/>
    <x v="2"/>
    <x v="2"/>
    <x v="1"/>
    <n v="6.6"/>
    <x v="2"/>
    <s v="No"/>
    <s v="Chris"/>
    <x v="1"/>
    <n v="6"/>
    <s v="Extra Shot"/>
    <x v="0"/>
  </r>
  <r>
    <x v="851"/>
    <x v="6"/>
    <x v="0"/>
    <x v="1"/>
    <x v="2"/>
    <x v="1"/>
    <n v="6.31"/>
    <x v="1"/>
    <s v="No"/>
    <s v="Maria"/>
    <x v="0"/>
    <n v="5"/>
    <s v="Oat Milk"/>
    <x v="1"/>
  </r>
  <r>
    <x v="852"/>
    <x v="3"/>
    <x v="0"/>
    <x v="4"/>
    <x v="1"/>
    <x v="1"/>
    <n v="6.32"/>
    <x v="2"/>
    <s v="Yes"/>
    <s v="Taylor"/>
    <x v="0"/>
    <n v="3"/>
    <s v="No Sugar"/>
    <x v="4"/>
  </r>
  <r>
    <x v="853"/>
    <x v="5"/>
    <x v="5"/>
    <x v="4"/>
    <x v="2"/>
    <x v="2"/>
    <n v="6.05"/>
    <x v="1"/>
    <s v="No"/>
    <s v="Maria"/>
    <x v="1"/>
    <n v="8"/>
    <s v="Extra Shot"/>
    <x v="0"/>
  </r>
  <r>
    <x v="854"/>
    <x v="5"/>
    <x v="0"/>
    <x v="1"/>
    <x v="3"/>
    <x v="2"/>
    <n v="5.43"/>
    <x v="1"/>
    <s v="No"/>
    <s v="Alex"/>
    <x v="2"/>
    <n v="10"/>
    <s v="Almond Milk"/>
    <x v="0"/>
  </r>
  <r>
    <x v="855"/>
    <x v="2"/>
    <x v="8"/>
    <x v="2"/>
    <x v="5"/>
    <x v="1"/>
    <n v="5.08"/>
    <x v="0"/>
    <s v="No"/>
    <s v="Alex"/>
    <x v="0"/>
    <n v="7"/>
    <s v="Whipped Cream"/>
    <x v="4"/>
  </r>
  <r>
    <x v="152"/>
    <x v="1"/>
    <x v="6"/>
    <x v="4"/>
    <x v="2"/>
    <x v="0"/>
    <n v="3.78"/>
    <x v="1"/>
    <s v="Yes"/>
    <s v="Jordan"/>
    <x v="0"/>
    <n v="3"/>
    <s v="Whipped Cream"/>
    <x v="3"/>
  </r>
  <r>
    <x v="336"/>
    <x v="0"/>
    <x v="0"/>
    <x v="1"/>
    <x v="0"/>
    <x v="0"/>
    <n v="5.09"/>
    <x v="1"/>
    <s v="No"/>
    <s v="Taylor"/>
    <x v="2"/>
    <n v="6"/>
    <s v="Whipped Cream"/>
    <x v="3"/>
  </r>
  <r>
    <x v="856"/>
    <x v="4"/>
    <x v="8"/>
    <x v="0"/>
    <x v="3"/>
    <x v="0"/>
    <n v="4.3"/>
    <x v="0"/>
    <s v="Yes"/>
    <s v="Chris"/>
    <x v="1"/>
    <n v="5"/>
    <s v="Almond Milk"/>
    <x v="1"/>
  </r>
  <r>
    <x v="857"/>
    <x v="2"/>
    <x v="8"/>
    <x v="1"/>
    <x v="1"/>
    <x v="1"/>
    <n v="4.9000000000000004"/>
    <x v="1"/>
    <s v="Yes"/>
    <s v="Maria"/>
    <x v="1"/>
    <n v="9"/>
    <s v="Whipped Cream"/>
    <x v="2"/>
  </r>
  <r>
    <x v="858"/>
    <x v="0"/>
    <x v="0"/>
    <x v="1"/>
    <x v="5"/>
    <x v="2"/>
    <n v="6.21"/>
    <x v="0"/>
    <s v="Yes"/>
    <s v="Alex"/>
    <x v="1"/>
    <n v="4"/>
    <s v="Decaf"/>
    <x v="4"/>
  </r>
  <r>
    <x v="859"/>
    <x v="5"/>
    <x v="5"/>
    <x v="3"/>
    <x v="4"/>
    <x v="1"/>
    <n v="5.25"/>
    <x v="1"/>
    <s v="Yes"/>
    <s v="Jamie"/>
    <x v="2"/>
    <n v="6"/>
    <s v="No Sugar"/>
    <x v="1"/>
  </r>
  <r>
    <x v="860"/>
    <x v="3"/>
    <x v="7"/>
    <x v="3"/>
    <x v="1"/>
    <x v="1"/>
    <n v="4.6100000000000003"/>
    <x v="2"/>
    <s v="No"/>
    <s v="Taylor"/>
    <x v="1"/>
    <n v="8"/>
    <s v="Almond Milk"/>
    <x v="2"/>
  </r>
  <r>
    <x v="861"/>
    <x v="6"/>
    <x v="0"/>
    <x v="0"/>
    <x v="1"/>
    <x v="1"/>
    <n v="5.16"/>
    <x v="0"/>
    <s v="No"/>
    <s v="Maria"/>
    <x v="2"/>
    <n v="9"/>
    <s v="Oat Milk"/>
    <x v="2"/>
  </r>
  <r>
    <x v="862"/>
    <x v="4"/>
    <x v="6"/>
    <x v="4"/>
    <x v="5"/>
    <x v="2"/>
    <n v="4.6900000000000004"/>
    <x v="0"/>
    <s v="No"/>
    <s v="Jordan"/>
    <x v="0"/>
    <n v="6"/>
    <s v="Extra Shot"/>
    <x v="0"/>
  </r>
  <r>
    <x v="863"/>
    <x v="5"/>
    <x v="0"/>
    <x v="2"/>
    <x v="0"/>
    <x v="2"/>
    <n v="4.71"/>
    <x v="0"/>
    <s v="Yes"/>
    <s v="Maria"/>
    <x v="2"/>
    <n v="2"/>
    <s v="Almond Milk"/>
    <x v="1"/>
  </r>
  <r>
    <x v="864"/>
    <x v="1"/>
    <x v="8"/>
    <x v="1"/>
    <x v="4"/>
    <x v="2"/>
    <n v="6.51"/>
    <x v="2"/>
    <s v="Yes"/>
    <s v="Maria"/>
    <x v="0"/>
    <n v="3"/>
    <s v="Whipped Cream"/>
    <x v="2"/>
  </r>
  <r>
    <x v="865"/>
    <x v="6"/>
    <x v="5"/>
    <x v="2"/>
    <x v="3"/>
    <x v="1"/>
    <n v="4.92"/>
    <x v="1"/>
    <s v="Yes"/>
    <s v="Jordan"/>
    <x v="0"/>
    <n v="8"/>
    <s v="Double Espresso"/>
    <x v="1"/>
  </r>
  <r>
    <x v="866"/>
    <x v="3"/>
    <x v="6"/>
    <x v="4"/>
    <x v="1"/>
    <x v="2"/>
    <n v="5.0999999999999996"/>
    <x v="0"/>
    <s v="No"/>
    <s v="Taylor"/>
    <x v="0"/>
    <n v="9"/>
    <s v="Extra Shot"/>
    <x v="4"/>
  </r>
  <r>
    <x v="867"/>
    <x v="4"/>
    <x v="2"/>
    <x v="0"/>
    <x v="5"/>
    <x v="1"/>
    <n v="5.88"/>
    <x v="0"/>
    <s v="No"/>
    <s v="Maria"/>
    <x v="0"/>
    <n v="2"/>
    <s v="Extra Shot"/>
    <x v="2"/>
  </r>
  <r>
    <x v="46"/>
    <x v="6"/>
    <x v="1"/>
    <x v="4"/>
    <x v="3"/>
    <x v="0"/>
    <n v="6.8"/>
    <x v="2"/>
    <s v="Yes"/>
    <s v="Maria"/>
    <x v="0"/>
    <n v="10"/>
    <s v="Whipped Cream"/>
    <x v="3"/>
  </r>
  <r>
    <x v="868"/>
    <x v="2"/>
    <x v="2"/>
    <x v="2"/>
    <x v="2"/>
    <x v="0"/>
    <n v="5.43"/>
    <x v="1"/>
    <s v="Yes"/>
    <s v="Jordan"/>
    <x v="1"/>
    <n v="3"/>
    <s v="Almond Milk"/>
    <x v="4"/>
  </r>
  <r>
    <x v="41"/>
    <x v="2"/>
    <x v="5"/>
    <x v="1"/>
    <x v="6"/>
    <x v="1"/>
    <n v="4.96"/>
    <x v="2"/>
    <s v="No"/>
    <s v="Chris"/>
    <x v="2"/>
    <n v="10"/>
    <s v="Extra Shot"/>
    <x v="4"/>
  </r>
  <r>
    <x v="869"/>
    <x v="6"/>
    <x v="5"/>
    <x v="0"/>
    <x v="2"/>
    <x v="0"/>
    <n v="6.6"/>
    <x v="0"/>
    <s v="No"/>
    <s v="Chris"/>
    <x v="1"/>
    <n v="7"/>
    <s v="Double Espresso"/>
    <x v="2"/>
  </r>
  <r>
    <x v="870"/>
    <x v="0"/>
    <x v="9"/>
    <x v="3"/>
    <x v="0"/>
    <x v="1"/>
    <n v="3.57"/>
    <x v="2"/>
    <s v="No"/>
    <s v="Jamie"/>
    <x v="0"/>
    <n v="10"/>
    <s v="Extra Shot"/>
    <x v="3"/>
  </r>
  <r>
    <x v="93"/>
    <x v="6"/>
    <x v="7"/>
    <x v="1"/>
    <x v="5"/>
    <x v="1"/>
    <n v="6.84"/>
    <x v="1"/>
    <s v="No"/>
    <s v="Maria"/>
    <x v="2"/>
    <n v="9"/>
    <s v="Oat Milk"/>
    <x v="1"/>
  </r>
  <r>
    <x v="871"/>
    <x v="3"/>
    <x v="2"/>
    <x v="3"/>
    <x v="5"/>
    <x v="2"/>
    <n v="6.87"/>
    <x v="2"/>
    <s v="No"/>
    <s v="Maria"/>
    <x v="2"/>
    <n v="4"/>
    <s v="Double Espresso"/>
    <x v="0"/>
  </r>
  <r>
    <x v="872"/>
    <x v="0"/>
    <x v="2"/>
    <x v="0"/>
    <x v="2"/>
    <x v="0"/>
    <n v="5.93"/>
    <x v="0"/>
    <s v="Yes"/>
    <s v="Jordan"/>
    <x v="1"/>
    <n v="5"/>
    <s v="Double Espresso"/>
    <x v="0"/>
  </r>
  <r>
    <x v="873"/>
    <x v="5"/>
    <x v="1"/>
    <x v="4"/>
    <x v="5"/>
    <x v="0"/>
    <n v="6.16"/>
    <x v="1"/>
    <s v="Yes"/>
    <s v="Chris"/>
    <x v="0"/>
    <n v="6"/>
    <s v="No Sugar"/>
    <x v="4"/>
  </r>
  <r>
    <x v="874"/>
    <x v="4"/>
    <x v="3"/>
    <x v="0"/>
    <x v="2"/>
    <x v="0"/>
    <n v="6.23"/>
    <x v="0"/>
    <s v="Yes"/>
    <s v="Alex"/>
    <x v="0"/>
    <n v="7"/>
    <s v="No Sugar"/>
    <x v="2"/>
  </r>
  <r>
    <x v="875"/>
    <x v="5"/>
    <x v="3"/>
    <x v="2"/>
    <x v="2"/>
    <x v="1"/>
    <n v="5.41"/>
    <x v="1"/>
    <s v="No"/>
    <s v="Alex"/>
    <x v="2"/>
    <n v="4"/>
    <s v="Decaf"/>
    <x v="3"/>
  </r>
  <r>
    <x v="876"/>
    <x v="5"/>
    <x v="8"/>
    <x v="3"/>
    <x v="6"/>
    <x v="2"/>
    <n v="6.64"/>
    <x v="1"/>
    <s v="Yes"/>
    <s v="Maria"/>
    <x v="1"/>
    <n v="7"/>
    <s v="Extra Shot"/>
    <x v="0"/>
  </r>
  <r>
    <x v="877"/>
    <x v="4"/>
    <x v="7"/>
    <x v="1"/>
    <x v="2"/>
    <x v="0"/>
    <n v="6.25"/>
    <x v="2"/>
    <s v="Yes"/>
    <s v="Chris"/>
    <x v="1"/>
    <n v="2"/>
    <s v="Double Espresso"/>
    <x v="1"/>
  </r>
  <r>
    <x v="878"/>
    <x v="5"/>
    <x v="4"/>
    <x v="3"/>
    <x v="6"/>
    <x v="2"/>
    <n v="6.24"/>
    <x v="1"/>
    <s v="No"/>
    <s v="Taylor"/>
    <x v="0"/>
    <n v="10"/>
    <s v="Whipped Cream"/>
    <x v="0"/>
  </r>
  <r>
    <x v="879"/>
    <x v="0"/>
    <x v="2"/>
    <x v="4"/>
    <x v="5"/>
    <x v="2"/>
    <n v="4.43"/>
    <x v="2"/>
    <s v="No"/>
    <s v="Alex"/>
    <x v="2"/>
    <n v="5"/>
    <s v="Almond Milk"/>
    <x v="2"/>
  </r>
  <r>
    <x v="880"/>
    <x v="4"/>
    <x v="2"/>
    <x v="0"/>
    <x v="5"/>
    <x v="0"/>
    <n v="6.26"/>
    <x v="1"/>
    <s v="No"/>
    <s v="Alex"/>
    <x v="1"/>
    <n v="3"/>
    <s v="No Sugar"/>
    <x v="1"/>
  </r>
  <r>
    <x v="777"/>
    <x v="4"/>
    <x v="0"/>
    <x v="2"/>
    <x v="0"/>
    <x v="0"/>
    <n v="5.57"/>
    <x v="2"/>
    <s v="No"/>
    <s v="Jordan"/>
    <x v="2"/>
    <n v="3"/>
    <s v="No Sugar"/>
    <x v="1"/>
  </r>
  <r>
    <x v="881"/>
    <x v="0"/>
    <x v="7"/>
    <x v="2"/>
    <x v="4"/>
    <x v="0"/>
    <n v="6.65"/>
    <x v="1"/>
    <s v="No"/>
    <s v="Jamie"/>
    <x v="2"/>
    <n v="5"/>
    <s v="Oat Milk"/>
    <x v="0"/>
  </r>
  <r>
    <x v="882"/>
    <x v="0"/>
    <x v="0"/>
    <x v="1"/>
    <x v="6"/>
    <x v="0"/>
    <n v="5.53"/>
    <x v="1"/>
    <s v="Yes"/>
    <s v="Alex"/>
    <x v="2"/>
    <n v="4"/>
    <s v="Almond Milk"/>
    <x v="4"/>
  </r>
  <r>
    <x v="883"/>
    <x v="6"/>
    <x v="1"/>
    <x v="2"/>
    <x v="4"/>
    <x v="2"/>
    <n v="5.69"/>
    <x v="2"/>
    <s v="Yes"/>
    <s v="Jamie"/>
    <x v="1"/>
    <n v="3"/>
    <s v="Extra Shot"/>
    <x v="1"/>
  </r>
  <r>
    <x v="884"/>
    <x v="0"/>
    <x v="0"/>
    <x v="2"/>
    <x v="6"/>
    <x v="0"/>
    <n v="5.89"/>
    <x v="1"/>
    <s v="No"/>
    <s v="Maria"/>
    <x v="2"/>
    <n v="5"/>
    <s v="Almond Milk"/>
    <x v="2"/>
  </r>
  <r>
    <x v="885"/>
    <x v="5"/>
    <x v="9"/>
    <x v="4"/>
    <x v="2"/>
    <x v="2"/>
    <n v="3.05"/>
    <x v="2"/>
    <s v="No"/>
    <s v="Jordan"/>
    <x v="0"/>
    <n v="6"/>
    <s v="Whipped Cream"/>
    <x v="0"/>
  </r>
  <r>
    <x v="63"/>
    <x v="4"/>
    <x v="6"/>
    <x v="2"/>
    <x v="0"/>
    <x v="1"/>
    <n v="3.09"/>
    <x v="1"/>
    <s v="No"/>
    <s v="Jordan"/>
    <x v="0"/>
    <n v="4"/>
    <s v="No Sugar"/>
    <x v="3"/>
  </r>
  <r>
    <x v="886"/>
    <x v="5"/>
    <x v="8"/>
    <x v="1"/>
    <x v="4"/>
    <x v="1"/>
    <n v="4.5"/>
    <x v="2"/>
    <s v="Yes"/>
    <s v="Jordan"/>
    <x v="1"/>
    <n v="7"/>
    <s v="Oat Milk"/>
    <x v="4"/>
  </r>
  <r>
    <x v="887"/>
    <x v="6"/>
    <x v="5"/>
    <x v="2"/>
    <x v="1"/>
    <x v="0"/>
    <n v="5.86"/>
    <x v="1"/>
    <s v="No"/>
    <s v="Maria"/>
    <x v="0"/>
    <n v="9"/>
    <s v="Whipped Cream"/>
    <x v="3"/>
  </r>
  <r>
    <x v="713"/>
    <x v="1"/>
    <x v="2"/>
    <x v="2"/>
    <x v="2"/>
    <x v="1"/>
    <n v="3.76"/>
    <x v="0"/>
    <s v="No"/>
    <s v="Taylor"/>
    <x v="1"/>
    <n v="8"/>
    <s v="No Sugar"/>
    <x v="1"/>
  </r>
  <r>
    <x v="888"/>
    <x v="3"/>
    <x v="4"/>
    <x v="2"/>
    <x v="5"/>
    <x v="0"/>
    <n v="3.1"/>
    <x v="0"/>
    <s v="Yes"/>
    <s v="Jamie"/>
    <x v="2"/>
    <n v="7"/>
    <s v="Double Espresso"/>
    <x v="1"/>
  </r>
  <r>
    <x v="889"/>
    <x v="0"/>
    <x v="7"/>
    <x v="4"/>
    <x v="0"/>
    <x v="0"/>
    <n v="5.4"/>
    <x v="2"/>
    <s v="No"/>
    <s v="Jordan"/>
    <x v="0"/>
    <n v="3"/>
    <s v="Decaf"/>
    <x v="4"/>
  </r>
  <r>
    <x v="890"/>
    <x v="6"/>
    <x v="4"/>
    <x v="1"/>
    <x v="2"/>
    <x v="0"/>
    <n v="6.44"/>
    <x v="1"/>
    <s v="Yes"/>
    <s v="Chris"/>
    <x v="1"/>
    <n v="6"/>
    <s v="Whipped Cream"/>
    <x v="1"/>
  </r>
  <r>
    <x v="891"/>
    <x v="6"/>
    <x v="4"/>
    <x v="4"/>
    <x v="0"/>
    <x v="0"/>
    <n v="3.23"/>
    <x v="2"/>
    <s v="No"/>
    <s v="Jamie"/>
    <x v="1"/>
    <n v="9"/>
    <s v="No Sugar"/>
    <x v="4"/>
  </r>
  <r>
    <x v="892"/>
    <x v="0"/>
    <x v="6"/>
    <x v="2"/>
    <x v="3"/>
    <x v="1"/>
    <n v="5.36"/>
    <x v="0"/>
    <s v="No"/>
    <s v="Chris"/>
    <x v="1"/>
    <n v="4"/>
    <s v="Extra Shot"/>
    <x v="2"/>
  </r>
  <r>
    <x v="893"/>
    <x v="0"/>
    <x v="5"/>
    <x v="4"/>
    <x v="6"/>
    <x v="1"/>
    <n v="3.01"/>
    <x v="2"/>
    <s v="Yes"/>
    <s v="Alex"/>
    <x v="0"/>
    <n v="3"/>
    <s v="Almond Milk"/>
    <x v="1"/>
  </r>
  <r>
    <x v="670"/>
    <x v="0"/>
    <x v="9"/>
    <x v="1"/>
    <x v="0"/>
    <x v="1"/>
    <n v="4.59"/>
    <x v="2"/>
    <s v="No"/>
    <s v="Maria"/>
    <x v="1"/>
    <n v="10"/>
    <s v="Almond Milk"/>
    <x v="0"/>
  </r>
  <r>
    <x v="894"/>
    <x v="0"/>
    <x v="5"/>
    <x v="4"/>
    <x v="6"/>
    <x v="0"/>
    <n v="3.59"/>
    <x v="2"/>
    <s v="Yes"/>
    <s v="Chris"/>
    <x v="0"/>
    <n v="2"/>
    <s v="Decaf"/>
    <x v="3"/>
  </r>
  <r>
    <x v="895"/>
    <x v="3"/>
    <x v="4"/>
    <x v="0"/>
    <x v="0"/>
    <x v="0"/>
    <n v="3.22"/>
    <x v="1"/>
    <s v="Yes"/>
    <s v="Chris"/>
    <x v="2"/>
    <n v="2"/>
    <s v="Whipped Cream"/>
    <x v="2"/>
  </r>
  <r>
    <x v="896"/>
    <x v="1"/>
    <x v="7"/>
    <x v="0"/>
    <x v="3"/>
    <x v="0"/>
    <n v="6.2"/>
    <x v="2"/>
    <s v="Yes"/>
    <s v="Jordan"/>
    <x v="2"/>
    <n v="2"/>
    <s v="Almond Milk"/>
    <x v="0"/>
  </r>
  <r>
    <x v="897"/>
    <x v="6"/>
    <x v="8"/>
    <x v="3"/>
    <x v="5"/>
    <x v="1"/>
    <n v="4.79"/>
    <x v="1"/>
    <s v="No"/>
    <s v="Taylor"/>
    <x v="1"/>
    <n v="9"/>
    <s v="Almond Milk"/>
    <x v="1"/>
  </r>
  <r>
    <x v="898"/>
    <x v="4"/>
    <x v="4"/>
    <x v="1"/>
    <x v="5"/>
    <x v="0"/>
    <n v="5.43"/>
    <x v="2"/>
    <s v="No"/>
    <s v="Chris"/>
    <x v="1"/>
    <n v="8"/>
    <s v="Decaf"/>
    <x v="1"/>
  </r>
  <r>
    <x v="899"/>
    <x v="4"/>
    <x v="0"/>
    <x v="3"/>
    <x v="2"/>
    <x v="0"/>
    <n v="5.8"/>
    <x v="0"/>
    <s v="Yes"/>
    <s v="Alex"/>
    <x v="2"/>
    <n v="6"/>
    <s v="Decaf"/>
    <x v="4"/>
  </r>
  <r>
    <x v="900"/>
    <x v="6"/>
    <x v="6"/>
    <x v="3"/>
    <x v="0"/>
    <x v="0"/>
    <n v="6.18"/>
    <x v="2"/>
    <s v="No"/>
    <s v="Taylor"/>
    <x v="1"/>
    <n v="9"/>
    <s v="Almond Milk"/>
    <x v="2"/>
  </r>
  <r>
    <x v="901"/>
    <x v="0"/>
    <x v="6"/>
    <x v="1"/>
    <x v="4"/>
    <x v="2"/>
    <n v="3.27"/>
    <x v="1"/>
    <s v="No"/>
    <s v="Taylor"/>
    <x v="2"/>
    <n v="7"/>
    <s v="Extra Shot"/>
    <x v="3"/>
  </r>
  <r>
    <x v="902"/>
    <x v="1"/>
    <x v="1"/>
    <x v="4"/>
    <x v="4"/>
    <x v="2"/>
    <n v="5.01"/>
    <x v="1"/>
    <s v="No"/>
    <s v="Jordan"/>
    <x v="0"/>
    <n v="9"/>
    <s v="Decaf"/>
    <x v="0"/>
  </r>
  <r>
    <x v="903"/>
    <x v="4"/>
    <x v="3"/>
    <x v="1"/>
    <x v="5"/>
    <x v="0"/>
    <n v="3.79"/>
    <x v="1"/>
    <s v="No"/>
    <s v="Jordan"/>
    <x v="2"/>
    <n v="8"/>
    <s v="Decaf"/>
    <x v="0"/>
  </r>
  <r>
    <x v="904"/>
    <x v="4"/>
    <x v="6"/>
    <x v="0"/>
    <x v="6"/>
    <x v="0"/>
    <n v="3.59"/>
    <x v="0"/>
    <s v="No"/>
    <s v="Alex"/>
    <x v="1"/>
    <n v="9"/>
    <s v="Double Espresso"/>
    <x v="2"/>
  </r>
  <r>
    <x v="905"/>
    <x v="3"/>
    <x v="1"/>
    <x v="4"/>
    <x v="6"/>
    <x v="0"/>
    <n v="3.84"/>
    <x v="1"/>
    <s v="No"/>
    <s v="Taylor"/>
    <x v="0"/>
    <n v="3"/>
    <s v="Double Espresso"/>
    <x v="4"/>
  </r>
  <r>
    <x v="906"/>
    <x v="1"/>
    <x v="5"/>
    <x v="4"/>
    <x v="2"/>
    <x v="1"/>
    <n v="6.39"/>
    <x v="1"/>
    <s v="Yes"/>
    <s v="Alex"/>
    <x v="2"/>
    <n v="9"/>
    <s v="Almond Milk"/>
    <x v="0"/>
  </r>
  <r>
    <x v="907"/>
    <x v="0"/>
    <x v="7"/>
    <x v="1"/>
    <x v="0"/>
    <x v="0"/>
    <n v="4.6399999999999997"/>
    <x v="2"/>
    <s v="Yes"/>
    <s v="Jordan"/>
    <x v="0"/>
    <n v="6"/>
    <s v="Almond Milk"/>
    <x v="0"/>
  </r>
  <r>
    <x v="908"/>
    <x v="4"/>
    <x v="5"/>
    <x v="4"/>
    <x v="5"/>
    <x v="2"/>
    <n v="6"/>
    <x v="1"/>
    <s v="No"/>
    <s v="Maria"/>
    <x v="2"/>
    <n v="3"/>
    <s v="Decaf"/>
    <x v="3"/>
  </r>
  <r>
    <x v="909"/>
    <x v="2"/>
    <x v="7"/>
    <x v="3"/>
    <x v="3"/>
    <x v="2"/>
    <n v="5.03"/>
    <x v="2"/>
    <s v="No"/>
    <s v="Chris"/>
    <x v="1"/>
    <n v="10"/>
    <s v="Extra Shot"/>
    <x v="1"/>
  </r>
  <r>
    <x v="910"/>
    <x v="1"/>
    <x v="3"/>
    <x v="4"/>
    <x v="4"/>
    <x v="2"/>
    <n v="5.95"/>
    <x v="2"/>
    <s v="No"/>
    <s v="Taylor"/>
    <x v="1"/>
    <n v="9"/>
    <s v="Almond Milk"/>
    <x v="0"/>
  </r>
  <r>
    <x v="878"/>
    <x v="5"/>
    <x v="4"/>
    <x v="3"/>
    <x v="0"/>
    <x v="1"/>
    <n v="4.9000000000000004"/>
    <x v="0"/>
    <s v="Yes"/>
    <s v="Maria"/>
    <x v="2"/>
    <n v="8"/>
    <s v="Double Espresso"/>
    <x v="3"/>
  </r>
  <r>
    <x v="911"/>
    <x v="2"/>
    <x v="9"/>
    <x v="2"/>
    <x v="2"/>
    <x v="2"/>
    <n v="6.56"/>
    <x v="1"/>
    <s v="No"/>
    <s v="Maria"/>
    <x v="0"/>
    <n v="8"/>
    <s v="Double Espresso"/>
    <x v="0"/>
  </r>
  <r>
    <x v="912"/>
    <x v="5"/>
    <x v="9"/>
    <x v="0"/>
    <x v="5"/>
    <x v="2"/>
    <n v="3.2"/>
    <x v="2"/>
    <s v="No"/>
    <s v="Maria"/>
    <x v="0"/>
    <n v="3"/>
    <s v="No Sugar"/>
    <x v="3"/>
  </r>
  <r>
    <x v="913"/>
    <x v="1"/>
    <x v="9"/>
    <x v="4"/>
    <x v="6"/>
    <x v="0"/>
    <n v="4.9800000000000004"/>
    <x v="1"/>
    <s v="Yes"/>
    <s v="Maria"/>
    <x v="1"/>
    <n v="6"/>
    <s v="Oat Milk"/>
    <x v="0"/>
  </r>
  <r>
    <x v="914"/>
    <x v="4"/>
    <x v="8"/>
    <x v="0"/>
    <x v="3"/>
    <x v="0"/>
    <n v="6.12"/>
    <x v="0"/>
    <s v="No"/>
    <s v="Maria"/>
    <x v="1"/>
    <n v="2"/>
    <s v="Double Espresso"/>
    <x v="4"/>
  </r>
  <r>
    <x v="642"/>
    <x v="2"/>
    <x v="6"/>
    <x v="3"/>
    <x v="6"/>
    <x v="1"/>
    <n v="5.19"/>
    <x v="1"/>
    <s v="No"/>
    <s v="Taylor"/>
    <x v="1"/>
    <n v="2"/>
    <s v="No Sugar"/>
    <x v="4"/>
  </r>
  <r>
    <x v="915"/>
    <x v="4"/>
    <x v="1"/>
    <x v="0"/>
    <x v="0"/>
    <x v="0"/>
    <n v="5.24"/>
    <x v="2"/>
    <s v="No"/>
    <s v="Maria"/>
    <x v="2"/>
    <n v="7"/>
    <s v="Double Espresso"/>
    <x v="1"/>
  </r>
  <r>
    <x v="916"/>
    <x v="6"/>
    <x v="9"/>
    <x v="3"/>
    <x v="4"/>
    <x v="0"/>
    <n v="3"/>
    <x v="1"/>
    <s v="Yes"/>
    <s v="Chris"/>
    <x v="0"/>
    <n v="8"/>
    <s v="Double Espresso"/>
    <x v="0"/>
  </r>
  <r>
    <x v="917"/>
    <x v="3"/>
    <x v="4"/>
    <x v="0"/>
    <x v="2"/>
    <x v="1"/>
    <n v="4.58"/>
    <x v="2"/>
    <s v="No"/>
    <s v="Taylor"/>
    <x v="0"/>
    <n v="3"/>
    <s v="Decaf"/>
    <x v="3"/>
  </r>
  <r>
    <x v="918"/>
    <x v="5"/>
    <x v="5"/>
    <x v="4"/>
    <x v="0"/>
    <x v="0"/>
    <n v="6.99"/>
    <x v="2"/>
    <s v="Yes"/>
    <s v="Chris"/>
    <x v="0"/>
    <n v="4"/>
    <s v="Whipped Cream"/>
    <x v="1"/>
  </r>
  <r>
    <x v="919"/>
    <x v="2"/>
    <x v="5"/>
    <x v="1"/>
    <x v="6"/>
    <x v="2"/>
    <n v="4.63"/>
    <x v="2"/>
    <s v="No"/>
    <s v="Maria"/>
    <x v="2"/>
    <n v="2"/>
    <s v="No Sugar"/>
    <x v="2"/>
  </r>
  <r>
    <x v="791"/>
    <x v="4"/>
    <x v="5"/>
    <x v="4"/>
    <x v="1"/>
    <x v="2"/>
    <n v="3.09"/>
    <x v="2"/>
    <s v="No"/>
    <s v="Chris"/>
    <x v="1"/>
    <n v="9"/>
    <s v="Extra Shot"/>
    <x v="2"/>
  </r>
  <r>
    <x v="920"/>
    <x v="4"/>
    <x v="5"/>
    <x v="4"/>
    <x v="5"/>
    <x v="0"/>
    <n v="6.49"/>
    <x v="1"/>
    <s v="No"/>
    <s v="Chris"/>
    <x v="2"/>
    <n v="8"/>
    <s v="Decaf"/>
    <x v="3"/>
  </r>
  <r>
    <x v="921"/>
    <x v="0"/>
    <x v="3"/>
    <x v="2"/>
    <x v="1"/>
    <x v="2"/>
    <n v="3.51"/>
    <x v="0"/>
    <s v="Yes"/>
    <s v="Taylor"/>
    <x v="0"/>
    <n v="2"/>
    <s v="Whipped Cream"/>
    <x v="4"/>
  </r>
  <r>
    <x v="922"/>
    <x v="0"/>
    <x v="7"/>
    <x v="2"/>
    <x v="3"/>
    <x v="0"/>
    <n v="4.7699999999999996"/>
    <x v="0"/>
    <s v="Yes"/>
    <s v="Maria"/>
    <x v="1"/>
    <n v="4"/>
    <s v="Decaf"/>
    <x v="4"/>
  </r>
  <r>
    <x v="923"/>
    <x v="4"/>
    <x v="7"/>
    <x v="3"/>
    <x v="5"/>
    <x v="2"/>
    <n v="5.47"/>
    <x v="2"/>
    <s v="No"/>
    <s v="Jordan"/>
    <x v="0"/>
    <n v="10"/>
    <s v="Decaf"/>
    <x v="2"/>
  </r>
  <r>
    <x v="924"/>
    <x v="0"/>
    <x v="9"/>
    <x v="4"/>
    <x v="5"/>
    <x v="0"/>
    <n v="4.3099999999999996"/>
    <x v="1"/>
    <s v="No"/>
    <s v="Chris"/>
    <x v="0"/>
    <n v="2"/>
    <s v="Almond Milk"/>
    <x v="3"/>
  </r>
  <r>
    <x v="925"/>
    <x v="5"/>
    <x v="0"/>
    <x v="1"/>
    <x v="0"/>
    <x v="2"/>
    <n v="6.12"/>
    <x v="0"/>
    <s v="Yes"/>
    <s v="Jordan"/>
    <x v="1"/>
    <n v="2"/>
    <s v="No Sugar"/>
    <x v="3"/>
  </r>
  <r>
    <x v="920"/>
    <x v="4"/>
    <x v="5"/>
    <x v="2"/>
    <x v="2"/>
    <x v="2"/>
    <n v="5.15"/>
    <x v="1"/>
    <s v="No"/>
    <s v="Maria"/>
    <x v="1"/>
    <n v="7"/>
    <s v="Extra Shot"/>
    <x v="4"/>
  </r>
  <r>
    <x v="926"/>
    <x v="4"/>
    <x v="1"/>
    <x v="3"/>
    <x v="4"/>
    <x v="1"/>
    <n v="4.3099999999999996"/>
    <x v="1"/>
    <s v="Yes"/>
    <s v="Jamie"/>
    <x v="1"/>
    <n v="2"/>
    <s v="Almond Milk"/>
    <x v="3"/>
  </r>
  <r>
    <x v="927"/>
    <x v="5"/>
    <x v="0"/>
    <x v="1"/>
    <x v="3"/>
    <x v="2"/>
    <n v="6.89"/>
    <x v="0"/>
    <s v="Yes"/>
    <s v="Alex"/>
    <x v="1"/>
    <n v="8"/>
    <s v="Decaf"/>
    <x v="2"/>
  </r>
  <r>
    <x v="928"/>
    <x v="1"/>
    <x v="7"/>
    <x v="0"/>
    <x v="6"/>
    <x v="1"/>
    <n v="4.6399999999999997"/>
    <x v="0"/>
    <s v="No"/>
    <s v="Chris"/>
    <x v="2"/>
    <n v="2"/>
    <s v="Whipped Cream"/>
    <x v="2"/>
  </r>
  <r>
    <x v="929"/>
    <x v="1"/>
    <x v="8"/>
    <x v="0"/>
    <x v="3"/>
    <x v="2"/>
    <n v="6.57"/>
    <x v="1"/>
    <s v="No"/>
    <s v="Chris"/>
    <x v="1"/>
    <n v="5"/>
    <s v="Extra Shot"/>
    <x v="0"/>
  </r>
  <r>
    <x v="718"/>
    <x v="1"/>
    <x v="4"/>
    <x v="1"/>
    <x v="2"/>
    <x v="1"/>
    <n v="4.03"/>
    <x v="0"/>
    <s v="No"/>
    <s v="Maria"/>
    <x v="0"/>
    <n v="4"/>
    <s v="Whipped Cream"/>
    <x v="4"/>
  </r>
  <r>
    <x v="930"/>
    <x v="1"/>
    <x v="6"/>
    <x v="2"/>
    <x v="6"/>
    <x v="2"/>
    <n v="4.34"/>
    <x v="1"/>
    <s v="No"/>
    <s v="Maria"/>
    <x v="2"/>
    <n v="2"/>
    <s v="Oat Milk"/>
    <x v="4"/>
  </r>
  <r>
    <x v="931"/>
    <x v="5"/>
    <x v="1"/>
    <x v="1"/>
    <x v="2"/>
    <x v="1"/>
    <n v="3.72"/>
    <x v="0"/>
    <s v="No"/>
    <s v="Jamie"/>
    <x v="0"/>
    <n v="9"/>
    <s v="No Sugar"/>
    <x v="4"/>
  </r>
  <r>
    <x v="932"/>
    <x v="5"/>
    <x v="8"/>
    <x v="2"/>
    <x v="6"/>
    <x v="0"/>
    <n v="3.41"/>
    <x v="2"/>
    <s v="No"/>
    <s v="Jordan"/>
    <x v="2"/>
    <n v="3"/>
    <s v="No Sugar"/>
    <x v="0"/>
  </r>
  <r>
    <x v="933"/>
    <x v="6"/>
    <x v="6"/>
    <x v="3"/>
    <x v="5"/>
    <x v="1"/>
    <n v="6.97"/>
    <x v="2"/>
    <s v="Yes"/>
    <s v="Alex"/>
    <x v="1"/>
    <n v="10"/>
    <s v="Decaf"/>
    <x v="4"/>
  </r>
  <r>
    <x v="934"/>
    <x v="2"/>
    <x v="7"/>
    <x v="1"/>
    <x v="1"/>
    <x v="0"/>
    <n v="3.69"/>
    <x v="1"/>
    <s v="No"/>
    <s v="Jamie"/>
    <x v="2"/>
    <n v="6"/>
    <s v="Decaf"/>
    <x v="1"/>
  </r>
  <r>
    <x v="935"/>
    <x v="4"/>
    <x v="9"/>
    <x v="4"/>
    <x v="1"/>
    <x v="0"/>
    <n v="5.55"/>
    <x v="0"/>
    <s v="Yes"/>
    <s v="Maria"/>
    <x v="0"/>
    <n v="3"/>
    <s v="Extra Shot"/>
    <x v="3"/>
  </r>
  <r>
    <x v="936"/>
    <x v="3"/>
    <x v="6"/>
    <x v="0"/>
    <x v="3"/>
    <x v="0"/>
    <n v="4.72"/>
    <x v="1"/>
    <s v="No"/>
    <s v="Taylor"/>
    <x v="2"/>
    <n v="9"/>
    <s v="Double Espresso"/>
    <x v="2"/>
  </r>
  <r>
    <x v="937"/>
    <x v="4"/>
    <x v="1"/>
    <x v="4"/>
    <x v="4"/>
    <x v="0"/>
    <n v="4.24"/>
    <x v="2"/>
    <s v="Yes"/>
    <s v="Taylor"/>
    <x v="1"/>
    <n v="6"/>
    <s v="No Sugar"/>
    <x v="2"/>
  </r>
  <r>
    <x v="938"/>
    <x v="0"/>
    <x v="9"/>
    <x v="4"/>
    <x v="5"/>
    <x v="1"/>
    <n v="4.1399999999999997"/>
    <x v="0"/>
    <s v="No"/>
    <s v="Jordan"/>
    <x v="2"/>
    <n v="5"/>
    <s v="Whipped Cream"/>
    <x v="3"/>
  </r>
  <r>
    <x v="939"/>
    <x v="4"/>
    <x v="2"/>
    <x v="0"/>
    <x v="3"/>
    <x v="2"/>
    <n v="5.46"/>
    <x v="1"/>
    <s v="No"/>
    <s v="Jordan"/>
    <x v="0"/>
    <n v="3"/>
    <s v="Decaf"/>
    <x v="4"/>
  </r>
  <r>
    <x v="940"/>
    <x v="0"/>
    <x v="9"/>
    <x v="1"/>
    <x v="2"/>
    <x v="2"/>
    <n v="4.17"/>
    <x v="1"/>
    <s v="Yes"/>
    <s v="Jamie"/>
    <x v="2"/>
    <n v="2"/>
    <s v="Extra Shot"/>
    <x v="0"/>
  </r>
  <r>
    <x v="941"/>
    <x v="4"/>
    <x v="1"/>
    <x v="2"/>
    <x v="6"/>
    <x v="1"/>
    <n v="5.86"/>
    <x v="1"/>
    <s v="Yes"/>
    <s v="Alex"/>
    <x v="0"/>
    <n v="8"/>
    <s v="Extra Shot"/>
    <x v="3"/>
  </r>
  <r>
    <x v="942"/>
    <x v="2"/>
    <x v="2"/>
    <x v="0"/>
    <x v="4"/>
    <x v="0"/>
    <n v="4.3"/>
    <x v="1"/>
    <s v="Yes"/>
    <s v="Chris"/>
    <x v="0"/>
    <n v="5"/>
    <s v="No Sugar"/>
    <x v="1"/>
  </r>
  <r>
    <x v="943"/>
    <x v="0"/>
    <x v="4"/>
    <x v="2"/>
    <x v="4"/>
    <x v="0"/>
    <n v="5.86"/>
    <x v="0"/>
    <s v="No"/>
    <s v="Jamie"/>
    <x v="0"/>
    <n v="6"/>
    <s v="Double Espresso"/>
    <x v="3"/>
  </r>
  <r>
    <x v="944"/>
    <x v="6"/>
    <x v="8"/>
    <x v="4"/>
    <x v="3"/>
    <x v="1"/>
    <n v="6.67"/>
    <x v="0"/>
    <s v="No"/>
    <s v="Chris"/>
    <x v="1"/>
    <n v="2"/>
    <s v="Whipped Cream"/>
    <x v="0"/>
  </r>
  <r>
    <x v="441"/>
    <x v="3"/>
    <x v="7"/>
    <x v="4"/>
    <x v="5"/>
    <x v="0"/>
    <n v="4.9000000000000004"/>
    <x v="1"/>
    <s v="Yes"/>
    <s v="Jamie"/>
    <x v="0"/>
    <n v="10"/>
    <s v="Almond Milk"/>
    <x v="3"/>
  </r>
  <r>
    <x v="945"/>
    <x v="3"/>
    <x v="8"/>
    <x v="3"/>
    <x v="0"/>
    <x v="0"/>
    <n v="5.15"/>
    <x v="1"/>
    <s v="No"/>
    <s v="Taylor"/>
    <x v="0"/>
    <n v="8"/>
    <s v="Whipped Cream"/>
    <x v="0"/>
  </r>
  <r>
    <x v="109"/>
    <x v="5"/>
    <x v="9"/>
    <x v="3"/>
    <x v="4"/>
    <x v="0"/>
    <n v="6.54"/>
    <x v="1"/>
    <s v="Yes"/>
    <s v="Chris"/>
    <x v="1"/>
    <n v="9"/>
    <s v="Double Espresso"/>
    <x v="1"/>
  </r>
  <r>
    <x v="946"/>
    <x v="7"/>
    <x v="10"/>
    <x v="5"/>
    <x v="7"/>
    <x v="3"/>
    <m/>
    <x v="3"/>
    <m/>
    <m/>
    <x v="3"/>
    <m/>
    <m/>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A5B51D-7575-4FB1-AB19-56E6B0800380}"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showHeaders="0" outline="1" outlineData="1" multipleFieldFilters="0" rowHeaderCaption="Hour/Day" colHeaderCaption="Workday">
  <location ref="A3:H14" firstHeaderRow="1" firstDataRow="2" firstDataCol="1"/>
  <pivotFields count="14">
    <pivotField showAll="0">
      <items count="948">
        <item x="304"/>
        <item x="445"/>
        <item x="600"/>
        <item x="334"/>
        <item x="355"/>
        <item x="577"/>
        <item x="496"/>
        <item x="833"/>
        <item x="190"/>
        <item x="894"/>
        <item x="783"/>
        <item x="25"/>
        <item x="119"/>
        <item x="317"/>
        <item x="530"/>
        <item x="735"/>
        <item x="637"/>
        <item x="509"/>
        <item x="127"/>
        <item x="193"/>
        <item x="813"/>
        <item x="112"/>
        <item x="826"/>
        <item x="442"/>
        <item x="416"/>
        <item x="901"/>
        <item x="281"/>
        <item x="552"/>
        <item x="346"/>
        <item x="338"/>
        <item x="28"/>
        <item x="187"/>
        <item x="772"/>
        <item x="938"/>
        <item x="670"/>
        <item x="590"/>
        <item x="584"/>
        <item x="620"/>
        <item x="234"/>
        <item x="568"/>
        <item x="575"/>
        <item x="570"/>
        <item x="43"/>
        <item x="331"/>
        <item x="710"/>
        <item x="136"/>
        <item x="754"/>
        <item x="321"/>
        <item x="608"/>
        <item x="858"/>
        <item x="236"/>
        <item x="52"/>
        <item x="648"/>
        <item x="884"/>
        <item x="521"/>
        <item x="687"/>
        <item x="354"/>
        <item x="898"/>
        <item x="158"/>
        <item x="301"/>
        <item x="647"/>
        <item x="130"/>
        <item x="215"/>
        <item x="685"/>
        <item x="920"/>
        <item x="110"/>
        <item x="550"/>
        <item x="225"/>
        <item x="671"/>
        <item x="435"/>
        <item x="313"/>
        <item x="370"/>
        <item x="360"/>
        <item x="212"/>
        <item x="377"/>
        <item x="350"/>
        <item x="356"/>
        <item x="291"/>
        <item x="802"/>
        <item x="722"/>
        <item x="524"/>
        <item x="939"/>
        <item x="101"/>
        <item x="298"/>
        <item x="793"/>
        <item x="266"/>
        <item x="738"/>
        <item x="63"/>
        <item x="335"/>
        <item x="565"/>
        <item x="673"/>
        <item x="223"/>
        <item x="16"/>
        <item x="856"/>
        <item x="33"/>
        <item x="171"/>
        <item x="632"/>
        <item x="227"/>
        <item x="90"/>
        <item x="324"/>
        <item x="202"/>
        <item x="294"/>
        <item x="167"/>
        <item x="295"/>
        <item x="79"/>
        <item x="825"/>
        <item x="840"/>
        <item x="392"/>
        <item x="617"/>
        <item x="292"/>
        <item x="344"/>
        <item x="415"/>
        <item x="624"/>
        <item x="546"/>
        <item x="874"/>
        <item x="609"/>
        <item x="832"/>
        <item x="666"/>
        <item x="498"/>
        <item x="166"/>
        <item x="743"/>
        <item x="280"/>
        <item x="899"/>
        <item x="611"/>
        <item x="189"/>
        <item x="422"/>
        <item x="348"/>
        <item x="704"/>
        <item x="878"/>
        <item x="217"/>
        <item x="351"/>
        <item x="263"/>
        <item x="612"/>
        <item x="124"/>
        <item x="610"/>
        <item x="449"/>
        <item x="64"/>
        <item x="472"/>
        <item x="819"/>
        <item x="675"/>
        <item x="853"/>
        <item x="242"/>
        <item x="931"/>
        <item x="873"/>
        <item x="742"/>
        <item x="261"/>
        <item x="711"/>
        <item x="84"/>
        <item x="614"/>
        <item x="485"/>
        <item x="271"/>
        <item x="640"/>
        <item x="490"/>
        <item x="779"/>
        <item x="208"/>
        <item x="522"/>
        <item x="569"/>
        <item x="787"/>
        <item x="544"/>
        <item x="330"/>
        <item x="535"/>
        <item x="270"/>
        <item x="800"/>
        <item x="876"/>
        <item x="932"/>
        <item x="59"/>
        <item x="230"/>
        <item x="268"/>
        <item x="690"/>
        <item x="300"/>
        <item x="912"/>
        <item x="339"/>
        <item x="432"/>
        <item x="200"/>
        <item x="184"/>
        <item x="684"/>
        <item x="426"/>
        <item x="708"/>
        <item x="807"/>
        <item x="228"/>
        <item x="278"/>
        <item x="431"/>
        <item x="854"/>
        <item x="103"/>
        <item x="483"/>
        <item x="863"/>
        <item x="768"/>
        <item x="888"/>
        <item x="589"/>
        <item x="895"/>
        <item x="220"/>
        <item x="917"/>
        <item x="578"/>
        <item x="99"/>
        <item x="412"/>
        <item x="480"/>
        <item x="376"/>
        <item x="75"/>
        <item x="506"/>
        <item x="32"/>
        <item x="18"/>
        <item x="774"/>
        <item x="219"/>
        <item x="759"/>
        <item x="773"/>
        <item x="776"/>
        <item x="191"/>
        <item x="10"/>
        <item x="905"/>
        <item x="380"/>
        <item x="398"/>
        <item x="141"/>
        <item x="769"/>
        <item x="328"/>
        <item x="871"/>
        <item x="650"/>
        <item x="260"/>
        <item x="936"/>
        <item x="97"/>
        <item x="49"/>
        <item x="86"/>
        <item x="504"/>
        <item x="327"/>
        <item x="222"/>
        <item x="563"/>
        <item x="734"/>
        <item x="474"/>
        <item x="453"/>
        <item x="691"/>
        <item x="538"/>
        <item x="798"/>
        <item x="860"/>
        <item x="831"/>
        <item x="747"/>
        <item x="441"/>
        <item x="476"/>
        <item x="411"/>
        <item x="177"/>
        <item x="731"/>
        <item x="542"/>
        <item x="820"/>
        <item x="257"/>
        <item x="477"/>
        <item x="560"/>
        <item x="128"/>
        <item x="207"/>
        <item x="464"/>
        <item x="741"/>
        <item x="226"/>
        <item x="369"/>
        <item x="545"/>
        <item x="804"/>
        <item x="244"/>
        <item x="40"/>
        <item x="309"/>
        <item x="697"/>
        <item x="144"/>
        <item x="762"/>
        <item x="818"/>
        <item x="374"/>
        <item x="942"/>
        <item x="630"/>
        <item x="696"/>
        <item x="256"/>
        <item x="142"/>
        <item x="277"/>
        <item x="82"/>
        <item x="379"/>
        <item x="210"/>
        <item x="643"/>
        <item x="492"/>
        <item x="728"/>
        <item x="716"/>
        <item x="566"/>
        <item x="778"/>
        <item x="37"/>
        <item x="466"/>
        <item x="116"/>
        <item x="810"/>
        <item x="478"/>
        <item x="727"/>
        <item x="911"/>
        <item x="192"/>
        <item x="761"/>
        <item x="58"/>
        <item x="117"/>
        <item x="389"/>
        <item x="287"/>
        <item x="249"/>
        <item x="827"/>
        <item x="662"/>
        <item x="163"/>
        <item x="448"/>
        <item x="739"/>
        <item x="399"/>
        <item x="135"/>
        <item x="405"/>
        <item x="732"/>
        <item x="839"/>
        <item x="66"/>
        <item x="96"/>
        <item x="750"/>
        <item x="235"/>
        <item x="316"/>
        <item x="635"/>
        <item x="173"/>
        <item x="172"/>
        <item x="902"/>
        <item x="89"/>
        <item x="36"/>
        <item x="562"/>
        <item x="133"/>
        <item x="154"/>
        <item x="57"/>
        <item x="178"/>
        <item x="770"/>
        <item x="705"/>
        <item x="363"/>
        <item x="396"/>
        <item x="102"/>
        <item x="930"/>
        <item x="694"/>
        <item x="85"/>
        <item x="525"/>
        <item x="469"/>
        <item x="206"/>
        <item x="849"/>
        <item x="319"/>
        <item x="151"/>
        <item x="452"/>
        <item x="929"/>
        <item x="463"/>
        <item x="745"/>
        <item x="320"/>
        <item x="528"/>
        <item x="766"/>
        <item x="149"/>
        <item x="533"/>
        <item x="282"/>
        <item x="896"/>
        <item x="299"/>
        <item x="707"/>
        <item x="368"/>
        <item x="15"/>
        <item x="267"/>
        <item x="296"/>
        <item x="844"/>
        <item x="325"/>
        <item x="362"/>
        <item x="668"/>
        <item x="583"/>
        <item x="247"/>
        <item x="475"/>
        <item x="382"/>
        <item x="752"/>
        <item x="838"/>
        <item x="869"/>
        <item x="564"/>
        <item x="883"/>
        <item x="619"/>
        <item x="307"/>
        <item x="460"/>
        <item x="543"/>
        <item x="54"/>
        <item x="686"/>
        <item x="255"/>
        <item x="526"/>
        <item x="443"/>
        <item x="900"/>
        <item x="239"/>
        <item x="185"/>
        <item x="417"/>
        <item x="332"/>
        <item x="837"/>
        <item x="305"/>
        <item x="897"/>
        <item x="633"/>
        <item x="347"/>
        <item x="303"/>
        <item x="676"/>
        <item x="70"/>
        <item x="558"/>
        <item x="92"/>
        <item x="384"/>
        <item x="165"/>
        <item x="157"/>
        <item x="438"/>
        <item x="805"/>
        <item x="649"/>
        <item x="523"/>
        <item x="729"/>
        <item x="361"/>
        <item x="53"/>
        <item x="591"/>
        <item x="678"/>
        <item x="34"/>
        <item x="541"/>
        <item x="763"/>
        <item x="733"/>
        <item x="811"/>
        <item x="48"/>
        <item x="93"/>
        <item x="246"/>
        <item x="333"/>
        <item x="851"/>
        <item x="134"/>
        <item x="815"/>
        <item x="198"/>
        <item x="455"/>
        <item x="661"/>
        <item x="179"/>
        <item x="553"/>
        <item x="695"/>
        <item x="511"/>
        <item x="454"/>
        <item x="893"/>
        <item x="310"/>
        <item x="423"/>
        <item x="159"/>
        <item x="660"/>
        <item x="238"/>
        <item x="537"/>
        <item x="726"/>
        <item x="505"/>
        <item x="50"/>
        <item x="5"/>
        <item x="459"/>
        <item x="3"/>
        <item x="674"/>
        <item x="879"/>
        <item x="830"/>
        <item x="94"/>
        <item x="627"/>
        <item x="531"/>
        <item x="357"/>
        <item x="440"/>
        <item x="155"/>
        <item x="870"/>
        <item x="17"/>
        <item x="397"/>
        <item x="698"/>
        <item x="47"/>
        <item x="286"/>
        <item x="514"/>
        <item x="621"/>
        <item x="799"/>
        <item x="626"/>
        <item x="921"/>
        <item x="719"/>
        <item x="922"/>
        <item x="881"/>
        <item x="571"/>
        <item x="430"/>
        <item x="889"/>
        <item x="182"/>
        <item x="403"/>
        <item x="641"/>
        <item x="907"/>
        <item x="677"/>
        <item x="253"/>
        <item x="882"/>
        <item x="709"/>
        <item x="549"/>
        <item x="140"/>
        <item x="108"/>
        <item x="501"/>
        <item x="194"/>
        <item x="700"/>
        <item x="788"/>
        <item x="580"/>
        <item x="808"/>
        <item x="780"/>
        <item x="791"/>
        <item x="113"/>
        <item x="120"/>
        <item x="746"/>
        <item x="107"/>
        <item x="536"/>
        <item x="659"/>
        <item x="252"/>
        <item x="915"/>
        <item x="835"/>
        <item x="532"/>
        <item x="343"/>
        <item x="6"/>
        <item x="941"/>
        <item x="221"/>
        <item x="8"/>
        <item x="683"/>
        <item x="904"/>
        <item x="842"/>
        <item x="792"/>
        <item x="862"/>
        <item x="72"/>
        <item x="433"/>
        <item x="250"/>
        <item x="349"/>
        <item x="428"/>
        <item x="914"/>
        <item x="652"/>
        <item x="404"/>
        <item x="657"/>
        <item x="847"/>
        <item x="717"/>
        <item x="115"/>
        <item x="572"/>
        <item x="61"/>
        <item x="160"/>
        <item x="408"/>
        <item x="699"/>
        <item x="903"/>
        <item x="105"/>
        <item x="232"/>
        <item x="517"/>
        <item x="400"/>
        <item x="631"/>
        <item x="814"/>
        <item x="625"/>
        <item x="645"/>
        <item x="425"/>
        <item x="519"/>
        <item x="850"/>
        <item x="534"/>
        <item x="169"/>
        <item x="497"/>
        <item x="918"/>
        <item x="290"/>
        <item x="161"/>
        <item x="367"/>
        <item x="672"/>
        <item x="567"/>
        <item x="859"/>
        <item x="65"/>
        <item x="7"/>
        <item x="806"/>
        <item x="622"/>
        <item x="507"/>
        <item x="393"/>
        <item x="276"/>
        <item x="183"/>
        <item x="494"/>
        <item x="204"/>
        <item x="573"/>
        <item x="682"/>
        <item x="245"/>
        <item x="817"/>
        <item x="724"/>
        <item x="181"/>
        <item x="502"/>
        <item x="371"/>
        <item x="679"/>
        <item x="656"/>
        <item x="391"/>
        <item x="886"/>
        <item x="342"/>
        <item x="237"/>
        <item x="639"/>
        <item x="593"/>
        <item x="470"/>
        <item x="387"/>
        <item x="352"/>
        <item x="131"/>
        <item x="20"/>
        <item x="755"/>
        <item x="451"/>
        <item x="30"/>
        <item x="885"/>
        <item x="109"/>
        <item x="27"/>
        <item x="174"/>
        <item x="712"/>
        <item x="601"/>
        <item x="669"/>
        <item x="875"/>
        <item x="26"/>
        <item x="211"/>
        <item x="848"/>
        <item x="312"/>
        <item x="318"/>
        <item x="495"/>
        <item x="414"/>
        <item x="224"/>
        <item x="125"/>
        <item x="765"/>
        <item x="581"/>
        <item x="401"/>
        <item x="413"/>
        <item x="927"/>
        <item x="720"/>
        <item x="175"/>
        <item x="395"/>
        <item x="925"/>
        <item x="689"/>
        <item x="80"/>
        <item x="311"/>
        <item x="383"/>
        <item x="197"/>
        <item x="771"/>
        <item x="19"/>
        <item x="456"/>
        <item x="378"/>
        <item x="410"/>
        <item x="12"/>
        <item x="283"/>
        <item x="758"/>
        <item x="114"/>
        <item x="229"/>
        <item x="596"/>
        <item x="493"/>
        <item x="421"/>
        <item x="279"/>
        <item x="520"/>
        <item x="88"/>
        <item x="559"/>
        <item x="866"/>
        <item x="598"/>
        <item x="484"/>
        <item x="945"/>
        <item x="628"/>
        <item x="284"/>
        <item x="555"/>
        <item x="302"/>
        <item x="653"/>
        <item x="515"/>
        <item x="638"/>
        <item x="623"/>
        <item x="561"/>
        <item x="77"/>
        <item x="487"/>
        <item x="471"/>
        <item x="126"/>
        <item x="137"/>
        <item x="241"/>
        <item x="4"/>
        <item x="592"/>
        <item x="71"/>
        <item x="345"/>
        <item x="388"/>
        <item x="488"/>
        <item x="23"/>
        <item x="29"/>
        <item x="828"/>
        <item x="213"/>
        <item x="767"/>
        <item x="73"/>
        <item x="852"/>
        <item x="240"/>
        <item x="919"/>
        <item x="22"/>
        <item x="41"/>
        <item x="753"/>
        <item x="473"/>
        <item x="500"/>
        <item x="196"/>
        <item x="427"/>
        <item x="402"/>
        <item x="2"/>
        <item x="557"/>
        <item x="176"/>
        <item x="868"/>
        <item x="340"/>
        <item x="42"/>
        <item x="275"/>
        <item x="642"/>
        <item x="855"/>
        <item x="857"/>
        <item x="233"/>
        <item x="83"/>
        <item x="243"/>
        <item x="254"/>
        <item x="375"/>
        <item x="100"/>
        <item x="381"/>
        <item x="353"/>
        <item x="725"/>
        <item x="618"/>
        <item x="461"/>
        <item x="87"/>
        <item x="616"/>
        <item x="934"/>
        <item x="909"/>
        <item x="67"/>
        <item x="489"/>
        <item x="841"/>
        <item x="146"/>
        <item x="658"/>
        <item x="199"/>
        <item x="757"/>
        <item x="420"/>
        <item x="11"/>
        <item x="308"/>
        <item x="651"/>
        <item x="444"/>
        <item x="718"/>
        <item x="529"/>
        <item x="693"/>
        <item x="76"/>
        <item x="337"/>
        <item x="796"/>
        <item x="702"/>
        <item x="231"/>
        <item x="574"/>
        <item x="31"/>
        <item x="906"/>
        <item x="846"/>
        <item x="1"/>
        <item x="216"/>
        <item x="429"/>
        <item x="482"/>
        <item x="499"/>
        <item x="269"/>
        <item x="554"/>
        <item x="603"/>
        <item x="366"/>
        <item x="615"/>
        <item x="715"/>
        <item x="576"/>
        <item x="713"/>
        <item x="143"/>
        <item x="218"/>
        <item x="272"/>
        <item x="588"/>
        <item x="385"/>
        <item x="508"/>
        <item x="386"/>
        <item x="148"/>
        <item x="38"/>
        <item x="479"/>
        <item x="68"/>
        <item x="39"/>
        <item x="152"/>
        <item x="394"/>
        <item x="491"/>
        <item x="785"/>
        <item x="864"/>
        <item x="764"/>
        <item x="322"/>
        <item x="913"/>
        <item x="139"/>
        <item x="326"/>
        <item x="723"/>
        <item x="816"/>
        <item x="293"/>
        <item x="644"/>
        <item x="910"/>
        <item x="457"/>
        <item x="789"/>
        <item x="14"/>
        <item x="24"/>
        <item x="928"/>
        <item x="822"/>
        <item x="164"/>
        <item x="132"/>
        <item x="145"/>
        <item x="782"/>
        <item x="503"/>
        <item x="836"/>
        <item x="510"/>
        <item x="436"/>
        <item x="843"/>
        <item x="540"/>
        <item x="74"/>
        <item x="121"/>
        <item x="513"/>
        <item x="274"/>
        <item x="794"/>
        <item x="891"/>
        <item x="890"/>
        <item x="44"/>
        <item x="797"/>
        <item x="865"/>
        <item x="364"/>
        <item x="756"/>
        <item x="887"/>
        <item x="329"/>
        <item x="358"/>
        <item x="587"/>
        <item x="760"/>
        <item x="306"/>
        <item x="288"/>
        <item x="775"/>
        <item x="527"/>
        <item x="599"/>
        <item x="654"/>
        <item x="46"/>
        <item x="153"/>
        <item x="180"/>
        <item x="606"/>
        <item x="933"/>
        <item x="13"/>
        <item x="122"/>
        <item x="944"/>
        <item x="595"/>
        <item x="821"/>
        <item x="98"/>
        <item x="439"/>
        <item x="516"/>
        <item x="582"/>
        <item x="916"/>
        <item x="597"/>
        <item x="104"/>
        <item x="737"/>
        <item x="636"/>
        <item x="692"/>
        <item x="468"/>
        <item x="744"/>
        <item x="613"/>
        <item x="481"/>
        <item x="447"/>
        <item x="69"/>
        <item x="150"/>
        <item x="801"/>
        <item x="323"/>
        <item x="803"/>
        <item x="655"/>
        <item x="512"/>
        <item x="390"/>
        <item x="35"/>
        <item x="861"/>
        <item x="784"/>
        <item x="701"/>
        <item x="551"/>
        <item x="943"/>
        <item x="372"/>
        <item x="790"/>
        <item x="138"/>
        <item x="289"/>
        <item x="812"/>
        <item x="45"/>
        <item x="751"/>
        <item x="809"/>
        <item x="248"/>
        <item x="721"/>
        <item x="634"/>
        <item x="556"/>
        <item x="265"/>
        <item x="156"/>
        <item x="297"/>
        <item x="518"/>
        <item x="188"/>
        <item x="823"/>
        <item x="450"/>
        <item x="872"/>
        <item x="434"/>
        <item x="892"/>
        <item x="60"/>
        <item x="419"/>
        <item x="106"/>
        <item x="118"/>
        <item x="594"/>
        <item x="273"/>
        <item x="681"/>
        <item x="602"/>
        <item x="786"/>
        <item x="162"/>
        <item x="924"/>
        <item x="341"/>
        <item x="462"/>
        <item x="262"/>
        <item x="940"/>
        <item x="81"/>
        <item x="665"/>
        <item x="9"/>
        <item x="78"/>
        <item x="834"/>
        <item x="147"/>
        <item x="418"/>
        <item x="168"/>
        <item x="548"/>
        <item x="373"/>
        <item x="424"/>
        <item x="407"/>
        <item x="95"/>
        <item x="91"/>
        <item x="688"/>
        <item x="51"/>
        <item x="336"/>
        <item x="446"/>
        <item x="0"/>
        <item x="201"/>
        <item x="664"/>
        <item x="736"/>
        <item x="795"/>
        <item x="845"/>
        <item x="129"/>
        <item x="667"/>
        <item x="908"/>
        <item x="824"/>
        <item x="409"/>
        <item x="663"/>
        <item x="740"/>
        <item x="437"/>
        <item x="111"/>
        <item x="926"/>
        <item x="937"/>
        <item x="706"/>
        <item x="251"/>
        <item x="314"/>
        <item x="195"/>
        <item x="867"/>
        <item x="55"/>
        <item x="880"/>
        <item x="748"/>
        <item x="714"/>
        <item x="406"/>
        <item x="585"/>
        <item x="781"/>
        <item x="607"/>
        <item x="646"/>
        <item x="749"/>
        <item x="547"/>
        <item x="605"/>
        <item x="186"/>
        <item x="205"/>
        <item x="170"/>
        <item x="123"/>
        <item x="465"/>
        <item x="579"/>
        <item x="56"/>
        <item x="214"/>
        <item x="935"/>
        <item x="203"/>
        <item x="62"/>
        <item x="315"/>
        <item x="21"/>
        <item x="359"/>
        <item x="539"/>
        <item x="458"/>
        <item x="877"/>
        <item x="258"/>
        <item x="703"/>
        <item x="209"/>
        <item x="923"/>
        <item x="680"/>
        <item x="486"/>
        <item x="259"/>
        <item x="467"/>
        <item x="586"/>
        <item x="264"/>
        <item x="285"/>
        <item x="604"/>
        <item x="365"/>
        <item x="629"/>
        <item x="829"/>
        <item x="730"/>
        <item x="777"/>
        <item x="946"/>
        <item t="default"/>
      </items>
    </pivotField>
    <pivotField axis="axisCol" showAll="0">
      <items count="9">
        <item x="0"/>
        <item x="4"/>
        <item x="5"/>
        <item x="3"/>
        <item x="2"/>
        <item x="1"/>
        <item x="6"/>
        <item h="1" x="7"/>
        <item t="default"/>
      </items>
    </pivotField>
    <pivotField axis="axisRow" showAll="0">
      <items count="12">
        <item x="4"/>
        <item x="5"/>
        <item x="1"/>
        <item x="2"/>
        <item x="6"/>
        <item x="8"/>
        <item x="9"/>
        <item x="3"/>
        <item x="7"/>
        <item x="0"/>
        <item x="10"/>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10">
    <i>
      <x/>
    </i>
    <i>
      <x v="1"/>
    </i>
    <i>
      <x v="2"/>
    </i>
    <i>
      <x v="3"/>
    </i>
    <i>
      <x v="4"/>
    </i>
    <i>
      <x v="5"/>
    </i>
    <i>
      <x v="6"/>
    </i>
    <i>
      <x v="7"/>
    </i>
    <i>
      <x v="8"/>
    </i>
    <i>
      <x v="9"/>
    </i>
  </rowItems>
  <colFields count="1">
    <field x="1"/>
  </colFields>
  <colItems count="7">
    <i>
      <x/>
    </i>
    <i>
      <x v="1"/>
    </i>
    <i>
      <x v="2"/>
    </i>
    <i>
      <x v="3"/>
    </i>
    <i>
      <x v="4"/>
    </i>
    <i>
      <x v="5"/>
    </i>
    <i>
      <x v="6"/>
    </i>
  </colItems>
  <dataFields count="1">
    <dataField name="Hours/Day" fld="6" subtotal="count" baseField="0" baseItem="0" numFmtId="164"/>
  </dataFields>
  <formats count="3">
    <format dxfId="5">
      <pivotArea outline="0" collapsedLevelsAreSubtotals="1" fieldPosition="0"/>
    </format>
    <format dxfId="4">
      <pivotArea dataOnly="0" labelOnly="1" fieldPosition="0">
        <references count="1">
          <reference field="1" count="0"/>
        </references>
      </pivotArea>
    </format>
    <format dxfId="3">
      <pivotArea type="origin" dataOnly="0" labelOnly="1" outline="0"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FB05FB-0A96-47BA-A5A1-BE9A60723407}"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showHeaders="0" outline="1" outlineData="1" multipleFieldFilters="0" rowHeaderCaption="Hour/Day" colHeaderCaption="Workday">
  <location ref="A18:H79" firstHeaderRow="1" firstDataRow="2" firstDataCol="1"/>
  <pivotFields count="14">
    <pivotField showAll="0">
      <items count="948">
        <item x="304"/>
        <item x="445"/>
        <item x="600"/>
        <item x="334"/>
        <item x="355"/>
        <item x="577"/>
        <item x="496"/>
        <item x="833"/>
        <item x="190"/>
        <item x="894"/>
        <item x="783"/>
        <item x="25"/>
        <item x="119"/>
        <item x="317"/>
        <item x="530"/>
        <item x="735"/>
        <item x="637"/>
        <item x="509"/>
        <item x="127"/>
        <item x="193"/>
        <item x="813"/>
        <item x="112"/>
        <item x="826"/>
        <item x="442"/>
        <item x="416"/>
        <item x="901"/>
        <item x="281"/>
        <item x="552"/>
        <item x="346"/>
        <item x="338"/>
        <item x="28"/>
        <item x="187"/>
        <item x="772"/>
        <item x="938"/>
        <item x="670"/>
        <item x="590"/>
        <item x="584"/>
        <item x="620"/>
        <item x="234"/>
        <item x="568"/>
        <item x="575"/>
        <item x="570"/>
        <item x="43"/>
        <item x="331"/>
        <item x="710"/>
        <item x="136"/>
        <item x="754"/>
        <item x="321"/>
        <item x="608"/>
        <item x="858"/>
        <item x="236"/>
        <item x="52"/>
        <item x="648"/>
        <item x="884"/>
        <item x="521"/>
        <item x="687"/>
        <item x="354"/>
        <item x="898"/>
        <item x="158"/>
        <item x="301"/>
        <item x="647"/>
        <item x="130"/>
        <item x="215"/>
        <item x="685"/>
        <item x="920"/>
        <item x="110"/>
        <item x="550"/>
        <item x="225"/>
        <item x="671"/>
        <item x="435"/>
        <item x="313"/>
        <item x="370"/>
        <item x="360"/>
        <item x="212"/>
        <item x="377"/>
        <item x="350"/>
        <item x="356"/>
        <item x="291"/>
        <item x="802"/>
        <item x="722"/>
        <item x="524"/>
        <item x="939"/>
        <item x="101"/>
        <item x="298"/>
        <item x="793"/>
        <item x="266"/>
        <item x="738"/>
        <item x="63"/>
        <item x="335"/>
        <item x="565"/>
        <item x="673"/>
        <item x="223"/>
        <item x="16"/>
        <item x="856"/>
        <item x="33"/>
        <item x="171"/>
        <item x="632"/>
        <item x="227"/>
        <item x="90"/>
        <item x="324"/>
        <item x="202"/>
        <item x="294"/>
        <item x="167"/>
        <item x="295"/>
        <item x="79"/>
        <item x="825"/>
        <item x="840"/>
        <item x="392"/>
        <item x="617"/>
        <item x="292"/>
        <item x="344"/>
        <item x="415"/>
        <item x="624"/>
        <item x="546"/>
        <item x="874"/>
        <item x="609"/>
        <item x="832"/>
        <item x="666"/>
        <item x="498"/>
        <item x="166"/>
        <item x="743"/>
        <item x="280"/>
        <item x="899"/>
        <item x="611"/>
        <item x="189"/>
        <item x="422"/>
        <item x="348"/>
        <item x="704"/>
        <item x="878"/>
        <item x="217"/>
        <item x="351"/>
        <item x="263"/>
        <item x="612"/>
        <item x="124"/>
        <item x="610"/>
        <item x="449"/>
        <item x="64"/>
        <item x="472"/>
        <item x="819"/>
        <item x="675"/>
        <item x="853"/>
        <item x="242"/>
        <item x="931"/>
        <item x="873"/>
        <item x="742"/>
        <item x="261"/>
        <item x="711"/>
        <item x="84"/>
        <item x="614"/>
        <item x="485"/>
        <item x="271"/>
        <item x="640"/>
        <item x="490"/>
        <item x="779"/>
        <item x="208"/>
        <item x="522"/>
        <item x="569"/>
        <item x="787"/>
        <item x="544"/>
        <item x="330"/>
        <item x="535"/>
        <item x="270"/>
        <item x="800"/>
        <item x="876"/>
        <item x="932"/>
        <item x="59"/>
        <item x="230"/>
        <item x="268"/>
        <item x="690"/>
        <item x="300"/>
        <item x="912"/>
        <item x="339"/>
        <item x="432"/>
        <item x="200"/>
        <item x="184"/>
        <item x="684"/>
        <item x="426"/>
        <item x="708"/>
        <item x="807"/>
        <item x="228"/>
        <item x="278"/>
        <item x="431"/>
        <item x="854"/>
        <item x="103"/>
        <item x="483"/>
        <item x="863"/>
        <item x="768"/>
        <item x="888"/>
        <item x="589"/>
        <item x="895"/>
        <item x="220"/>
        <item x="917"/>
        <item x="578"/>
        <item x="99"/>
        <item x="412"/>
        <item x="480"/>
        <item x="376"/>
        <item x="75"/>
        <item x="506"/>
        <item x="32"/>
        <item x="18"/>
        <item x="774"/>
        <item x="219"/>
        <item x="759"/>
        <item x="773"/>
        <item x="776"/>
        <item x="191"/>
        <item x="10"/>
        <item x="905"/>
        <item x="380"/>
        <item x="398"/>
        <item x="141"/>
        <item x="769"/>
        <item x="328"/>
        <item x="871"/>
        <item x="650"/>
        <item x="260"/>
        <item x="936"/>
        <item x="97"/>
        <item x="49"/>
        <item x="86"/>
        <item x="504"/>
        <item x="327"/>
        <item x="222"/>
        <item x="563"/>
        <item x="734"/>
        <item x="474"/>
        <item x="453"/>
        <item x="691"/>
        <item x="538"/>
        <item x="798"/>
        <item x="860"/>
        <item x="831"/>
        <item x="747"/>
        <item x="441"/>
        <item x="476"/>
        <item x="411"/>
        <item x="177"/>
        <item x="731"/>
        <item x="542"/>
        <item x="820"/>
        <item x="257"/>
        <item x="477"/>
        <item x="560"/>
        <item x="128"/>
        <item x="207"/>
        <item x="464"/>
        <item x="741"/>
        <item x="226"/>
        <item x="369"/>
        <item x="545"/>
        <item x="804"/>
        <item x="244"/>
        <item x="40"/>
        <item x="309"/>
        <item x="697"/>
        <item x="144"/>
        <item x="762"/>
        <item x="818"/>
        <item x="374"/>
        <item x="942"/>
        <item x="630"/>
        <item x="696"/>
        <item x="256"/>
        <item x="142"/>
        <item x="277"/>
        <item x="82"/>
        <item x="379"/>
        <item x="210"/>
        <item x="643"/>
        <item x="492"/>
        <item x="728"/>
        <item x="716"/>
        <item x="566"/>
        <item x="778"/>
        <item x="37"/>
        <item x="466"/>
        <item x="116"/>
        <item x="810"/>
        <item x="478"/>
        <item x="727"/>
        <item x="911"/>
        <item x="192"/>
        <item x="761"/>
        <item x="58"/>
        <item x="117"/>
        <item x="389"/>
        <item x="287"/>
        <item x="249"/>
        <item x="827"/>
        <item x="662"/>
        <item x="163"/>
        <item x="448"/>
        <item x="739"/>
        <item x="399"/>
        <item x="135"/>
        <item x="405"/>
        <item x="732"/>
        <item x="839"/>
        <item x="66"/>
        <item x="96"/>
        <item x="750"/>
        <item x="235"/>
        <item x="316"/>
        <item x="635"/>
        <item x="173"/>
        <item x="172"/>
        <item x="902"/>
        <item x="89"/>
        <item x="36"/>
        <item x="562"/>
        <item x="133"/>
        <item x="154"/>
        <item x="57"/>
        <item x="178"/>
        <item x="770"/>
        <item x="705"/>
        <item x="363"/>
        <item x="396"/>
        <item x="102"/>
        <item x="930"/>
        <item x="694"/>
        <item x="85"/>
        <item x="525"/>
        <item x="469"/>
        <item x="206"/>
        <item x="849"/>
        <item x="319"/>
        <item x="151"/>
        <item x="452"/>
        <item x="929"/>
        <item x="463"/>
        <item x="745"/>
        <item x="320"/>
        <item x="528"/>
        <item x="766"/>
        <item x="149"/>
        <item x="533"/>
        <item x="282"/>
        <item x="896"/>
        <item x="299"/>
        <item x="707"/>
        <item x="368"/>
        <item x="15"/>
        <item x="267"/>
        <item x="296"/>
        <item x="844"/>
        <item x="325"/>
        <item x="362"/>
        <item x="668"/>
        <item x="583"/>
        <item x="247"/>
        <item x="475"/>
        <item x="382"/>
        <item x="752"/>
        <item x="838"/>
        <item x="869"/>
        <item x="564"/>
        <item x="883"/>
        <item x="619"/>
        <item x="307"/>
        <item x="460"/>
        <item x="543"/>
        <item x="54"/>
        <item x="686"/>
        <item x="255"/>
        <item x="526"/>
        <item x="443"/>
        <item x="900"/>
        <item x="239"/>
        <item x="185"/>
        <item x="417"/>
        <item x="332"/>
        <item x="837"/>
        <item x="305"/>
        <item x="897"/>
        <item x="633"/>
        <item x="347"/>
        <item x="303"/>
        <item x="676"/>
        <item x="70"/>
        <item x="558"/>
        <item x="92"/>
        <item x="384"/>
        <item x="165"/>
        <item x="157"/>
        <item x="438"/>
        <item x="805"/>
        <item x="649"/>
        <item x="523"/>
        <item x="729"/>
        <item x="361"/>
        <item x="53"/>
        <item x="591"/>
        <item x="678"/>
        <item x="34"/>
        <item x="541"/>
        <item x="763"/>
        <item x="733"/>
        <item x="811"/>
        <item x="48"/>
        <item x="93"/>
        <item x="246"/>
        <item x="333"/>
        <item x="851"/>
        <item x="134"/>
        <item x="815"/>
        <item x="198"/>
        <item x="455"/>
        <item x="661"/>
        <item x="179"/>
        <item x="553"/>
        <item x="695"/>
        <item x="511"/>
        <item x="454"/>
        <item x="893"/>
        <item x="310"/>
        <item x="423"/>
        <item x="159"/>
        <item x="660"/>
        <item x="238"/>
        <item x="537"/>
        <item x="726"/>
        <item x="505"/>
        <item x="50"/>
        <item x="5"/>
        <item x="459"/>
        <item x="3"/>
        <item x="674"/>
        <item x="879"/>
        <item x="830"/>
        <item x="94"/>
        <item x="627"/>
        <item x="531"/>
        <item x="357"/>
        <item x="440"/>
        <item x="155"/>
        <item x="870"/>
        <item x="17"/>
        <item x="397"/>
        <item x="698"/>
        <item x="47"/>
        <item x="286"/>
        <item x="514"/>
        <item x="621"/>
        <item x="799"/>
        <item x="626"/>
        <item x="921"/>
        <item x="719"/>
        <item x="922"/>
        <item x="881"/>
        <item x="571"/>
        <item x="430"/>
        <item x="889"/>
        <item x="182"/>
        <item x="403"/>
        <item x="641"/>
        <item x="907"/>
        <item x="677"/>
        <item x="253"/>
        <item x="882"/>
        <item x="709"/>
        <item x="549"/>
        <item x="140"/>
        <item x="108"/>
        <item x="501"/>
        <item x="194"/>
        <item x="700"/>
        <item x="788"/>
        <item x="580"/>
        <item x="808"/>
        <item x="780"/>
        <item x="791"/>
        <item x="113"/>
        <item x="120"/>
        <item x="746"/>
        <item x="107"/>
        <item x="536"/>
        <item x="659"/>
        <item x="252"/>
        <item x="915"/>
        <item x="835"/>
        <item x="532"/>
        <item x="343"/>
        <item x="6"/>
        <item x="941"/>
        <item x="221"/>
        <item x="8"/>
        <item x="683"/>
        <item x="904"/>
        <item x="842"/>
        <item x="792"/>
        <item x="862"/>
        <item x="72"/>
        <item x="433"/>
        <item x="250"/>
        <item x="349"/>
        <item x="428"/>
        <item x="914"/>
        <item x="652"/>
        <item x="404"/>
        <item x="657"/>
        <item x="847"/>
        <item x="717"/>
        <item x="115"/>
        <item x="572"/>
        <item x="61"/>
        <item x="160"/>
        <item x="408"/>
        <item x="699"/>
        <item x="903"/>
        <item x="105"/>
        <item x="232"/>
        <item x="517"/>
        <item x="400"/>
        <item x="631"/>
        <item x="814"/>
        <item x="625"/>
        <item x="645"/>
        <item x="425"/>
        <item x="519"/>
        <item x="850"/>
        <item x="534"/>
        <item x="169"/>
        <item x="497"/>
        <item x="918"/>
        <item x="290"/>
        <item x="161"/>
        <item x="367"/>
        <item x="672"/>
        <item x="567"/>
        <item x="859"/>
        <item x="65"/>
        <item x="7"/>
        <item x="806"/>
        <item x="622"/>
        <item x="507"/>
        <item x="393"/>
        <item x="276"/>
        <item x="183"/>
        <item x="494"/>
        <item x="204"/>
        <item x="573"/>
        <item x="682"/>
        <item x="245"/>
        <item x="817"/>
        <item x="724"/>
        <item x="181"/>
        <item x="502"/>
        <item x="371"/>
        <item x="679"/>
        <item x="656"/>
        <item x="391"/>
        <item x="886"/>
        <item x="342"/>
        <item x="237"/>
        <item x="639"/>
        <item x="593"/>
        <item x="470"/>
        <item x="387"/>
        <item x="352"/>
        <item x="131"/>
        <item x="20"/>
        <item x="755"/>
        <item x="451"/>
        <item x="30"/>
        <item x="885"/>
        <item x="109"/>
        <item x="27"/>
        <item x="174"/>
        <item x="712"/>
        <item x="601"/>
        <item x="669"/>
        <item x="875"/>
        <item x="26"/>
        <item x="211"/>
        <item x="848"/>
        <item x="312"/>
        <item x="318"/>
        <item x="495"/>
        <item x="414"/>
        <item x="224"/>
        <item x="125"/>
        <item x="765"/>
        <item x="581"/>
        <item x="401"/>
        <item x="413"/>
        <item x="927"/>
        <item x="720"/>
        <item x="175"/>
        <item x="395"/>
        <item x="925"/>
        <item x="689"/>
        <item x="80"/>
        <item x="311"/>
        <item x="383"/>
        <item x="197"/>
        <item x="771"/>
        <item x="19"/>
        <item x="456"/>
        <item x="378"/>
        <item x="410"/>
        <item x="12"/>
        <item x="283"/>
        <item x="758"/>
        <item x="114"/>
        <item x="229"/>
        <item x="596"/>
        <item x="493"/>
        <item x="421"/>
        <item x="279"/>
        <item x="520"/>
        <item x="88"/>
        <item x="559"/>
        <item x="866"/>
        <item x="598"/>
        <item x="484"/>
        <item x="945"/>
        <item x="628"/>
        <item x="284"/>
        <item x="555"/>
        <item x="302"/>
        <item x="653"/>
        <item x="515"/>
        <item x="638"/>
        <item x="623"/>
        <item x="561"/>
        <item x="77"/>
        <item x="487"/>
        <item x="471"/>
        <item x="126"/>
        <item x="137"/>
        <item x="241"/>
        <item x="4"/>
        <item x="592"/>
        <item x="71"/>
        <item x="345"/>
        <item x="388"/>
        <item x="488"/>
        <item x="23"/>
        <item x="29"/>
        <item x="828"/>
        <item x="213"/>
        <item x="767"/>
        <item x="73"/>
        <item x="852"/>
        <item x="240"/>
        <item x="919"/>
        <item x="22"/>
        <item x="41"/>
        <item x="753"/>
        <item x="473"/>
        <item x="500"/>
        <item x="196"/>
        <item x="427"/>
        <item x="402"/>
        <item x="2"/>
        <item x="557"/>
        <item x="176"/>
        <item x="868"/>
        <item x="340"/>
        <item x="42"/>
        <item x="275"/>
        <item x="642"/>
        <item x="855"/>
        <item x="857"/>
        <item x="233"/>
        <item x="83"/>
        <item x="243"/>
        <item x="254"/>
        <item x="375"/>
        <item x="100"/>
        <item x="381"/>
        <item x="353"/>
        <item x="725"/>
        <item x="618"/>
        <item x="461"/>
        <item x="87"/>
        <item x="616"/>
        <item x="934"/>
        <item x="909"/>
        <item x="67"/>
        <item x="489"/>
        <item x="841"/>
        <item x="146"/>
        <item x="658"/>
        <item x="199"/>
        <item x="757"/>
        <item x="420"/>
        <item x="11"/>
        <item x="308"/>
        <item x="651"/>
        <item x="444"/>
        <item x="718"/>
        <item x="529"/>
        <item x="693"/>
        <item x="76"/>
        <item x="337"/>
        <item x="796"/>
        <item x="702"/>
        <item x="231"/>
        <item x="574"/>
        <item x="31"/>
        <item x="906"/>
        <item x="846"/>
        <item x="1"/>
        <item x="216"/>
        <item x="429"/>
        <item x="482"/>
        <item x="499"/>
        <item x="269"/>
        <item x="554"/>
        <item x="603"/>
        <item x="366"/>
        <item x="615"/>
        <item x="715"/>
        <item x="576"/>
        <item x="713"/>
        <item x="143"/>
        <item x="218"/>
        <item x="272"/>
        <item x="588"/>
        <item x="385"/>
        <item x="508"/>
        <item x="386"/>
        <item x="148"/>
        <item x="38"/>
        <item x="479"/>
        <item x="68"/>
        <item x="39"/>
        <item x="152"/>
        <item x="394"/>
        <item x="491"/>
        <item x="785"/>
        <item x="864"/>
        <item x="764"/>
        <item x="322"/>
        <item x="913"/>
        <item x="139"/>
        <item x="326"/>
        <item x="723"/>
        <item x="816"/>
        <item x="293"/>
        <item x="644"/>
        <item x="910"/>
        <item x="457"/>
        <item x="789"/>
        <item x="14"/>
        <item x="24"/>
        <item x="928"/>
        <item x="822"/>
        <item x="164"/>
        <item x="132"/>
        <item x="145"/>
        <item x="782"/>
        <item x="503"/>
        <item x="836"/>
        <item x="510"/>
        <item x="436"/>
        <item x="843"/>
        <item x="540"/>
        <item x="74"/>
        <item x="121"/>
        <item x="513"/>
        <item x="274"/>
        <item x="794"/>
        <item x="891"/>
        <item x="890"/>
        <item x="44"/>
        <item x="797"/>
        <item x="865"/>
        <item x="364"/>
        <item x="756"/>
        <item x="887"/>
        <item x="329"/>
        <item x="358"/>
        <item x="587"/>
        <item x="760"/>
        <item x="306"/>
        <item x="288"/>
        <item x="775"/>
        <item x="527"/>
        <item x="599"/>
        <item x="654"/>
        <item x="46"/>
        <item x="153"/>
        <item x="180"/>
        <item x="606"/>
        <item x="933"/>
        <item x="13"/>
        <item x="122"/>
        <item x="944"/>
        <item x="595"/>
        <item x="821"/>
        <item x="98"/>
        <item x="439"/>
        <item x="516"/>
        <item x="582"/>
        <item x="916"/>
        <item x="597"/>
        <item x="104"/>
        <item x="737"/>
        <item x="636"/>
        <item x="692"/>
        <item x="468"/>
        <item x="744"/>
        <item x="613"/>
        <item x="481"/>
        <item x="447"/>
        <item x="69"/>
        <item x="150"/>
        <item x="801"/>
        <item x="323"/>
        <item x="803"/>
        <item x="655"/>
        <item x="512"/>
        <item x="390"/>
        <item x="35"/>
        <item x="861"/>
        <item x="784"/>
        <item x="701"/>
        <item x="551"/>
        <item x="943"/>
        <item x="372"/>
        <item x="790"/>
        <item x="138"/>
        <item x="289"/>
        <item x="812"/>
        <item x="45"/>
        <item x="751"/>
        <item x="809"/>
        <item x="248"/>
        <item x="721"/>
        <item x="634"/>
        <item x="556"/>
        <item x="265"/>
        <item x="156"/>
        <item x="297"/>
        <item x="518"/>
        <item x="188"/>
        <item x="823"/>
        <item x="450"/>
        <item x="872"/>
        <item x="434"/>
        <item x="892"/>
        <item x="60"/>
        <item x="419"/>
        <item x="106"/>
        <item x="118"/>
        <item x="594"/>
        <item x="273"/>
        <item x="681"/>
        <item x="602"/>
        <item x="786"/>
        <item x="162"/>
        <item x="924"/>
        <item x="341"/>
        <item x="462"/>
        <item x="262"/>
        <item x="940"/>
        <item x="81"/>
        <item x="665"/>
        <item x="9"/>
        <item x="78"/>
        <item x="834"/>
        <item x="147"/>
        <item x="418"/>
        <item x="168"/>
        <item x="548"/>
        <item x="373"/>
        <item x="424"/>
        <item x="407"/>
        <item x="95"/>
        <item x="91"/>
        <item x="688"/>
        <item x="51"/>
        <item x="336"/>
        <item x="446"/>
        <item x="0"/>
        <item x="201"/>
        <item x="664"/>
        <item x="736"/>
        <item x="795"/>
        <item x="845"/>
        <item x="129"/>
        <item x="667"/>
        <item x="908"/>
        <item x="824"/>
        <item x="409"/>
        <item x="663"/>
        <item x="740"/>
        <item x="437"/>
        <item x="111"/>
        <item x="926"/>
        <item x="937"/>
        <item x="706"/>
        <item x="251"/>
        <item x="314"/>
        <item x="195"/>
        <item x="867"/>
        <item x="55"/>
        <item x="880"/>
        <item x="748"/>
        <item x="714"/>
        <item x="406"/>
        <item x="585"/>
        <item x="781"/>
        <item x="607"/>
        <item x="646"/>
        <item x="749"/>
        <item x="547"/>
        <item x="605"/>
        <item x="186"/>
        <item x="205"/>
        <item x="170"/>
        <item x="123"/>
        <item x="465"/>
        <item x="579"/>
        <item x="56"/>
        <item x="214"/>
        <item x="935"/>
        <item x="203"/>
        <item x="62"/>
        <item x="315"/>
        <item x="21"/>
        <item x="359"/>
        <item x="539"/>
        <item x="458"/>
        <item x="877"/>
        <item x="258"/>
        <item x="703"/>
        <item x="209"/>
        <item x="923"/>
        <item x="680"/>
        <item x="486"/>
        <item x="259"/>
        <item x="467"/>
        <item x="586"/>
        <item x="264"/>
        <item x="285"/>
        <item x="604"/>
        <item x="365"/>
        <item x="629"/>
        <item x="829"/>
        <item x="730"/>
        <item x="777"/>
        <item x="946"/>
        <item t="default"/>
      </items>
    </pivotField>
    <pivotField axis="axisCol" showAll="0">
      <items count="9">
        <item x="0"/>
        <item x="4"/>
        <item x="5"/>
        <item x="3"/>
        <item x="2"/>
        <item x="1"/>
        <item x="6"/>
        <item h="1" x="7"/>
        <item t="default"/>
      </items>
    </pivotField>
    <pivotField axis="axisRow" showAll="0">
      <items count="12">
        <item x="4"/>
        <item x="5"/>
        <item x="1"/>
        <item x="2"/>
        <item x="6"/>
        <item x="8"/>
        <item x="9"/>
        <item x="3"/>
        <item x="7"/>
        <item x="0"/>
        <item x="10"/>
        <item t="default"/>
      </items>
    </pivotField>
    <pivotField axis="axisRow" showAll="0">
      <items count="7">
        <item x="2"/>
        <item x="4"/>
        <item x="3"/>
        <item x="0"/>
        <item x="1"/>
        <item x="5"/>
        <item t="default"/>
      </items>
    </pivotField>
    <pivotField showAll="0"/>
    <pivotField showAll="0"/>
    <pivotField dataField="1" showAll="0"/>
    <pivotField showAll="0"/>
    <pivotField showAll="0"/>
    <pivotField showAll="0"/>
    <pivotField showAll="0"/>
    <pivotField showAll="0"/>
    <pivotField showAll="0"/>
    <pivotField showAll="0"/>
  </pivotFields>
  <rowFields count="2">
    <field x="2"/>
    <field x="3"/>
  </rowFields>
  <rowItems count="60">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x v="6"/>
    </i>
    <i r="1">
      <x/>
    </i>
    <i r="1">
      <x v="1"/>
    </i>
    <i r="1">
      <x v="2"/>
    </i>
    <i r="1">
      <x v="3"/>
    </i>
    <i r="1">
      <x v="4"/>
    </i>
    <i>
      <x v="7"/>
    </i>
    <i r="1">
      <x/>
    </i>
    <i r="1">
      <x v="1"/>
    </i>
    <i r="1">
      <x v="2"/>
    </i>
    <i r="1">
      <x v="3"/>
    </i>
    <i r="1">
      <x v="4"/>
    </i>
    <i>
      <x v="8"/>
    </i>
    <i r="1">
      <x/>
    </i>
    <i r="1">
      <x v="1"/>
    </i>
    <i r="1">
      <x v="2"/>
    </i>
    <i r="1">
      <x v="3"/>
    </i>
    <i r="1">
      <x v="4"/>
    </i>
    <i>
      <x v="9"/>
    </i>
    <i r="1">
      <x/>
    </i>
    <i r="1">
      <x v="1"/>
    </i>
    <i r="1">
      <x v="2"/>
    </i>
    <i r="1">
      <x v="3"/>
    </i>
    <i r="1">
      <x v="4"/>
    </i>
  </rowItems>
  <colFields count="1">
    <field x="1"/>
  </colFields>
  <colItems count="7">
    <i>
      <x/>
    </i>
    <i>
      <x v="1"/>
    </i>
    <i>
      <x v="2"/>
    </i>
    <i>
      <x v="3"/>
    </i>
    <i>
      <x v="4"/>
    </i>
    <i>
      <x v="5"/>
    </i>
    <i>
      <x v="6"/>
    </i>
  </colItems>
  <dataFields count="1">
    <dataField name="Hours/Day" fld="6" subtotal="count" baseField="0" baseItem="0" numFmtId="164"/>
  </dataFields>
  <formats count="3">
    <format dxfId="8">
      <pivotArea outline="0" collapsedLevelsAreSubtotals="1" fieldPosition="0"/>
    </format>
    <format dxfId="7">
      <pivotArea dataOnly="0" labelOnly="1" fieldPosition="0">
        <references count="1">
          <reference field="1" count="0"/>
        </references>
      </pivotArea>
    </format>
    <format dxfId="6">
      <pivotArea type="origin" dataOnly="0" labelOnly="1" outline="0"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62857D-CC64-4D66-98F1-8AC5F5B4F25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rowPageCount="1" colPageCount="1"/>
  <pivotFields count="14">
    <pivotField showAll="0">
      <items count="948">
        <item x="304"/>
        <item x="445"/>
        <item x="600"/>
        <item x="334"/>
        <item x="355"/>
        <item x="577"/>
        <item x="496"/>
        <item x="833"/>
        <item x="190"/>
        <item x="894"/>
        <item x="783"/>
        <item x="25"/>
        <item x="119"/>
        <item x="317"/>
        <item x="530"/>
        <item x="735"/>
        <item x="637"/>
        <item x="509"/>
        <item x="127"/>
        <item x="193"/>
        <item x="813"/>
        <item x="112"/>
        <item x="826"/>
        <item x="442"/>
        <item x="416"/>
        <item x="901"/>
        <item x="281"/>
        <item x="552"/>
        <item x="346"/>
        <item x="338"/>
        <item x="28"/>
        <item x="187"/>
        <item x="772"/>
        <item x="938"/>
        <item x="670"/>
        <item x="590"/>
        <item x="584"/>
        <item x="620"/>
        <item x="234"/>
        <item x="568"/>
        <item x="575"/>
        <item x="570"/>
        <item x="43"/>
        <item x="331"/>
        <item x="710"/>
        <item x="136"/>
        <item x="754"/>
        <item x="321"/>
        <item x="608"/>
        <item x="858"/>
        <item x="236"/>
        <item x="52"/>
        <item x="648"/>
        <item x="884"/>
        <item x="521"/>
        <item x="687"/>
        <item x="354"/>
        <item x="898"/>
        <item x="158"/>
        <item x="301"/>
        <item x="647"/>
        <item x="130"/>
        <item x="215"/>
        <item x="685"/>
        <item x="920"/>
        <item x="110"/>
        <item x="550"/>
        <item x="225"/>
        <item x="671"/>
        <item x="435"/>
        <item x="313"/>
        <item x="370"/>
        <item x="360"/>
        <item x="212"/>
        <item x="377"/>
        <item x="350"/>
        <item x="356"/>
        <item x="291"/>
        <item x="802"/>
        <item x="722"/>
        <item x="524"/>
        <item x="939"/>
        <item x="101"/>
        <item x="298"/>
        <item x="793"/>
        <item x="266"/>
        <item x="738"/>
        <item x="63"/>
        <item x="335"/>
        <item x="565"/>
        <item x="673"/>
        <item x="223"/>
        <item x="16"/>
        <item x="856"/>
        <item x="33"/>
        <item x="171"/>
        <item x="632"/>
        <item x="227"/>
        <item x="90"/>
        <item x="324"/>
        <item x="202"/>
        <item x="294"/>
        <item x="167"/>
        <item x="295"/>
        <item x="79"/>
        <item x="825"/>
        <item x="840"/>
        <item x="392"/>
        <item x="617"/>
        <item x="292"/>
        <item x="344"/>
        <item x="415"/>
        <item x="624"/>
        <item x="546"/>
        <item x="874"/>
        <item x="609"/>
        <item x="832"/>
        <item x="666"/>
        <item x="498"/>
        <item x="166"/>
        <item x="743"/>
        <item x="280"/>
        <item x="899"/>
        <item x="611"/>
        <item x="189"/>
        <item x="422"/>
        <item x="348"/>
        <item x="704"/>
        <item x="878"/>
        <item x="217"/>
        <item x="351"/>
        <item x="263"/>
        <item x="612"/>
        <item x="124"/>
        <item x="610"/>
        <item x="449"/>
        <item x="64"/>
        <item x="472"/>
        <item x="819"/>
        <item x="675"/>
        <item x="853"/>
        <item x="242"/>
        <item x="931"/>
        <item x="873"/>
        <item x="742"/>
        <item x="261"/>
        <item x="711"/>
        <item x="84"/>
        <item x="614"/>
        <item x="485"/>
        <item x="271"/>
        <item x="640"/>
        <item x="490"/>
        <item x="779"/>
        <item x="208"/>
        <item x="522"/>
        <item x="569"/>
        <item x="787"/>
        <item x="544"/>
        <item x="330"/>
        <item x="535"/>
        <item x="270"/>
        <item x="800"/>
        <item x="876"/>
        <item x="932"/>
        <item x="59"/>
        <item x="230"/>
        <item x="268"/>
        <item x="690"/>
        <item x="300"/>
        <item x="912"/>
        <item x="339"/>
        <item x="432"/>
        <item x="200"/>
        <item x="184"/>
        <item x="684"/>
        <item x="426"/>
        <item x="708"/>
        <item x="807"/>
        <item x="228"/>
        <item x="278"/>
        <item x="431"/>
        <item x="854"/>
        <item x="103"/>
        <item x="483"/>
        <item x="863"/>
        <item x="768"/>
        <item x="888"/>
        <item x="589"/>
        <item x="895"/>
        <item x="220"/>
        <item x="917"/>
        <item x="578"/>
        <item x="99"/>
        <item x="412"/>
        <item x="480"/>
        <item x="376"/>
        <item x="75"/>
        <item x="506"/>
        <item x="32"/>
        <item x="18"/>
        <item x="774"/>
        <item x="219"/>
        <item x="759"/>
        <item x="773"/>
        <item x="776"/>
        <item x="191"/>
        <item x="10"/>
        <item x="905"/>
        <item x="380"/>
        <item x="398"/>
        <item x="141"/>
        <item x="769"/>
        <item x="328"/>
        <item x="871"/>
        <item x="650"/>
        <item x="260"/>
        <item x="936"/>
        <item x="97"/>
        <item x="49"/>
        <item x="86"/>
        <item x="504"/>
        <item x="327"/>
        <item x="222"/>
        <item x="563"/>
        <item x="734"/>
        <item x="474"/>
        <item x="453"/>
        <item x="691"/>
        <item x="538"/>
        <item x="798"/>
        <item x="860"/>
        <item x="831"/>
        <item x="747"/>
        <item x="441"/>
        <item x="476"/>
        <item x="411"/>
        <item x="177"/>
        <item x="731"/>
        <item x="542"/>
        <item x="820"/>
        <item x="257"/>
        <item x="477"/>
        <item x="560"/>
        <item x="128"/>
        <item x="207"/>
        <item x="464"/>
        <item x="741"/>
        <item x="226"/>
        <item x="369"/>
        <item x="545"/>
        <item x="804"/>
        <item x="244"/>
        <item x="40"/>
        <item x="309"/>
        <item x="697"/>
        <item x="144"/>
        <item x="762"/>
        <item x="818"/>
        <item x="374"/>
        <item x="942"/>
        <item x="630"/>
        <item x="696"/>
        <item x="256"/>
        <item x="142"/>
        <item x="277"/>
        <item x="82"/>
        <item x="379"/>
        <item x="210"/>
        <item x="643"/>
        <item x="492"/>
        <item x="728"/>
        <item x="716"/>
        <item x="566"/>
        <item x="778"/>
        <item x="37"/>
        <item x="466"/>
        <item x="116"/>
        <item x="810"/>
        <item x="478"/>
        <item x="727"/>
        <item x="911"/>
        <item x="192"/>
        <item x="761"/>
        <item x="58"/>
        <item x="117"/>
        <item x="389"/>
        <item x="287"/>
        <item x="249"/>
        <item x="827"/>
        <item x="662"/>
        <item x="163"/>
        <item x="448"/>
        <item x="739"/>
        <item x="399"/>
        <item x="135"/>
        <item x="405"/>
        <item x="732"/>
        <item x="839"/>
        <item x="66"/>
        <item x="96"/>
        <item x="750"/>
        <item x="235"/>
        <item x="316"/>
        <item x="635"/>
        <item x="173"/>
        <item x="172"/>
        <item x="902"/>
        <item x="89"/>
        <item x="36"/>
        <item x="562"/>
        <item x="133"/>
        <item x="154"/>
        <item x="57"/>
        <item x="178"/>
        <item x="770"/>
        <item x="705"/>
        <item x="363"/>
        <item x="396"/>
        <item x="102"/>
        <item x="930"/>
        <item x="694"/>
        <item x="85"/>
        <item x="525"/>
        <item x="469"/>
        <item x="206"/>
        <item x="849"/>
        <item x="319"/>
        <item x="151"/>
        <item x="452"/>
        <item x="929"/>
        <item x="463"/>
        <item x="745"/>
        <item x="320"/>
        <item x="528"/>
        <item x="766"/>
        <item x="149"/>
        <item x="533"/>
        <item x="282"/>
        <item x="896"/>
        <item x="299"/>
        <item x="707"/>
        <item x="368"/>
        <item x="15"/>
        <item x="267"/>
        <item x="296"/>
        <item x="844"/>
        <item x="325"/>
        <item x="362"/>
        <item x="668"/>
        <item x="583"/>
        <item x="247"/>
        <item x="475"/>
        <item x="382"/>
        <item x="752"/>
        <item x="838"/>
        <item x="869"/>
        <item x="564"/>
        <item x="883"/>
        <item x="619"/>
        <item x="307"/>
        <item x="460"/>
        <item x="543"/>
        <item x="54"/>
        <item x="686"/>
        <item x="255"/>
        <item x="526"/>
        <item x="443"/>
        <item x="900"/>
        <item x="239"/>
        <item x="185"/>
        <item x="417"/>
        <item x="332"/>
        <item x="837"/>
        <item x="305"/>
        <item x="897"/>
        <item x="633"/>
        <item x="347"/>
        <item x="303"/>
        <item x="676"/>
        <item x="70"/>
        <item x="558"/>
        <item x="92"/>
        <item x="384"/>
        <item x="165"/>
        <item x="157"/>
        <item x="438"/>
        <item x="805"/>
        <item x="649"/>
        <item x="523"/>
        <item x="729"/>
        <item x="361"/>
        <item x="53"/>
        <item x="591"/>
        <item x="678"/>
        <item x="34"/>
        <item x="541"/>
        <item x="763"/>
        <item x="733"/>
        <item x="811"/>
        <item x="48"/>
        <item x="93"/>
        <item x="246"/>
        <item x="333"/>
        <item x="851"/>
        <item x="134"/>
        <item x="815"/>
        <item x="198"/>
        <item x="455"/>
        <item x="661"/>
        <item x="179"/>
        <item x="553"/>
        <item x="695"/>
        <item x="511"/>
        <item x="454"/>
        <item x="893"/>
        <item x="310"/>
        <item x="423"/>
        <item x="159"/>
        <item x="660"/>
        <item x="238"/>
        <item x="537"/>
        <item x="726"/>
        <item x="505"/>
        <item x="50"/>
        <item x="5"/>
        <item x="459"/>
        <item x="3"/>
        <item x="674"/>
        <item x="879"/>
        <item x="830"/>
        <item x="94"/>
        <item x="627"/>
        <item x="531"/>
        <item x="357"/>
        <item x="440"/>
        <item x="155"/>
        <item x="870"/>
        <item x="17"/>
        <item x="397"/>
        <item x="698"/>
        <item x="47"/>
        <item x="286"/>
        <item x="514"/>
        <item x="621"/>
        <item x="799"/>
        <item x="626"/>
        <item x="921"/>
        <item x="719"/>
        <item x="922"/>
        <item x="881"/>
        <item x="571"/>
        <item x="430"/>
        <item x="889"/>
        <item x="182"/>
        <item x="403"/>
        <item x="641"/>
        <item x="907"/>
        <item x="677"/>
        <item x="253"/>
        <item x="882"/>
        <item x="709"/>
        <item x="549"/>
        <item x="140"/>
        <item x="108"/>
        <item x="501"/>
        <item x="194"/>
        <item x="700"/>
        <item x="788"/>
        <item x="580"/>
        <item x="808"/>
        <item x="780"/>
        <item x="791"/>
        <item x="113"/>
        <item x="120"/>
        <item x="746"/>
        <item x="107"/>
        <item x="536"/>
        <item x="659"/>
        <item x="252"/>
        <item x="915"/>
        <item x="835"/>
        <item x="532"/>
        <item x="343"/>
        <item x="6"/>
        <item x="941"/>
        <item x="221"/>
        <item x="8"/>
        <item x="683"/>
        <item x="904"/>
        <item x="842"/>
        <item x="792"/>
        <item x="862"/>
        <item x="72"/>
        <item x="433"/>
        <item x="250"/>
        <item x="349"/>
        <item x="428"/>
        <item x="914"/>
        <item x="652"/>
        <item x="404"/>
        <item x="657"/>
        <item x="847"/>
        <item x="717"/>
        <item x="115"/>
        <item x="572"/>
        <item x="61"/>
        <item x="160"/>
        <item x="408"/>
        <item x="699"/>
        <item x="903"/>
        <item x="105"/>
        <item x="232"/>
        <item x="517"/>
        <item x="400"/>
        <item x="631"/>
        <item x="814"/>
        <item x="625"/>
        <item x="645"/>
        <item x="425"/>
        <item x="519"/>
        <item x="850"/>
        <item x="534"/>
        <item x="169"/>
        <item x="497"/>
        <item x="918"/>
        <item x="290"/>
        <item x="161"/>
        <item x="367"/>
        <item x="672"/>
        <item x="567"/>
        <item x="859"/>
        <item x="65"/>
        <item x="7"/>
        <item x="806"/>
        <item x="622"/>
        <item x="507"/>
        <item x="393"/>
        <item x="276"/>
        <item x="183"/>
        <item x="494"/>
        <item x="204"/>
        <item x="573"/>
        <item x="682"/>
        <item x="245"/>
        <item x="817"/>
        <item x="724"/>
        <item x="181"/>
        <item x="502"/>
        <item x="371"/>
        <item x="679"/>
        <item x="656"/>
        <item x="391"/>
        <item x="886"/>
        <item x="342"/>
        <item x="237"/>
        <item x="639"/>
        <item x="593"/>
        <item x="470"/>
        <item x="387"/>
        <item x="352"/>
        <item x="131"/>
        <item x="20"/>
        <item x="755"/>
        <item x="451"/>
        <item x="30"/>
        <item x="885"/>
        <item x="109"/>
        <item x="27"/>
        <item x="174"/>
        <item x="712"/>
        <item x="601"/>
        <item x="669"/>
        <item x="875"/>
        <item x="26"/>
        <item x="211"/>
        <item x="848"/>
        <item x="312"/>
        <item x="318"/>
        <item x="495"/>
        <item x="414"/>
        <item x="224"/>
        <item x="125"/>
        <item x="765"/>
        <item x="581"/>
        <item x="401"/>
        <item x="413"/>
        <item x="927"/>
        <item x="720"/>
        <item x="175"/>
        <item x="395"/>
        <item x="925"/>
        <item x="689"/>
        <item x="80"/>
        <item x="311"/>
        <item x="383"/>
        <item x="197"/>
        <item x="771"/>
        <item x="19"/>
        <item x="456"/>
        <item x="378"/>
        <item x="410"/>
        <item x="12"/>
        <item x="283"/>
        <item x="758"/>
        <item x="114"/>
        <item x="229"/>
        <item x="596"/>
        <item x="493"/>
        <item x="421"/>
        <item x="279"/>
        <item x="520"/>
        <item x="88"/>
        <item x="559"/>
        <item x="866"/>
        <item x="598"/>
        <item x="484"/>
        <item x="945"/>
        <item x="628"/>
        <item x="284"/>
        <item x="555"/>
        <item x="302"/>
        <item x="653"/>
        <item x="515"/>
        <item x="638"/>
        <item x="623"/>
        <item x="561"/>
        <item x="77"/>
        <item x="487"/>
        <item x="471"/>
        <item x="126"/>
        <item x="137"/>
        <item x="241"/>
        <item x="4"/>
        <item x="592"/>
        <item x="71"/>
        <item x="345"/>
        <item x="388"/>
        <item x="488"/>
        <item x="23"/>
        <item x="29"/>
        <item x="828"/>
        <item x="213"/>
        <item x="767"/>
        <item x="73"/>
        <item x="852"/>
        <item x="240"/>
        <item x="919"/>
        <item x="22"/>
        <item x="41"/>
        <item x="753"/>
        <item x="473"/>
        <item x="500"/>
        <item x="196"/>
        <item x="427"/>
        <item x="402"/>
        <item x="2"/>
        <item x="557"/>
        <item x="176"/>
        <item x="868"/>
        <item x="340"/>
        <item x="42"/>
        <item x="275"/>
        <item x="642"/>
        <item x="855"/>
        <item x="857"/>
        <item x="233"/>
        <item x="83"/>
        <item x="243"/>
        <item x="254"/>
        <item x="375"/>
        <item x="100"/>
        <item x="381"/>
        <item x="353"/>
        <item x="725"/>
        <item x="618"/>
        <item x="461"/>
        <item x="87"/>
        <item x="616"/>
        <item x="934"/>
        <item x="909"/>
        <item x="67"/>
        <item x="489"/>
        <item x="841"/>
        <item x="146"/>
        <item x="658"/>
        <item x="199"/>
        <item x="757"/>
        <item x="420"/>
        <item x="11"/>
        <item x="308"/>
        <item x="651"/>
        <item x="444"/>
        <item x="718"/>
        <item x="529"/>
        <item x="693"/>
        <item x="76"/>
        <item x="337"/>
        <item x="796"/>
        <item x="702"/>
        <item x="231"/>
        <item x="574"/>
        <item x="31"/>
        <item x="906"/>
        <item x="846"/>
        <item x="1"/>
        <item x="216"/>
        <item x="429"/>
        <item x="482"/>
        <item x="499"/>
        <item x="269"/>
        <item x="554"/>
        <item x="603"/>
        <item x="366"/>
        <item x="615"/>
        <item x="715"/>
        <item x="576"/>
        <item x="713"/>
        <item x="143"/>
        <item x="218"/>
        <item x="272"/>
        <item x="588"/>
        <item x="385"/>
        <item x="508"/>
        <item x="386"/>
        <item x="148"/>
        <item x="38"/>
        <item x="479"/>
        <item x="68"/>
        <item x="39"/>
        <item x="152"/>
        <item x="394"/>
        <item x="491"/>
        <item x="785"/>
        <item x="864"/>
        <item x="764"/>
        <item x="322"/>
        <item x="913"/>
        <item x="139"/>
        <item x="326"/>
        <item x="723"/>
        <item x="816"/>
        <item x="293"/>
        <item x="644"/>
        <item x="910"/>
        <item x="457"/>
        <item x="789"/>
        <item x="14"/>
        <item x="24"/>
        <item x="928"/>
        <item x="822"/>
        <item x="164"/>
        <item x="132"/>
        <item x="145"/>
        <item x="782"/>
        <item x="503"/>
        <item x="836"/>
        <item x="510"/>
        <item x="436"/>
        <item x="843"/>
        <item x="540"/>
        <item x="74"/>
        <item x="121"/>
        <item x="513"/>
        <item x="274"/>
        <item x="794"/>
        <item x="891"/>
        <item x="890"/>
        <item x="44"/>
        <item x="797"/>
        <item x="865"/>
        <item x="364"/>
        <item x="756"/>
        <item x="887"/>
        <item x="329"/>
        <item x="358"/>
        <item x="587"/>
        <item x="760"/>
        <item x="306"/>
        <item x="288"/>
        <item x="775"/>
        <item x="527"/>
        <item x="599"/>
        <item x="654"/>
        <item x="46"/>
        <item x="153"/>
        <item x="180"/>
        <item x="606"/>
        <item x="933"/>
        <item x="13"/>
        <item x="122"/>
        <item x="944"/>
        <item x="595"/>
        <item x="821"/>
        <item x="98"/>
        <item x="439"/>
        <item x="516"/>
        <item x="582"/>
        <item x="916"/>
        <item x="597"/>
        <item x="104"/>
        <item x="737"/>
        <item x="636"/>
        <item x="692"/>
        <item x="468"/>
        <item x="744"/>
        <item x="613"/>
        <item x="481"/>
        <item x="447"/>
        <item x="69"/>
        <item x="150"/>
        <item x="801"/>
        <item x="323"/>
        <item x="803"/>
        <item x="655"/>
        <item x="512"/>
        <item x="390"/>
        <item x="35"/>
        <item x="861"/>
        <item x="784"/>
        <item x="701"/>
        <item x="551"/>
        <item x="943"/>
        <item x="372"/>
        <item x="790"/>
        <item x="138"/>
        <item x="289"/>
        <item x="812"/>
        <item x="45"/>
        <item x="751"/>
        <item x="809"/>
        <item x="248"/>
        <item x="721"/>
        <item x="634"/>
        <item x="556"/>
        <item x="265"/>
        <item x="156"/>
        <item x="297"/>
        <item x="518"/>
        <item x="188"/>
        <item x="823"/>
        <item x="450"/>
        <item x="872"/>
        <item x="434"/>
        <item x="892"/>
        <item x="60"/>
        <item x="419"/>
        <item x="106"/>
        <item x="118"/>
        <item x="594"/>
        <item x="273"/>
        <item x="681"/>
        <item x="602"/>
        <item x="786"/>
        <item x="162"/>
        <item x="924"/>
        <item x="341"/>
        <item x="462"/>
        <item x="262"/>
        <item x="940"/>
        <item x="81"/>
        <item x="665"/>
        <item x="9"/>
        <item x="78"/>
        <item x="834"/>
        <item x="147"/>
        <item x="418"/>
        <item x="168"/>
        <item x="548"/>
        <item x="373"/>
        <item x="424"/>
        <item x="407"/>
        <item x="95"/>
        <item x="91"/>
        <item x="688"/>
        <item x="51"/>
        <item x="336"/>
        <item x="446"/>
        <item x="0"/>
        <item x="201"/>
        <item x="664"/>
        <item x="736"/>
        <item x="795"/>
        <item x="845"/>
        <item x="129"/>
        <item x="667"/>
        <item x="908"/>
        <item x="824"/>
        <item x="409"/>
        <item x="663"/>
        <item x="740"/>
        <item x="437"/>
        <item x="111"/>
        <item x="926"/>
        <item x="937"/>
        <item x="706"/>
        <item x="251"/>
        <item x="314"/>
        <item x="195"/>
        <item x="867"/>
        <item x="55"/>
        <item x="880"/>
        <item x="748"/>
        <item x="714"/>
        <item x="406"/>
        <item x="585"/>
        <item x="781"/>
        <item x="607"/>
        <item x="646"/>
        <item x="749"/>
        <item x="547"/>
        <item x="605"/>
        <item x="186"/>
        <item x="205"/>
        <item x="170"/>
        <item x="123"/>
        <item x="465"/>
        <item x="579"/>
        <item x="56"/>
        <item x="214"/>
        <item x="935"/>
        <item x="203"/>
        <item x="62"/>
        <item x="315"/>
        <item x="21"/>
        <item x="359"/>
        <item x="539"/>
        <item x="458"/>
        <item x="877"/>
        <item x="258"/>
        <item x="703"/>
        <item x="209"/>
        <item x="923"/>
        <item x="680"/>
        <item x="486"/>
        <item x="259"/>
        <item x="467"/>
        <item x="586"/>
        <item x="264"/>
        <item x="285"/>
        <item x="604"/>
        <item x="365"/>
        <item x="629"/>
        <item x="829"/>
        <item x="730"/>
        <item x="777"/>
        <item x="946"/>
        <item t="default"/>
      </items>
    </pivotField>
    <pivotField showAll="0"/>
    <pivotField showAll="0">
      <items count="12">
        <item x="4"/>
        <item x="5"/>
        <item x="1"/>
        <item x="2"/>
        <item x="6"/>
        <item x="8"/>
        <item x="9"/>
        <item x="3"/>
        <item x="7"/>
        <item x="0"/>
        <item x="10"/>
        <item t="default"/>
      </items>
    </pivotField>
    <pivotField showAll="0"/>
    <pivotField axis="axisRow" showAll="0">
      <items count="9">
        <item x="5"/>
        <item x="4"/>
        <item x="1"/>
        <item x="6"/>
        <item x="3"/>
        <item x="0"/>
        <item x="2"/>
        <item h="1" x="7"/>
        <item t="default"/>
      </items>
    </pivotField>
    <pivotField showAll="0"/>
    <pivotField showAll="0"/>
    <pivotField showAll="0"/>
    <pivotField showAll="0"/>
    <pivotField showAll="0"/>
    <pivotField showAll="0"/>
    <pivotField showAll="0"/>
    <pivotField showAll="0"/>
    <pivotField axis="axisPage" dataField="1" multipleItemSelectionAllowed="1" showAll="0">
      <items count="7">
        <item h="1" x="3"/>
        <item h="1" x="1"/>
        <item h="1" x="2"/>
        <item h="1" x="4"/>
        <item x="0"/>
        <item h="1" x="5"/>
        <item t="default"/>
      </items>
    </pivotField>
  </pivotFields>
  <rowFields count="1">
    <field x="4"/>
  </rowFields>
  <rowItems count="8">
    <i>
      <x/>
    </i>
    <i>
      <x v="1"/>
    </i>
    <i>
      <x v="2"/>
    </i>
    <i>
      <x v="3"/>
    </i>
    <i>
      <x v="4"/>
    </i>
    <i>
      <x v="5"/>
    </i>
    <i>
      <x v="6"/>
    </i>
    <i t="grand">
      <x/>
    </i>
  </rowItems>
  <colItems count="1">
    <i/>
  </colItems>
  <pageFields count="1">
    <pageField fld="13" hier="-1"/>
  </pageFields>
  <dataFields count="1">
    <dataField name="Count of Order Rating" fld="13"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4A9FE0-D0D7-41D3-8A9F-3CFF5CC9E82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ustomer Type">
  <location ref="A3:B7" firstHeaderRow="1" firstDataRow="1" firstDataCol="1"/>
  <pivotFields count="14">
    <pivotField showAll="0">
      <items count="948">
        <item x="304"/>
        <item x="445"/>
        <item x="600"/>
        <item x="334"/>
        <item x="355"/>
        <item x="577"/>
        <item x="496"/>
        <item x="833"/>
        <item x="190"/>
        <item x="894"/>
        <item x="783"/>
        <item x="25"/>
        <item x="119"/>
        <item x="317"/>
        <item x="530"/>
        <item x="735"/>
        <item x="637"/>
        <item x="509"/>
        <item x="127"/>
        <item x="193"/>
        <item x="813"/>
        <item x="112"/>
        <item x="826"/>
        <item x="442"/>
        <item x="416"/>
        <item x="901"/>
        <item x="281"/>
        <item x="552"/>
        <item x="346"/>
        <item x="338"/>
        <item x="28"/>
        <item x="187"/>
        <item x="772"/>
        <item x="938"/>
        <item x="670"/>
        <item x="590"/>
        <item x="584"/>
        <item x="620"/>
        <item x="234"/>
        <item x="568"/>
        <item x="575"/>
        <item x="570"/>
        <item x="43"/>
        <item x="331"/>
        <item x="710"/>
        <item x="136"/>
        <item x="754"/>
        <item x="321"/>
        <item x="608"/>
        <item x="858"/>
        <item x="236"/>
        <item x="52"/>
        <item x="648"/>
        <item x="884"/>
        <item x="521"/>
        <item x="687"/>
        <item x="354"/>
        <item x="898"/>
        <item x="158"/>
        <item x="301"/>
        <item x="647"/>
        <item x="130"/>
        <item x="215"/>
        <item x="685"/>
        <item x="920"/>
        <item x="110"/>
        <item x="550"/>
        <item x="225"/>
        <item x="671"/>
        <item x="435"/>
        <item x="313"/>
        <item x="370"/>
        <item x="360"/>
        <item x="212"/>
        <item x="377"/>
        <item x="350"/>
        <item x="356"/>
        <item x="291"/>
        <item x="802"/>
        <item x="722"/>
        <item x="524"/>
        <item x="939"/>
        <item x="101"/>
        <item x="298"/>
        <item x="793"/>
        <item x="266"/>
        <item x="738"/>
        <item x="63"/>
        <item x="335"/>
        <item x="565"/>
        <item x="673"/>
        <item x="223"/>
        <item x="16"/>
        <item x="856"/>
        <item x="33"/>
        <item x="171"/>
        <item x="632"/>
        <item x="227"/>
        <item x="90"/>
        <item x="324"/>
        <item x="202"/>
        <item x="294"/>
        <item x="167"/>
        <item x="295"/>
        <item x="79"/>
        <item x="825"/>
        <item x="840"/>
        <item x="392"/>
        <item x="617"/>
        <item x="292"/>
        <item x="344"/>
        <item x="415"/>
        <item x="624"/>
        <item x="546"/>
        <item x="874"/>
        <item x="609"/>
        <item x="832"/>
        <item x="666"/>
        <item x="498"/>
        <item x="166"/>
        <item x="743"/>
        <item x="280"/>
        <item x="899"/>
        <item x="611"/>
        <item x="189"/>
        <item x="422"/>
        <item x="348"/>
        <item x="704"/>
        <item x="878"/>
        <item x="217"/>
        <item x="351"/>
        <item x="263"/>
        <item x="612"/>
        <item x="124"/>
        <item x="610"/>
        <item x="449"/>
        <item x="64"/>
        <item x="472"/>
        <item x="819"/>
        <item x="675"/>
        <item x="853"/>
        <item x="242"/>
        <item x="931"/>
        <item x="873"/>
        <item x="742"/>
        <item x="261"/>
        <item x="711"/>
        <item x="84"/>
        <item x="614"/>
        <item x="485"/>
        <item x="271"/>
        <item x="640"/>
        <item x="490"/>
        <item x="779"/>
        <item x="208"/>
        <item x="522"/>
        <item x="569"/>
        <item x="787"/>
        <item x="544"/>
        <item x="330"/>
        <item x="535"/>
        <item x="270"/>
        <item x="800"/>
        <item x="876"/>
        <item x="932"/>
        <item x="59"/>
        <item x="230"/>
        <item x="268"/>
        <item x="690"/>
        <item x="300"/>
        <item x="912"/>
        <item x="339"/>
        <item x="432"/>
        <item x="200"/>
        <item x="184"/>
        <item x="684"/>
        <item x="426"/>
        <item x="708"/>
        <item x="807"/>
        <item x="228"/>
        <item x="278"/>
        <item x="431"/>
        <item x="854"/>
        <item x="103"/>
        <item x="483"/>
        <item x="863"/>
        <item x="768"/>
        <item x="888"/>
        <item x="589"/>
        <item x="895"/>
        <item x="220"/>
        <item x="917"/>
        <item x="578"/>
        <item x="99"/>
        <item x="412"/>
        <item x="480"/>
        <item x="376"/>
        <item x="75"/>
        <item x="506"/>
        <item x="32"/>
        <item x="18"/>
        <item x="774"/>
        <item x="219"/>
        <item x="759"/>
        <item x="773"/>
        <item x="776"/>
        <item x="191"/>
        <item x="10"/>
        <item x="905"/>
        <item x="380"/>
        <item x="398"/>
        <item x="141"/>
        <item x="769"/>
        <item x="328"/>
        <item x="871"/>
        <item x="650"/>
        <item x="260"/>
        <item x="936"/>
        <item x="97"/>
        <item x="49"/>
        <item x="86"/>
        <item x="504"/>
        <item x="327"/>
        <item x="222"/>
        <item x="563"/>
        <item x="734"/>
        <item x="474"/>
        <item x="453"/>
        <item x="691"/>
        <item x="538"/>
        <item x="798"/>
        <item x="860"/>
        <item x="831"/>
        <item x="747"/>
        <item x="441"/>
        <item x="476"/>
        <item x="411"/>
        <item x="177"/>
        <item x="731"/>
        <item x="542"/>
        <item x="820"/>
        <item x="257"/>
        <item x="477"/>
        <item x="560"/>
        <item x="128"/>
        <item x="207"/>
        <item x="464"/>
        <item x="741"/>
        <item x="226"/>
        <item x="369"/>
        <item x="545"/>
        <item x="804"/>
        <item x="244"/>
        <item x="40"/>
        <item x="309"/>
        <item x="697"/>
        <item x="144"/>
        <item x="762"/>
        <item x="818"/>
        <item x="374"/>
        <item x="942"/>
        <item x="630"/>
        <item x="696"/>
        <item x="256"/>
        <item x="142"/>
        <item x="277"/>
        <item x="82"/>
        <item x="379"/>
        <item x="210"/>
        <item x="643"/>
        <item x="492"/>
        <item x="728"/>
        <item x="716"/>
        <item x="566"/>
        <item x="778"/>
        <item x="37"/>
        <item x="466"/>
        <item x="116"/>
        <item x="810"/>
        <item x="478"/>
        <item x="727"/>
        <item x="911"/>
        <item x="192"/>
        <item x="761"/>
        <item x="58"/>
        <item x="117"/>
        <item x="389"/>
        <item x="287"/>
        <item x="249"/>
        <item x="827"/>
        <item x="662"/>
        <item x="163"/>
        <item x="448"/>
        <item x="739"/>
        <item x="399"/>
        <item x="135"/>
        <item x="405"/>
        <item x="732"/>
        <item x="839"/>
        <item x="66"/>
        <item x="96"/>
        <item x="750"/>
        <item x="235"/>
        <item x="316"/>
        <item x="635"/>
        <item x="173"/>
        <item x="172"/>
        <item x="902"/>
        <item x="89"/>
        <item x="36"/>
        <item x="562"/>
        <item x="133"/>
        <item x="154"/>
        <item x="57"/>
        <item x="178"/>
        <item x="770"/>
        <item x="705"/>
        <item x="363"/>
        <item x="396"/>
        <item x="102"/>
        <item x="930"/>
        <item x="694"/>
        <item x="85"/>
        <item x="525"/>
        <item x="469"/>
        <item x="206"/>
        <item x="849"/>
        <item x="319"/>
        <item x="151"/>
        <item x="452"/>
        <item x="929"/>
        <item x="463"/>
        <item x="745"/>
        <item x="320"/>
        <item x="528"/>
        <item x="766"/>
        <item x="149"/>
        <item x="533"/>
        <item x="282"/>
        <item x="896"/>
        <item x="299"/>
        <item x="707"/>
        <item x="368"/>
        <item x="15"/>
        <item x="267"/>
        <item x="296"/>
        <item x="844"/>
        <item x="325"/>
        <item x="362"/>
        <item x="668"/>
        <item x="583"/>
        <item x="247"/>
        <item x="475"/>
        <item x="382"/>
        <item x="752"/>
        <item x="838"/>
        <item x="869"/>
        <item x="564"/>
        <item x="883"/>
        <item x="619"/>
        <item x="307"/>
        <item x="460"/>
        <item x="543"/>
        <item x="54"/>
        <item x="686"/>
        <item x="255"/>
        <item x="526"/>
        <item x="443"/>
        <item x="900"/>
        <item x="239"/>
        <item x="185"/>
        <item x="417"/>
        <item x="332"/>
        <item x="837"/>
        <item x="305"/>
        <item x="897"/>
        <item x="633"/>
        <item x="347"/>
        <item x="303"/>
        <item x="676"/>
        <item x="70"/>
        <item x="558"/>
        <item x="92"/>
        <item x="384"/>
        <item x="165"/>
        <item x="157"/>
        <item x="438"/>
        <item x="805"/>
        <item x="649"/>
        <item x="523"/>
        <item x="729"/>
        <item x="361"/>
        <item x="53"/>
        <item x="591"/>
        <item x="678"/>
        <item x="34"/>
        <item x="541"/>
        <item x="763"/>
        <item x="733"/>
        <item x="811"/>
        <item x="48"/>
        <item x="93"/>
        <item x="246"/>
        <item x="333"/>
        <item x="851"/>
        <item x="134"/>
        <item x="815"/>
        <item x="198"/>
        <item x="455"/>
        <item x="661"/>
        <item x="179"/>
        <item x="553"/>
        <item x="695"/>
        <item x="511"/>
        <item x="454"/>
        <item x="893"/>
        <item x="310"/>
        <item x="423"/>
        <item x="159"/>
        <item x="660"/>
        <item x="238"/>
        <item x="537"/>
        <item x="726"/>
        <item x="505"/>
        <item x="50"/>
        <item x="5"/>
        <item x="459"/>
        <item x="3"/>
        <item x="674"/>
        <item x="879"/>
        <item x="830"/>
        <item x="94"/>
        <item x="627"/>
        <item x="531"/>
        <item x="357"/>
        <item x="440"/>
        <item x="155"/>
        <item x="870"/>
        <item x="17"/>
        <item x="397"/>
        <item x="698"/>
        <item x="47"/>
        <item x="286"/>
        <item x="514"/>
        <item x="621"/>
        <item x="799"/>
        <item x="626"/>
        <item x="921"/>
        <item x="719"/>
        <item x="922"/>
        <item x="881"/>
        <item x="571"/>
        <item x="430"/>
        <item x="889"/>
        <item x="182"/>
        <item x="403"/>
        <item x="641"/>
        <item x="907"/>
        <item x="677"/>
        <item x="253"/>
        <item x="882"/>
        <item x="709"/>
        <item x="549"/>
        <item x="140"/>
        <item x="108"/>
        <item x="501"/>
        <item x="194"/>
        <item x="700"/>
        <item x="788"/>
        <item x="580"/>
        <item x="808"/>
        <item x="780"/>
        <item x="791"/>
        <item x="113"/>
        <item x="120"/>
        <item x="746"/>
        <item x="107"/>
        <item x="536"/>
        <item x="659"/>
        <item x="252"/>
        <item x="915"/>
        <item x="835"/>
        <item x="532"/>
        <item x="343"/>
        <item x="6"/>
        <item x="941"/>
        <item x="221"/>
        <item x="8"/>
        <item x="683"/>
        <item x="904"/>
        <item x="842"/>
        <item x="792"/>
        <item x="862"/>
        <item x="72"/>
        <item x="433"/>
        <item x="250"/>
        <item x="349"/>
        <item x="428"/>
        <item x="914"/>
        <item x="652"/>
        <item x="404"/>
        <item x="657"/>
        <item x="847"/>
        <item x="717"/>
        <item x="115"/>
        <item x="572"/>
        <item x="61"/>
        <item x="160"/>
        <item x="408"/>
        <item x="699"/>
        <item x="903"/>
        <item x="105"/>
        <item x="232"/>
        <item x="517"/>
        <item x="400"/>
        <item x="631"/>
        <item x="814"/>
        <item x="625"/>
        <item x="645"/>
        <item x="425"/>
        <item x="519"/>
        <item x="850"/>
        <item x="534"/>
        <item x="169"/>
        <item x="497"/>
        <item x="918"/>
        <item x="290"/>
        <item x="161"/>
        <item x="367"/>
        <item x="672"/>
        <item x="567"/>
        <item x="859"/>
        <item x="65"/>
        <item x="7"/>
        <item x="806"/>
        <item x="622"/>
        <item x="507"/>
        <item x="393"/>
        <item x="276"/>
        <item x="183"/>
        <item x="494"/>
        <item x="204"/>
        <item x="573"/>
        <item x="682"/>
        <item x="245"/>
        <item x="817"/>
        <item x="724"/>
        <item x="181"/>
        <item x="502"/>
        <item x="371"/>
        <item x="679"/>
        <item x="656"/>
        <item x="391"/>
        <item x="886"/>
        <item x="342"/>
        <item x="237"/>
        <item x="639"/>
        <item x="593"/>
        <item x="470"/>
        <item x="387"/>
        <item x="352"/>
        <item x="131"/>
        <item x="20"/>
        <item x="755"/>
        <item x="451"/>
        <item x="30"/>
        <item x="885"/>
        <item x="109"/>
        <item x="27"/>
        <item x="174"/>
        <item x="712"/>
        <item x="601"/>
        <item x="669"/>
        <item x="875"/>
        <item x="26"/>
        <item x="211"/>
        <item x="848"/>
        <item x="312"/>
        <item x="318"/>
        <item x="495"/>
        <item x="414"/>
        <item x="224"/>
        <item x="125"/>
        <item x="765"/>
        <item x="581"/>
        <item x="401"/>
        <item x="413"/>
        <item x="927"/>
        <item x="720"/>
        <item x="175"/>
        <item x="395"/>
        <item x="925"/>
        <item x="689"/>
        <item x="80"/>
        <item x="311"/>
        <item x="383"/>
        <item x="197"/>
        <item x="771"/>
        <item x="19"/>
        <item x="456"/>
        <item x="378"/>
        <item x="410"/>
        <item x="12"/>
        <item x="283"/>
        <item x="758"/>
        <item x="114"/>
        <item x="229"/>
        <item x="596"/>
        <item x="493"/>
        <item x="421"/>
        <item x="279"/>
        <item x="520"/>
        <item x="88"/>
        <item x="559"/>
        <item x="866"/>
        <item x="598"/>
        <item x="484"/>
        <item x="945"/>
        <item x="628"/>
        <item x="284"/>
        <item x="555"/>
        <item x="302"/>
        <item x="653"/>
        <item x="515"/>
        <item x="638"/>
        <item x="623"/>
        <item x="561"/>
        <item x="77"/>
        <item x="487"/>
        <item x="471"/>
        <item x="126"/>
        <item x="137"/>
        <item x="241"/>
        <item x="4"/>
        <item x="592"/>
        <item x="71"/>
        <item x="345"/>
        <item x="388"/>
        <item x="488"/>
        <item x="23"/>
        <item x="29"/>
        <item x="828"/>
        <item x="213"/>
        <item x="767"/>
        <item x="73"/>
        <item x="852"/>
        <item x="240"/>
        <item x="919"/>
        <item x="22"/>
        <item x="41"/>
        <item x="753"/>
        <item x="473"/>
        <item x="500"/>
        <item x="196"/>
        <item x="427"/>
        <item x="402"/>
        <item x="2"/>
        <item x="557"/>
        <item x="176"/>
        <item x="868"/>
        <item x="340"/>
        <item x="42"/>
        <item x="275"/>
        <item x="642"/>
        <item x="855"/>
        <item x="857"/>
        <item x="233"/>
        <item x="83"/>
        <item x="243"/>
        <item x="254"/>
        <item x="375"/>
        <item x="100"/>
        <item x="381"/>
        <item x="353"/>
        <item x="725"/>
        <item x="618"/>
        <item x="461"/>
        <item x="87"/>
        <item x="616"/>
        <item x="934"/>
        <item x="909"/>
        <item x="67"/>
        <item x="489"/>
        <item x="841"/>
        <item x="146"/>
        <item x="658"/>
        <item x="199"/>
        <item x="757"/>
        <item x="420"/>
        <item x="11"/>
        <item x="308"/>
        <item x="651"/>
        <item x="444"/>
        <item x="718"/>
        <item x="529"/>
        <item x="693"/>
        <item x="76"/>
        <item x="337"/>
        <item x="796"/>
        <item x="702"/>
        <item x="231"/>
        <item x="574"/>
        <item x="31"/>
        <item x="906"/>
        <item x="846"/>
        <item x="1"/>
        <item x="216"/>
        <item x="429"/>
        <item x="482"/>
        <item x="499"/>
        <item x="269"/>
        <item x="554"/>
        <item x="603"/>
        <item x="366"/>
        <item x="615"/>
        <item x="715"/>
        <item x="576"/>
        <item x="713"/>
        <item x="143"/>
        <item x="218"/>
        <item x="272"/>
        <item x="588"/>
        <item x="385"/>
        <item x="508"/>
        <item x="386"/>
        <item x="148"/>
        <item x="38"/>
        <item x="479"/>
        <item x="68"/>
        <item x="39"/>
        <item x="152"/>
        <item x="394"/>
        <item x="491"/>
        <item x="785"/>
        <item x="864"/>
        <item x="764"/>
        <item x="322"/>
        <item x="913"/>
        <item x="139"/>
        <item x="326"/>
        <item x="723"/>
        <item x="816"/>
        <item x="293"/>
        <item x="644"/>
        <item x="910"/>
        <item x="457"/>
        <item x="789"/>
        <item x="14"/>
        <item x="24"/>
        <item x="928"/>
        <item x="822"/>
        <item x="164"/>
        <item x="132"/>
        <item x="145"/>
        <item x="782"/>
        <item x="503"/>
        <item x="836"/>
        <item x="510"/>
        <item x="436"/>
        <item x="843"/>
        <item x="540"/>
        <item x="74"/>
        <item x="121"/>
        <item x="513"/>
        <item x="274"/>
        <item x="794"/>
        <item x="891"/>
        <item x="890"/>
        <item x="44"/>
        <item x="797"/>
        <item x="865"/>
        <item x="364"/>
        <item x="756"/>
        <item x="887"/>
        <item x="329"/>
        <item x="358"/>
        <item x="587"/>
        <item x="760"/>
        <item x="306"/>
        <item x="288"/>
        <item x="775"/>
        <item x="527"/>
        <item x="599"/>
        <item x="654"/>
        <item x="46"/>
        <item x="153"/>
        <item x="180"/>
        <item x="606"/>
        <item x="933"/>
        <item x="13"/>
        <item x="122"/>
        <item x="944"/>
        <item x="595"/>
        <item x="821"/>
        <item x="98"/>
        <item x="439"/>
        <item x="516"/>
        <item x="582"/>
        <item x="916"/>
        <item x="597"/>
        <item x="104"/>
        <item x="737"/>
        <item x="636"/>
        <item x="692"/>
        <item x="468"/>
        <item x="744"/>
        <item x="613"/>
        <item x="481"/>
        <item x="447"/>
        <item x="69"/>
        <item x="150"/>
        <item x="801"/>
        <item x="323"/>
        <item x="803"/>
        <item x="655"/>
        <item x="512"/>
        <item x="390"/>
        <item x="35"/>
        <item x="861"/>
        <item x="784"/>
        <item x="701"/>
        <item x="551"/>
        <item x="943"/>
        <item x="372"/>
        <item x="790"/>
        <item x="138"/>
        <item x="289"/>
        <item x="812"/>
        <item x="45"/>
        <item x="751"/>
        <item x="809"/>
        <item x="248"/>
        <item x="721"/>
        <item x="634"/>
        <item x="556"/>
        <item x="265"/>
        <item x="156"/>
        <item x="297"/>
        <item x="518"/>
        <item x="188"/>
        <item x="823"/>
        <item x="450"/>
        <item x="872"/>
        <item x="434"/>
        <item x="892"/>
        <item x="60"/>
        <item x="419"/>
        <item x="106"/>
        <item x="118"/>
        <item x="594"/>
        <item x="273"/>
        <item x="681"/>
        <item x="602"/>
        <item x="786"/>
        <item x="162"/>
        <item x="924"/>
        <item x="341"/>
        <item x="462"/>
        <item x="262"/>
        <item x="940"/>
        <item x="81"/>
        <item x="665"/>
        <item x="9"/>
        <item x="78"/>
        <item x="834"/>
        <item x="147"/>
        <item x="418"/>
        <item x="168"/>
        <item x="548"/>
        <item x="373"/>
        <item x="424"/>
        <item x="407"/>
        <item x="95"/>
        <item x="91"/>
        <item x="688"/>
        <item x="51"/>
        <item x="336"/>
        <item x="446"/>
        <item x="0"/>
        <item x="201"/>
        <item x="664"/>
        <item x="736"/>
        <item x="795"/>
        <item x="845"/>
        <item x="129"/>
        <item x="667"/>
        <item x="908"/>
        <item x="824"/>
        <item x="409"/>
        <item x="663"/>
        <item x="740"/>
        <item x="437"/>
        <item x="111"/>
        <item x="926"/>
        <item x="937"/>
        <item x="706"/>
        <item x="251"/>
        <item x="314"/>
        <item x="195"/>
        <item x="867"/>
        <item x="55"/>
        <item x="880"/>
        <item x="748"/>
        <item x="714"/>
        <item x="406"/>
        <item x="585"/>
        <item x="781"/>
        <item x="607"/>
        <item x="646"/>
        <item x="749"/>
        <item x="547"/>
        <item x="605"/>
        <item x="186"/>
        <item x="205"/>
        <item x="170"/>
        <item x="123"/>
        <item x="465"/>
        <item x="579"/>
        <item x="56"/>
        <item x="214"/>
        <item x="935"/>
        <item x="203"/>
        <item x="62"/>
        <item x="315"/>
        <item x="21"/>
        <item x="359"/>
        <item x="539"/>
        <item x="458"/>
        <item x="877"/>
        <item x="258"/>
        <item x="703"/>
        <item x="209"/>
        <item x="923"/>
        <item x="680"/>
        <item x="486"/>
        <item x="259"/>
        <item x="467"/>
        <item x="586"/>
        <item x="264"/>
        <item x="285"/>
        <item x="604"/>
        <item x="365"/>
        <item x="629"/>
        <item x="829"/>
        <item x="730"/>
        <item x="777"/>
        <item x="946"/>
        <item t="default"/>
      </items>
    </pivotField>
    <pivotField showAll="0"/>
    <pivotField showAll="0">
      <items count="12">
        <item x="4"/>
        <item x="5"/>
        <item x="1"/>
        <item x="2"/>
        <item x="6"/>
        <item x="8"/>
        <item x="9"/>
        <item x="3"/>
        <item x="7"/>
        <item x="0"/>
        <item x="10"/>
        <item t="default"/>
      </items>
    </pivotField>
    <pivotField showAll="0">
      <items count="7">
        <item x="2"/>
        <item x="4"/>
        <item x="3"/>
        <item x="0"/>
        <item x="1"/>
        <item x="5"/>
        <item t="default"/>
      </items>
    </pivotField>
    <pivotField showAll="0">
      <items count="9">
        <item x="5"/>
        <item x="4"/>
        <item x="1"/>
        <item x="6"/>
        <item x="3"/>
        <item x="0"/>
        <item x="2"/>
        <item x="7"/>
        <item t="default"/>
      </items>
    </pivotField>
    <pivotField showAll="0"/>
    <pivotField dataField="1" showAll="0"/>
    <pivotField showAll="0"/>
    <pivotField showAll="0"/>
    <pivotField showAll="0"/>
    <pivotField axis="axisRow" showAll="0" sortType="ascending">
      <items count="5">
        <item x="1"/>
        <item x="2"/>
        <item x="0"/>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0"/>
  </rowFields>
  <rowItems count="4">
    <i>
      <x v="1"/>
    </i>
    <i>
      <x/>
    </i>
    <i>
      <x v="2"/>
    </i>
    <i t="grand">
      <x/>
    </i>
  </rowItems>
  <colItems count="1">
    <i/>
  </colItems>
  <dataFields count="1">
    <dataField name="Sales USD" fld="6" baseField="10" baseItem="0"/>
  </dataFields>
  <formats count="2">
    <format dxfId="2">
      <pivotArea collapsedLevelsAreSubtotals="1" fieldPosition="0">
        <references count="1">
          <reference field="10" count="0"/>
        </references>
      </pivotArea>
    </format>
    <format dxfId="1">
      <pivotArea collapsedLevelsAreSubtotals="1" fieldPosition="0">
        <references count="1">
          <reference field="10" count="1">
            <x v="1"/>
          </reference>
        </references>
      </pivotArea>
    </format>
  </formats>
  <chartFormats count="3">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197A97-79D8-4C60-B6C0-A1471414201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7" firstHeaderRow="1" firstDataRow="1" firstDataCol="1"/>
  <pivotFields count="14">
    <pivotField showAll="0"/>
    <pivotField showAll="0"/>
    <pivotField showAll="0"/>
    <pivotField showAll="0"/>
    <pivotField showAll="0"/>
    <pivotField axis="axisRow" showAll="0">
      <items count="5">
        <item x="0"/>
        <item x="2"/>
        <item x="1"/>
        <item h="1" x="3"/>
        <item t="default"/>
      </items>
    </pivotField>
    <pivotField dataField="1" showAll="0"/>
    <pivotField showAll="0">
      <items count="5">
        <item x="0"/>
        <item x="2"/>
        <item x="1"/>
        <item x="3"/>
        <item t="default"/>
      </items>
    </pivotField>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Price per Unit (USD)" fld="6" subtotal="count" showDataAs="percentOfTotal" baseField="5" baseItem="0" numFmtId="10"/>
  </dataFields>
  <chartFormats count="1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5" count="1" selected="0">
            <x v="1"/>
          </reference>
        </references>
      </pivotArea>
    </chartFormat>
    <chartFormat chart="6" format="4">
      <pivotArea type="data" outline="0" fieldPosition="0">
        <references count="2">
          <reference field="4294967294" count="1" selected="0">
            <x v="0"/>
          </reference>
          <reference field="5" count="1" selected="0">
            <x v="0"/>
          </reference>
        </references>
      </pivotArea>
    </chartFormat>
    <chartFormat chart="6" format="5">
      <pivotArea type="data" outline="0" fieldPosition="0">
        <references count="2">
          <reference field="4294967294" count="1" selected="0">
            <x v="0"/>
          </reference>
          <reference field="5" count="1" selected="0">
            <x v="2"/>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5" count="1" selected="0">
            <x v="0"/>
          </reference>
        </references>
      </pivotArea>
    </chartFormat>
    <chartFormat chart="15" format="12">
      <pivotArea type="data" outline="0" fieldPosition="0">
        <references count="2">
          <reference field="4294967294" count="1" selected="0">
            <x v="0"/>
          </reference>
          <reference field="5" count="1" selected="0">
            <x v="1"/>
          </reference>
        </references>
      </pivotArea>
    </chartFormat>
    <chartFormat chart="15" format="13">
      <pivotArea type="data" outline="0" fieldPosition="0">
        <references count="2">
          <reference field="4294967294" count="1" selected="0">
            <x v="0"/>
          </reference>
          <reference field="5" count="1" selected="0">
            <x v="2"/>
          </reference>
        </references>
      </pivotArea>
    </chartFormat>
    <chartFormat chart="18" format="18" series="1">
      <pivotArea type="data" outline="0" fieldPosition="0">
        <references count="1">
          <reference field="4294967294" count="1" selected="0">
            <x v="0"/>
          </reference>
        </references>
      </pivotArea>
    </chartFormat>
    <chartFormat chart="18" format="19">
      <pivotArea type="data" outline="0" fieldPosition="0">
        <references count="2">
          <reference field="4294967294" count="1" selected="0">
            <x v="0"/>
          </reference>
          <reference field="5" count="1" selected="0">
            <x v="0"/>
          </reference>
        </references>
      </pivotArea>
    </chartFormat>
    <chartFormat chart="18" format="20">
      <pivotArea type="data" outline="0" fieldPosition="0">
        <references count="2">
          <reference field="4294967294" count="1" selected="0">
            <x v="0"/>
          </reference>
          <reference field="5" count="1" selected="0">
            <x v="1"/>
          </reference>
        </references>
      </pivotArea>
    </chartFormat>
    <chartFormat chart="18" format="2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57785D-D46F-4EEF-AD9D-2C60BD7557F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14">
    <pivotField showAll="0"/>
    <pivotField showAll="0"/>
    <pivotField showAll="0"/>
    <pivotField axis="axisRow" showAll="0">
      <items count="7">
        <item x="2"/>
        <item x="4"/>
        <item x="3"/>
        <item x="0"/>
        <item x="1"/>
        <item h="1" x="5"/>
        <item t="default"/>
      </items>
    </pivotField>
    <pivotField showAll="0"/>
    <pivotField showAll="0"/>
    <pivotField dataField="1"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Price per Unit (USD)" fld="6" subtotal="count" baseField="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5FB166-2E5E-4693-B3E9-98DF9EF5720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0:A11" firstHeaderRow="1" firstDataRow="1" firstDataCol="0"/>
  <pivotFields count="14">
    <pivotField showAll="0"/>
    <pivotField showAll="0"/>
    <pivotField showAll="0"/>
    <pivotField showAll="0">
      <items count="7">
        <item x="2"/>
        <item x="4"/>
        <item x="3"/>
        <item x="0"/>
        <item x="1"/>
        <item h="1" x="5"/>
        <item t="default"/>
      </items>
    </pivotField>
    <pivotField multipleItemSelectionAllowed="1" showAll="0">
      <items count="9">
        <item x="5"/>
        <item x="4"/>
        <item x="1"/>
        <item x="6"/>
        <item x="3"/>
        <item x="0"/>
        <item x="2"/>
        <item h="1" x="7"/>
        <item t="default"/>
      </items>
    </pivotField>
    <pivotField showAll="0"/>
    <pivotField dataField="1" showAll="0"/>
    <pivotField showAll="0"/>
    <pivotField showAll="0"/>
    <pivotField showAll="0"/>
    <pivotField showAll="0"/>
    <pivotField showAll="0"/>
    <pivotField showAll="0"/>
    <pivotField multipleItemSelectionAllowed="1" showAll="0">
      <items count="7">
        <item x="3"/>
        <item x="1"/>
        <item x="2"/>
        <item x="4"/>
        <item x="0"/>
        <item h="1" x="5"/>
        <item t="default"/>
      </items>
    </pivotField>
  </pivotFields>
  <rowItems count="1">
    <i/>
  </rowItems>
  <colItems count="1">
    <i/>
  </colItems>
  <dataFields count="1">
    <dataField name="Average of Price per Unit (USD)" fld="6" subtotal="average"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7F6648-6362-4FC7-8073-6E2ABED34A4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4:A5" firstHeaderRow="1" firstDataRow="1" firstDataCol="0"/>
  <pivotFields count="14">
    <pivotField showAll="0"/>
    <pivotField showAll="0"/>
    <pivotField showAll="0"/>
    <pivotField showAll="0">
      <items count="7">
        <item x="2"/>
        <item x="4"/>
        <item x="3"/>
        <item x="0"/>
        <item x="1"/>
        <item h="1" x="5"/>
        <item t="default"/>
      </items>
    </pivotField>
    <pivotField multipleItemSelectionAllowed="1" showAll="0">
      <items count="9">
        <item x="5"/>
        <item x="4"/>
        <item x="1"/>
        <item x="6"/>
        <item x="3"/>
        <item x="0"/>
        <item x="2"/>
        <item h="1" x="7"/>
        <item t="default"/>
      </items>
    </pivotField>
    <pivotField showAll="0"/>
    <pivotField showAll="0"/>
    <pivotField showAll="0"/>
    <pivotField showAll="0"/>
    <pivotField showAll="0"/>
    <pivotField showAll="0"/>
    <pivotField showAll="0"/>
    <pivotField showAll="0"/>
    <pivotField dataField="1" multipleItemSelectionAllowed="1" showAll="0">
      <items count="7">
        <item x="3"/>
        <item x="1"/>
        <item x="2"/>
        <item x="4"/>
        <item x="0"/>
        <item h="1" x="5"/>
        <item t="default"/>
      </items>
    </pivotField>
  </pivotFields>
  <rowItems count="1">
    <i/>
  </rowItems>
  <colItems count="1">
    <i/>
  </colItems>
  <dataFields count="1">
    <dataField name="Average of Order Rating" fld="13" subtotal="average" baseField="3" baseItem="0"/>
  </dataFields>
  <chartFormats count="1">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8A336B-E137-4374-B40B-D9B670A517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4:A15" firstHeaderRow="1" firstDataRow="1" firstDataCol="0"/>
  <pivotFields count="14">
    <pivotField showAll="0"/>
    <pivotField showAll="0"/>
    <pivotField showAll="0"/>
    <pivotField showAll="0">
      <items count="7">
        <item x="2"/>
        <item x="4"/>
        <item x="3"/>
        <item x="0"/>
        <item x="1"/>
        <item h="1" x="5"/>
        <item t="default"/>
      </items>
    </pivotField>
    <pivotField multipleItemSelectionAllowed="1" showAll="0">
      <items count="9">
        <item x="5"/>
        <item x="4"/>
        <item x="1"/>
        <item x="6"/>
        <item x="3"/>
        <item x="0"/>
        <item x="2"/>
        <item h="1" x="7"/>
        <item t="default"/>
      </items>
    </pivotField>
    <pivotField showAll="0"/>
    <pivotField dataField="1" showAll="0"/>
    <pivotField showAll="0"/>
    <pivotField showAll="0"/>
    <pivotField showAll="0"/>
    <pivotField showAll="0"/>
    <pivotField showAll="0"/>
    <pivotField showAll="0"/>
    <pivotField multipleItemSelectionAllowed="1" showAll="0">
      <items count="7">
        <item x="3"/>
        <item x="1"/>
        <item x="2"/>
        <item x="4"/>
        <item x="0"/>
        <item h="1" x="5"/>
        <item t="default"/>
      </items>
    </pivotField>
  </pivotFields>
  <rowItems count="1">
    <i/>
  </rowItems>
  <colItems count="1">
    <i/>
  </colItems>
  <dataFields count="1">
    <dataField name="Count of Price per Unit (USD)"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F91AA08-3B67-4E1C-8ECA-DF0A7874F823}" autoFormatId="16" applyNumberFormats="0" applyBorderFormats="0" applyFontFormats="0" applyPatternFormats="0" applyAlignmentFormats="0" applyWidthHeightFormats="0">
  <queryTableRefresh nextId="15">
    <queryTableFields count="14">
      <queryTableField id="1" name="Date" tableColumnId="1"/>
      <queryTableField id="13" dataBound="0" tableColumnId="13"/>
      <queryTableField id="14" dataBound="0" tableColumnId="14"/>
      <queryTableField id="2" name="State" tableColumnId="2"/>
      <queryTableField id="3" name="Coffee Type" tableColumnId="3"/>
      <queryTableField id="4" name="Sales Channel" tableColumnId="4"/>
      <queryTableField id="5" name="Price per Unit (USD)" tableColumnId="5"/>
      <queryTableField id="6" name="Payment Method" tableColumnId="6"/>
      <queryTableField id="7" name="Promotion Applied" tableColumnId="7"/>
      <queryTableField id="8" name="Barista Name" tableColumnId="8"/>
      <queryTableField id="9" name="Customer Type" tableColumnId="9"/>
      <queryTableField id="10" name="Wait Time (Minutes)" tableColumnId="10"/>
      <queryTableField id="11" name="Special Request" tableColumnId="11"/>
      <queryTableField id="12" name="Order Rating"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0B57A98E-ABC6-4269-9059-227CD79E367D}" sourceName="Coffee Type">
  <pivotTables>
    <pivotTable tabId="10" name="PivotTable7"/>
  </pivotTables>
  <data>
    <tabular pivotCacheId="1828893521">
      <items count="8">
        <i x="5" s="1"/>
        <i x="4" s="1"/>
        <i x="1" s="1"/>
        <i x="6" s="1"/>
        <i x="3" s="1"/>
        <i x="0" s="1"/>
        <i x="2"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68E7974-C725-4379-936A-BA4B64E0EFA7}" sourceName="State">
  <pivotTables>
    <pivotTable tabId="10" name="PivotTable7"/>
  </pivotTables>
  <data>
    <tabular pivotCacheId="1828893521">
      <items count="6">
        <i x="2" s="1"/>
        <i x="4" s="1"/>
        <i x="3" s="1"/>
        <i x="0" s="1"/>
        <i x="1"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00DB0F5-AA66-42C0-B423-82403466C6FC}" sourceName="Payment Method">
  <pivotTables>
    <pivotTable tabId="11" name="PivotTable7"/>
  </pivotTables>
  <data>
    <tabular pivotCacheId="1828893521">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1" xr10:uid="{40C870A4-BF64-4017-989F-53DCD326C908}" cache="Slicer_Coffee_Type" caption="Coffee Type" style="SlicerStyleDark5" rowHeight="241300"/>
  <slicer name="State 1" xr10:uid="{D2C35588-7A3E-4779-BCF7-9A6135EDC688}" cache="Slicer_State" caption="State" style="SlicerStyleDark5" rowHeight="241300"/>
  <slicer name="Payment Method 1" xr10:uid="{1C4AABFD-DDF5-49C0-8DB4-5AFB1F9E208F}" cache="Slicer_Payment_Method" caption="Payment Method"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xr10:uid="{FB0D8183-F716-4F0D-A6B1-D9CB07CEEC43}" cache="Slicer_Coffee_Type" caption="Coffee Type" style="SlicerStyleDark2" rowHeight="241300"/>
  <slicer name="State" xr10:uid="{DBA50D41-979C-4029-9650-7192F1B8045D}" cache="Slicer_State" caption="State" style="SlicerStyleLight6" rowHeight="241300"/>
  <slicer name="Payment Method" xr10:uid="{23F7ADDB-1A22-4323-BB1B-54063D7EF5BE}" cache="Slicer_Payment_Method" caption="Payment Method"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BB2E7A-799C-412F-837A-3ACCE8AA323F}" name="Coffee_Sales_Dataset" displayName="Coffee_Sales_Dataset" ref="A1:N1001" tableType="queryTable" totalsRowShown="0">
  <autoFilter ref="A1:N1001" xr:uid="{40BB2E7A-799C-412F-837A-3ACCE8AA323F}"/>
  <tableColumns count="14">
    <tableColumn id="1" xr3:uid="{248B384E-A9C7-4A17-80A9-ADEBB7A211FD}" uniqueName="1" name="Date" queryTableFieldId="1" dataDxfId="19"/>
    <tableColumn id="13" xr3:uid="{6922A00E-DD9B-482D-B19B-BADBE3609711}" uniqueName="13" name="Workday" queryTableFieldId="13" dataDxfId="18">
      <calculatedColumnFormula>TEXT(Coffee_Sales_Dataset[[#This Row],[Date]],"ddd")</calculatedColumnFormula>
    </tableColumn>
    <tableColumn id="14" xr3:uid="{CFC90062-FC7B-4FEC-8AA8-11313788A62C}" uniqueName="14" name="Hour" queryTableFieldId="14" dataDxfId="17">
      <calculatedColumnFormula>HOUR(Coffee_Sales_Dataset[[#This Row],[Date]])</calculatedColumnFormula>
    </tableColumn>
    <tableColumn id="2" xr3:uid="{2D9296CA-27F6-41A3-A17F-113CA94A6A5E}" uniqueName="2" name="State" queryTableFieldId="2" dataDxfId="16"/>
    <tableColumn id="3" xr3:uid="{91700155-3F72-4FDD-AD1A-27AC5D865538}" uniqueName="3" name="Coffee Type" queryTableFieldId="3" dataDxfId="15"/>
    <tableColumn id="4" xr3:uid="{126C4833-B48D-4161-A5FF-9F962F8950F6}" uniqueName="4" name="Sales Channel" queryTableFieldId="4" dataDxfId="14"/>
    <tableColumn id="5" xr3:uid="{2E8324EB-8FF9-40D1-A0B7-8D054BD630D9}" uniqueName="5" name="Price per Unit (USD)" queryTableFieldId="5"/>
    <tableColumn id="6" xr3:uid="{047DF5F0-8EBA-40BF-97B8-8EF9A389E0B5}" uniqueName="6" name="Payment Method" queryTableFieldId="6" dataDxfId="13"/>
    <tableColumn id="7" xr3:uid="{F4D36B3A-4008-4FA9-B9C2-DB1217702A04}" uniqueName="7" name="Promotion Applied" queryTableFieldId="7" dataDxfId="12"/>
    <tableColumn id="8" xr3:uid="{29119EB9-9465-4053-9DF8-51CB3C4D5BDC}" uniqueName="8" name="Barista Name" queryTableFieldId="8" dataDxfId="11"/>
    <tableColumn id="9" xr3:uid="{7E3F9AF9-AF4F-43E8-ABF2-50AC0B21270C}" uniqueName="9" name="Customer Type" queryTableFieldId="9" dataDxfId="10"/>
    <tableColumn id="10" xr3:uid="{11DE8004-589F-4D3C-ACB2-C994F6EE117C}" uniqueName="10" name="Wait Time (Minutes)" queryTableFieldId="10"/>
    <tableColumn id="11" xr3:uid="{164EDF85-2CDC-4ED3-AA6B-9E565A62623A}" uniqueName="11" name="Special Request" queryTableFieldId="11" dataDxfId="9"/>
    <tableColumn id="12" xr3:uid="{3A6B94D9-C35F-4281-91C4-4072F040A366}" uniqueName="12" name="Order Rating"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69FC7-A990-4C4C-A7A7-F10BDA8B02E1}">
  <dimension ref="B15:X56"/>
  <sheetViews>
    <sheetView showGridLines="0" tabSelected="1" zoomScale="55" zoomScaleNormal="55" workbookViewId="0">
      <selection activeCell="AB6" sqref="AB6"/>
    </sheetView>
  </sheetViews>
  <sheetFormatPr defaultRowHeight="14.5" x14ac:dyDescent="0.35"/>
  <sheetData>
    <row r="15" spans="2:9" x14ac:dyDescent="0.35">
      <c r="B15" s="13"/>
      <c r="C15" s="14" t="s">
        <v>52</v>
      </c>
      <c r="D15" s="14" t="s">
        <v>53</v>
      </c>
      <c r="E15" s="14" t="s">
        <v>54</v>
      </c>
      <c r="F15" s="14" t="s">
        <v>55</v>
      </c>
      <c r="G15" s="14" t="s">
        <v>56</v>
      </c>
      <c r="H15" s="14" t="s">
        <v>57</v>
      </c>
      <c r="I15" s="14" t="s">
        <v>58</v>
      </c>
    </row>
    <row r="16" spans="2:9" x14ac:dyDescent="0.35">
      <c r="B16" s="3">
        <v>8</v>
      </c>
      <c r="C16" s="6">
        <v>16</v>
      </c>
      <c r="D16" s="6">
        <v>19</v>
      </c>
      <c r="E16" s="6">
        <v>13</v>
      </c>
      <c r="F16" s="6">
        <v>10</v>
      </c>
      <c r="G16" s="6">
        <v>4</v>
      </c>
      <c r="H16" s="6">
        <v>14</v>
      </c>
      <c r="I16" s="6">
        <v>13</v>
      </c>
    </row>
    <row r="17" spans="2:16" x14ac:dyDescent="0.35">
      <c r="B17" s="3">
        <v>9</v>
      </c>
      <c r="C17" s="6">
        <v>16</v>
      </c>
      <c r="D17" s="6">
        <v>25</v>
      </c>
      <c r="E17" s="6">
        <v>18</v>
      </c>
      <c r="F17" s="6">
        <v>15</v>
      </c>
      <c r="G17" s="6">
        <v>18</v>
      </c>
      <c r="H17" s="6">
        <v>14</v>
      </c>
      <c r="I17" s="6">
        <v>8</v>
      </c>
    </row>
    <row r="18" spans="2:16" x14ac:dyDescent="0.35">
      <c r="B18" s="3">
        <v>10</v>
      </c>
      <c r="C18" s="6">
        <v>19</v>
      </c>
      <c r="D18" s="6">
        <v>26</v>
      </c>
      <c r="E18" s="6">
        <v>15</v>
      </c>
      <c r="F18" s="6">
        <v>17</v>
      </c>
      <c r="G18" s="6">
        <v>8</v>
      </c>
      <c r="H18" s="6">
        <v>14</v>
      </c>
      <c r="I18" s="6">
        <v>17</v>
      </c>
    </row>
    <row r="19" spans="2:16" x14ac:dyDescent="0.35">
      <c r="B19" s="3">
        <v>11</v>
      </c>
      <c r="C19" s="6">
        <v>16</v>
      </c>
      <c r="D19" s="6">
        <v>15</v>
      </c>
      <c r="E19" s="6">
        <v>11</v>
      </c>
      <c r="F19" s="6">
        <v>8</v>
      </c>
      <c r="G19" s="6">
        <v>19</v>
      </c>
      <c r="H19" s="6">
        <v>19</v>
      </c>
      <c r="I19" s="6">
        <v>6</v>
      </c>
    </row>
    <row r="20" spans="2:16" x14ac:dyDescent="0.35">
      <c r="B20" s="3">
        <v>12</v>
      </c>
      <c r="C20" s="6">
        <v>11</v>
      </c>
      <c r="D20" s="6">
        <v>18</v>
      </c>
      <c r="E20" s="6">
        <v>12</v>
      </c>
      <c r="F20" s="6">
        <v>11</v>
      </c>
      <c r="G20" s="6">
        <v>10</v>
      </c>
      <c r="H20" s="6">
        <v>18</v>
      </c>
      <c r="I20" s="6">
        <v>11</v>
      </c>
    </row>
    <row r="21" spans="2:16" x14ac:dyDescent="0.35">
      <c r="B21" s="3">
        <v>13</v>
      </c>
      <c r="C21" s="6">
        <v>15</v>
      </c>
      <c r="D21" s="6">
        <v>27</v>
      </c>
      <c r="E21" s="6">
        <v>16</v>
      </c>
      <c r="F21" s="6">
        <v>8</v>
      </c>
      <c r="G21" s="6">
        <v>6</v>
      </c>
      <c r="H21" s="6">
        <v>11</v>
      </c>
      <c r="I21" s="6">
        <v>13</v>
      </c>
    </row>
    <row r="22" spans="2:16" x14ac:dyDescent="0.35">
      <c r="B22" s="3">
        <v>14</v>
      </c>
      <c r="C22" s="6">
        <v>17</v>
      </c>
      <c r="D22" s="6">
        <v>20</v>
      </c>
      <c r="E22" s="6">
        <v>16</v>
      </c>
      <c r="F22" s="6">
        <v>11</v>
      </c>
      <c r="G22" s="6">
        <v>12</v>
      </c>
      <c r="H22" s="6">
        <v>8</v>
      </c>
      <c r="I22" s="6">
        <v>12</v>
      </c>
    </row>
    <row r="23" spans="2:16" x14ac:dyDescent="0.35">
      <c r="B23" s="3">
        <v>15</v>
      </c>
      <c r="C23" s="6">
        <v>18</v>
      </c>
      <c r="D23" s="6">
        <v>22</v>
      </c>
      <c r="E23" s="6">
        <v>11</v>
      </c>
      <c r="F23" s="6">
        <v>8</v>
      </c>
      <c r="G23" s="6">
        <v>11</v>
      </c>
      <c r="H23" s="6">
        <v>7</v>
      </c>
      <c r="I23" s="6">
        <v>16</v>
      </c>
    </row>
    <row r="24" spans="2:16" x14ac:dyDescent="0.35">
      <c r="B24" s="3">
        <v>16</v>
      </c>
      <c r="C24" s="6">
        <v>27</v>
      </c>
      <c r="D24" s="6">
        <v>19</v>
      </c>
      <c r="E24" s="6">
        <v>12</v>
      </c>
      <c r="F24" s="6">
        <v>12</v>
      </c>
      <c r="G24" s="6">
        <v>14</v>
      </c>
      <c r="H24" s="6">
        <v>13</v>
      </c>
      <c r="I24" s="6">
        <v>15</v>
      </c>
    </row>
    <row r="25" spans="2:16" x14ac:dyDescent="0.35">
      <c r="B25" s="3">
        <v>17</v>
      </c>
      <c r="C25" s="6">
        <v>17</v>
      </c>
      <c r="D25" s="6">
        <v>18</v>
      </c>
      <c r="E25" s="6">
        <v>14</v>
      </c>
      <c r="F25" s="6">
        <v>12</v>
      </c>
      <c r="G25" s="6">
        <v>2</v>
      </c>
      <c r="H25" s="6">
        <v>16</v>
      </c>
      <c r="I25" s="6">
        <v>20</v>
      </c>
    </row>
    <row r="31" spans="2:16" x14ac:dyDescent="0.35">
      <c r="P31" s="16"/>
    </row>
    <row r="32" spans="2:16" x14ac:dyDescent="0.35">
      <c r="N32">
        <f>GETPIVOTDATA("Price per Unit (USD)",Pivot_Rating!$A$14)</f>
        <v>1000</v>
      </c>
    </row>
    <row r="33" spans="11:11" x14ac:dyDescent="0.35">
      <c r="K33" s="15">
        <f>GETPIVOTDATA("Price per Unit (USD)",Pivot_Rating!$A$10)</f>
        <v>4.9815500000000075</v>
      </c>
    </row>
    <row r="56" spans="24:24" x14ac:dyDescent="0.35">
      <c r="X56" s="12"/>
    </row>
  </sheetData>
  <conditionalFormatting sqref="C16:I25">
    <cfRule type="colorScale" priority="1">
      <colorScale>
        <cfvo type="min"/>
        <cfvo type="percentile" val="50"/>
        <cfvo type="max"/>
        <color rgb="FF7D3CDC"/>
        <color rgb="FFFCFCFF"/>
        <color rgb="FF446FD9"/>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FA662-47EA-4FE4-855D-966C7AD4B4E0}">
  <dimension ref="A1:N1001"/>
  <sheetViews>
    <sheetView topLeftCell="E1" workbookViewId="0">
      <selection activeCell="E2" sqref="E2"/>
    </sheetView>
  </sheetViews>
  <sheetFormatPr defaultRowHeight="14.5" x14ac:dyDescent="0.35"/>
  <cols>
    <col min="1" max="1" width="11.6328125" style="5" customWidth="1"/>
    <col min="2" max="3" width="15.1796875" customWidth="1"/>
    <col min="4" max="4" width="8.81640625" bestFit="1" customWidth="1"/>
    <col min="5" max="5" width="17" bestFit="1" customWidth="1"/>
    <col min="6" max="6" width="14.54296875" bestFit="1" customWidth="1"/>
    <col min="7" max="7" width="19.81640625" bestFit="1" customWidth="1"/>
    <col min="8" max="8" width="17.81640625" bestFit="1" customWidth="1"/>
    <col min="9" max="9" width="19" bestFit="1" customWidth="1"/>
    <col min="10" max="10" width="14.26953125" bestFit="1" customWidth="1"/>
    <col min="11" max="11" width="15.81640625" bestFit="1" customWidth="1"/>
    <col min="12" max="12" width="20.453125" bestFit="1" customWidth="1"/>
    <col min="13" max="13" width="16.1796875" bestFit="1" customWidth="1"/>
    <col min="14" max="14" width="13.7265625" bestFit="1" customWidth="1"/>
  </cols>
  <sheetData>
    <row r="1" spans="1:14" x14ac:dyDescent="0.35">
      <c r="A1" s="5" t="s">
        <v>0</v>
      </c>
      <c r="B1" t="s">
        <v>48</v>
      </c>
      <c r="C1" t="s">
        <v>49</v>
      </c>
      <c r="D1" t="s">
        <v>1</v>
      </c>
      <c r="E1" t="s">
        <v>2</v>
      </c>
      <c r="F1" t="s">
        <v>3</v>
      </c>
      <c r="G1" t="s">
        <v>4</v>
      </c>
      <c r="H1" t="s">
        <v>5</v>
      </c>
      <c r="I1" t="s">
        <v>6</v>
      </c>
      <c r="J1" t="s">
        <v>7</v>
      </c>
      <c r="K1" t="s">
        <v>8</v>
      </c>
      <c r="L1" t="s">
        <v>9</v>
      </c>
      <c r="M1" t="s">
        <v>10</v>
      </c>
      <c r="N1" t="s">
        <v>11</v>
      </c>
    </row>
    <row r="2" spans="1:14" x14ac:dyDescent="0.35">
      <c r="A2" s="5">
        <v>45655.741666666669</v>
      </c>
      <c r="B2" s="1" t="str">
        <f>TEXT(Coffee_Sales_Dataset[[#This Row],[Date]],"ddd")</f>
        <v>Sun</v>
      </c>
      <c r="C2">
        <f>HOUR(Coffee_Sales_Dataset[[#This Row],[Date]])</f>
        <v>17</v>
      </c>
      <c r="D2" t="s">
        <v>12</v>
      </c>
      <c r="E2" t="s">
        <v>13</v>
      </c>
      <c r="F2" t="s">
        <v>14</v>
      </c>
      <c r="G2">
        <v>4.6399999999999997</v>
      </c>
      <c r="H2" t="s">
        <v>15</v>
      </c>
      <c r="I2" t="s">
        <v>16</v>
      </c>
      <c r="J2" t="s">
        <v>17</v>
      </c>
      <c r="K2" t="s">
        <v>18</v>
      </c>
      <c r="L2">
        <v>9</v>
      </c>
      <c r="M2" t="s">
        <v>19</v>
      </c>
      <c r="N2">
        <v>5</v>
      </c>
    </row>
    <row r="3" spans="1:14" x14ac:dyDescent="0.35">
      <c r="A3" s="5">
        <v>45653.425000000003</v>
      </c>
      <c r="B3" s="1" t="str">
        <f>TEXT(Coffee_Sales_Dataset[[#This Row],[Date]],"ddd")</f>
        <v>Fri</v>
      </c>
      <c r="C3">
        <f>HOUR(Coffee_Sales_Dataset[[#This Row],[Date]])</f>
        <v>10</v>
      </c>
      <c r="D3" t="s">
        <v>20</v>
      </c>
      <c r="E3" t="s">
        <v>21</v>
      </c>
      <c r="F3" t="s">
        <v>22</v>
      </c>
      <c r="G3">
        <v>4.16</v>
      </c>
      <c r="H3" t="s">
        <v>15</v>
      </c>
      <c r="I3" t="s">
        <v>23</v>
      </c>
      <c r="J3" t="s">
        <v>24</v>
      </c>
      <c r="K3" t="s">
        <v>18</v>
      </c>
      <c r="L3">
        <v>6</v>
      </c>
      <c r="M3" t="s">
        <v>25</v>
      </c>
      <c r="N3">
        <v>5</v>
      </c>
    </row>
    <row r="4" spans="1:14" x14ac:dyDescent="0.35">
      <c r="A4" s="5">
        <v>45652.459027777775</v>
      </c>
      <c r="B4" s="1" t="str">
        <f>TEXT(Coffee_Sales_Dataset[[#This Row],[Date]],"ddd")</f>
        <v>Thu</v>
      </c>
      <c r="C4">
        <f>HOUR(Coffee_Sales_Dataset[[#This Row],[Date]])</f>
        <v>11</v>
      </c>
      <c r="D4" t="s">
        <v>26</v>
      </c>
      <c r="E4" t="s">
        <v>27</v>
      </c>
      <c r="F4" t="s">
        <v>22</v>
      </c>
      <c r="G4">
        <v>4.2</v>
      </c>
      <c r="H4" t="s">
        <v>28</v>
      </c>
      <c r="I4" t="s">
        <v>16</v>
      </c>
      <c r="J4" t="s">
        <v>29</v>
      </c>
      <c r="K4" t="s">
        <v>18</v>
      </c>
      <c r="L4">
        <v>6</v>
      </c>
      <c r="M4" t="s">
        <v>25</v>
      </c>
      <c r="N4">
        <v>2</v>
      </c>
    </row>
    <row r="5" spans="1:14" x14ac:dyDescent="0.35">
      <c r="A5" s="5">
        <v>45648.459027777775</v>
      </c>
      <c r="B5" s="1" t="str">
        <f>TEXT(Coffee_Sales_Dataset[[#This Row],[Date]],"ddd")</f>
        <v>Sun</v>
      </c>
      <c r="C5">
        <f>HOUR(Coffee_Sales_Dataset[[#This Row],[Date]])</f>
        <v>11</v>
      </c>
      <c r="D5" t="s">
        <v>26</v>
      </c>
      <c r="E5" t="s">
        <v>21</v>
      </c>
      <c r="F5" t="s">
        <v>22</v>
      </c>
      <c r="G5">
        <v>4.97</v>
      </c>
      <c r="H5" t="s">
        <v>30</v>
      </c>
      <c r="I5" t="s">
        <v>16</v>
      </c>
      <c r="J5" t="s">
        <v>31</v>
      </c>
      <c r="K5" t="s">
        <v>32</v>
      </c>
      <c r="L5">
        <v>8</v>
      </c>
      <c r="M5" t="s">
        <v>33</v>
      </c>
      <c r="N5">
        <v>3</v>
      </c>
    </row>
    <row r="6" spans="1:14" x14ac:dyDescent="0.35">
      <c r="A6" s="5">
        <v>45651.655555555553</v>
      </c>
      <c r="B6" s="1" t="str">
        <f>TEXT(Coffee_Sales_Dataset[[#This Row],[Date]],"ddd")</f>
        <v>Wed</v>
      </c>
      <c r="C6">
        <f>HOUR(Coffee_Sales_Dataset[[#This Row],[Date]])</f>
        <v>15</v>
      </c>
      <c r="D6" t="s">
        <v>26</v>
      </c>
      <c r="E6" t="s">
        <v>34</v>
      </c>
      <c r="F6" t="s">
        <v>35</v>
      </c>
      <c r="G6">
        <v>5.93</v>
      </c>
      <c r="H6" t="s">
        <v>30</v>
      </c>
      <c r="I6" t="s">
        <v>16</v>
      </c>
      <c r="J6" t="s">
        <v>17</v>
      </c>
      <c r="K6" t="s">
        <v>18</v>
      </c>
      <c r="L6">
        <v>2</v>
      </c>
      <c r="M6" t="s">
        <v>36</v>
      </c>
      <c r="N6">
        <v>3</v>
      </c>
    </row>
    <row r="7" spans="1:14" x14ac:dyDescent="0.35">
      <c r="A7" s="5">
        <v>45648.431944444441</v>
      </c>
      <c r="B7" s="1" t="str">
        <f>TEXT(Coffee_Sales_Dataset[[#This Row],[Date]],"ddd")</f>
        <v>Sun</v>
      </c>
      <c r="C7">
        <f>HOUR(Coffee_Sales_Dataset[[#This Row],[Date]])</f>
        <v>10</v>
      </c>
      <c r="D7" t="s">
        <v>20</v>
      </c>
      <c r="E7" t="s">
        <v>13</v>
      </c>
      <c r="F7" t="s">
        <v>22</v>
      </c>
      <c r="G7">
        <v>4.4400000000000004</v>
      </c>
      <c r="H7" t="s">
        <v>28</v>
      </c>
      <c r="I7" t="s">
        <v>16</v>
      </c>
      <c r="J7" t="s">
        <v>29</v>
      </c>
      <c r="K7" t="s">
        <v>32</v>
      </c>
      <c r="L7">
        <v>6</v>
      </c>
      <c r="M7" t="s">
        <v>37</v>
      </c>
      <c r="N7">
        <v>1</v>
      </c>
    </row>
    <row r="8" spans="1:14" x14ac:dyDescent="0.35">
      <c r="A8" s="5">
        <v>45649.45</v>
      </c>
      <c r="B8" s="1" t="str">
        <f>TEXT(Coffee_Sales_Dataset[[#This Row],[Date]],"ddd")</f>
        <v>Mon</v>
      </c>
      <c r="C8">
        <f>HOUR(Coffee_Sales_Dataset[[#This Row],[Date]])</f>
        <v>10</v>
      </c>
      <c r="D8" t="s">
        <v>26</v>
      </c>
      <c r="E8" t="s">
        <v>38</v>
      </c>
      <c r="F8" t="s">
        <v>14</v>
      </c>
      <c r="G8">
        <v>5.17</v>
      </c>
      <c r="H8" t="s">
        <v>15</v>
      </c>
      <c r="I8" t="s">
        <v>16</v>
      </c>
      <c r="J8" t="s">
        <v>24</v>
      </c>
      <c r="K8" t="s">
        <v>18</v>
      </c>
      <c r="L8">
        <v>7</v>
      </c>
      <c r="M8" t="s">
        <v>39</v>
      </c>
      <c r="N8">
        <v>5</v>
      </c>
    </row>
    <row r="9" spans="1:14" x14ac:dyDescent="0.35">
      <c r="A9" s="5">
        <v>45650.416666666664</v>
      </c>
      <c r="B9" s="1" t="str">
        <f>TEXT(Coffee_Sales_Dataset[[#This Row],[Date]],"ddd")</f>
        <v>Tue</v>
      </c>
      <c r="C9">
        <f>HOUR(Coffee_Sales_Dataset[[#This Row],[Date]])</f>
        <v>10</v>
      </c>
      <c r="D9" t="s">
        <v>20</v>
      </c>
      <c r="E9" t="s">
        <v>38</v>
      </c>
      <c r="F9" t="s">
        <v>22</v>
      </c>
      <c r="G9">
        <v>4.49</v>
      </c>
      <c r="H9" t="s">
        <v>15</v>
      </c>
      <c r="I9" t="s">
        <v>16</v>
      </c>
      <c r="J9" t="s">
        <v>24</v>
      </c>
      <c r="K9" t="s">
        <v>40</v>
      </c>
      <c r="L9">
        <v>3</v>
      </c>
      <c r="M9" t="s">
        <v>36</v>
      </c>
      <c r="N9">
        <v>2</v>
      </c>
    </row>
    <row r="10" spans="1:14" x14ac:dyDescent="0.35">
      <c r="A10" s="5">
        <v>45649.493055555555</v>
      </c>
      <c r="B10" s="1" t="str">
        <f>TEXT(Coffee_Sales_Dataset[[#This Row],[Date]],"ddd")</f>
        <v>Mon</v>
      </c>
      <c r="C10">
        <f>HOUR(Coffee_Sales_Dataset[[#This Row],[Date]])</f>
        <v>11</v>
      </c>
      <c r="D10" t="s">
        <v>41</v>
      </c>
      <c r="E10" t="s">
        <v>38</v>
      </c>
      <c r="F10" t="s">
        <v>35</v>
      </c>
      <c r="G10">
        <v>6.33</v>
      </c>
      <c r="H10" t="s">
        <v>28</v>
      </c>
      <c r="I10" t="s">
        <v>23</v>
      </c>
      <c r="J10" t="s">
        <v>42</v>
      </c>
      <c r="K10" t="s">
        <v>32</v>
      </c>
      <c r="L10">
        <v>3</v>
      </c>
      <c r="M10" t="s">
        <v>39</v>
      </c>
      <c r="N10">
        <v>2</v>
      </c>
    </row>
    <row r="11" spans="1:14" x14ac:dyDescent="0.35">
      <c r="A11" s="5">
        <v>45655.640277777777</v>
      </c>
      <c r="B11" s="1" t="str">
        <f>TEXT(Coffee_Sales_Dataset[[#This Row],[Date]],"ddd")</f>
        <v>Sun</v>
      </c>
      <c r="C11">
        <f>HOUR(Coffee_Sales_Dataset[[#This Row],[Date]])</f>
        <v>15</v>
      </c>
      <c r="D11" t="s">
        <v>43</v>
      </c>
      <c r="E11" t="s">
        <v>44</v>
      </c>
      <c r="F11" t="s">
        <v>22</v>
      </c>
      <c r="G11">
        <v>3.56</v>
      </c>
      <c r="H11" t="s">
        <v>15</v>
      </c>
      <c r="I11" t="s">
        <v>16</v>
      </c>
      <c r="J11" t="s">
        <v>17</v>
      </c>
      <c r="K11" t="s">
        <v>18</v>
      </c>
      <c r="L11">
        <v>6</v>
      </c>
      <c r="M11" t="s">
        <v>39</v>
      </c>
      <c r="N11">
        <v>1</v>
      </c>
    </row>
    <row r="12" spans="1:14" x14ac:dyDescent="0.35">
      <c r="A12" s="5">
        <v>45644.447222222225</v>
      </c>
      <c r="B12" s="1" t="str">
        <f>TEXT(Coffee_Sales_Dataset[[#This Row],[Date]],"ddd")</f>
        <v>Wed</v>
      </c>
      <c r="C12">
        <f>HOUR(Coffee_Sales_Dataset[[#This Row],[Date]])</f>
        <v>10</v>
      </c>
      <c r="D12" t="s">
        <v>20</v>
      </c>
      <c r="E12" t="s">
        <v>34</v>
      </c>
      <c r="F12" t="s">
        <v>14</v>
      </c>
      <c r="G12">
        <v>3.84</v>
      </c>
      <c r="H12" t="s">
        <v>30</v>
      </c>
      <c r="I12" t="s">
        <v>16</v>
      </c>
      <c r="J12" t="s">
        <v>45</v>
      </c>
      <c r="K12" t="s">
        <v>40</v>
      </c>
      <c r="L12">
        <v>3</v>
      </c>
      <c r="M12" t="s">
        <v>39</v>
      </c>
      <c r="N12">
        <v>4</v>
      </c>
    </row>
    <row r="13" spans="1:14" x14ac:dyDescent="0.35">
      <c r="A13" s="5">
        <v>45653.341666666667</v>
      </c>
      <c r="B13" s="1" t="str">
        <f>TEXT(Coffee_Sales_Dataset[[#This Row],[Date]],"ddd")</f>
        <v>Fri</v>
      </c>
      <c r="C13">
        <f>HOUR(Coffee_Sales_Dataset[[#This Row],[Date]])</f>
        <v>8</v>
      </c>
      <c r="D13" t="s">
        <v>26</v>
      </c>
      <c r="E13" t="s">
        <v>13</v>
      </c>
      <c r="F13" t="s">
        <v>35</v>
      </c>
      <c r="G13">
        <v>5.05</v>
      </c>
      <c r="H13" t="s">
        <v>30</v>
      </c>
      <c r="I13" t="s">
        <v>16</v>
      </c>
      <c r="J13" t="s">
        <v>29</v>
      </c>
      <c r="K13" t="s">
        <v>32</v>
      </c>
      <c r="L13">
        <v>2</v>
      </c>
      <c r="M13" t="s">
        <v>39</v>
      </c>
      <c r="N13">
        <v>3</v>
      </c>
    </row>
    <row r="14" spans="1:14" x14ac:dyDescent="0.35">
      <c r="A14" s="5">
        <v>45651.409722222219</v>
      </c>
      <c r="B14" s="1" t="str">
        <f>TEXT(Coffee_Sales_Dataset[[#This Row],[Date]],"ddd")</f>
        <v>Wed</v>
      </c>
      <c r="C14">
        <f>HOUR(Coffee_Sales_Dataset[[#This Row],[Date]])</f>
        <v>9</v>
      </c>
      <c r="D14" t="s">
        <v>26</v>
      </c>
      <c r="E14" t="s">
        <v>38</v>
      </c>
      <c r="F14" t="s">
        <v>14</v>
      </c>
      <c r="G14">
        <v>5.35</v>
      </c>
      <c r="H14" t="s">
        <v>30</v>
      </c>
      <c r="I14" t="s">
        <v>23</v>
      </c>
      <c r="J14" t="s">
        <v>45</v>
      </c>
      <c r="K14" t="s">
        <v>32</v>
      </c>
      <c r="L14">
        <v>2</v>
      </c>
      <c r="M14" t="s">
        <v>39</v>
      </c>
      <c r="N14">
        <v>2</v>
      </c>
    </row>
    <row r="15" spans="1:14" x14ac:dyDescent="0.35">
      <c r="A15" s="5">
        <v>45654.525694444441</v>
      </c>
      <c r="B15" s="1" t="str">
        <f>TEXT(Coffee_Sales_Dataset[[#This Row],[Date]],"ddd")</f>
        <v>Sat</v>
      </c>
      <c r="C15">
        <f>HOUR(Coffee_Sales_Dataset[[#This Row],[Date]])</f>
        <v>12</v>
      </c>
      <c r="D15" t="s">
        <v>43</v>
      </c>
      <c r="E15" t="s">
        <v>34</v>
      </c>
      <c r="F15" t="s">
        <v>14</v>
      </c>
      <c r="G15">
        <v>6.42</v>
      </c>
      <c r="H15" t="s">
        <v>28</v>
      </c>
      <c r="I15" t="s">
        <v>23</v>
      </c>
      <c r="J15" t="s">
        <v>31</v>
      </c>
      <c r="K15" t="s">
        <v>18</v>
      </c>
      <c r="L15">
        <v>3</v>
      </c>
      <c r="M15" t="s">
        <v>39</v>
      </c>
      <c r="N15">
        <v>5</v>
      </c>
    </row>
    <row r="16" spans="1:14" x14ac:dyDescent="0.35">
      <c r="A16" s="5">
        <v>45653.675694444442</v>
      </c>
      <c r="B16" s="1" t="str">
        <f>TEXT(Coffee_Sales_Dataset[[#This Row],[Date]],"ddd")</f>
        <v>Fri</v>
      </c>
      <c r="C16">
        <f>HOUR(Coffee_Sales_Dataset[[#This Row],[Date]])</f>
        <v>16</v>
      </c>
      <c r="D16" t="s">
        <v>20</v>
      </c>
      <c r="E16" t="s">
        <v>34</v>
      </c>
      <c r="F16" t="s">
        <v>14</v>
      </c>
      <c r="G16">
        <v>6.61</v>
      </c>
      <c r="H16" t="s">
        <v>28</v>
      </c>
      <c r="I16" t="s">
        <v>23</v>
      </c>
      <c r="J16" t="s">
        <v>45</v>
      </c>
      <c r="K16" t="s">
        <v>40</v>
      </c>
      <c r="L16">
        <v>5</v>
      </c>
      <c r="M16" t="s">
        <v>37</v>
      </c>
      <c r="N16">
        <v>4</v>
      </c>
    </row>
    <row r="17" spans="1:14" x14ac:dyDescent="0.35">
      <c r="A17" s="5">
        <v>45646.71597222222</v>
      </c>
      <c r="B17" s="1" t="str">
        <f>TEXT(Coffee_Sales_Dataset[[#This Row],[Date]],"ddd")</f>
        <v>Fri</v>
      </c>
      <c r="C17">
        <f>HOUR(Coffee_Sales_Dataset[[#This Row],[Date]])</f>
        <v>17</v>
      </c>
      <c r="D17" t="s">
        <v>12</v>
      </c>
      <c r="E17" t="s">
        <v>44</v>
      </c>
      <c r="F17" t="s">
        <v>14</v>
      </c>
      <c r="G17">
        <v>3.72</v>
      </c>
      <c r="H17" t="s">
        <v>15</v>
      </c>
      <c r="I17" t="s">
        <v>16</v>
      </c>
      <c r="J17" t="s">
        <v>42</v>
      </c>
      <c r="K17" t="s">
        <v>40</v>
      </c>
      <c r="L17">
        <v>10</v>
      </c>
      <c r="M17" t="s">
        <v>36</v>
      </c>
      <c r="N17">
        <v>4</v>
      </c>
    </row>
    <row r="18" spans="1:14" x14ac:dyDescent="0.35">
      <c r="A18" s="5">
        <v>45642.546527777777</v>
      </c>
      <c r="B18" s="1" t="str">
        <f>TEXT(Coffee_Sales_Dataset[[#This Row],[Date]],"ddd")</f>
        <v>Mon</v>
      </c>
      <c r="C18">
        <f>HOUR(Coffee_Sales_Dataset[[#This Row],[Date]])</f>
        <v>13</v>
      </c>
      <c r="D18" t="s">
        <v>12</v>
      </c>
      <c r="E18" t="s">
        <v>13</v>
      </c>
      <c r="F18" t="s">
        <v>35</v>
      </c>
      <c r="G18">
        <v>3.54</v>
      </c>
      <c r="H18" t="s">
        <v>15</v>
      </c>
      <c r="I18" t="s">
        <v>16</v>
      </c>
      <c r="J18" t="s">
        <v>31</v>
      </c>
      <c r="K18" t="s">
        <v>18</v>
      </c>
      <c r="L18">
        <v>2</v>
      </c>
      <c r="M18" t="s">
        <v>39</v>
      </c>
      <c r="N18">
        <v>3</v>
      </c>
    </row>
    <row r="19" spans="1:14" x14ac:dyDescent="0.35">
      <c r="A19" s="5">
        <v>45648.595833333333</v>
      </c>
      <c r="B19" s="1" t="str">
        <f>TEXT(Coffee_Sales_Dataset[[#This Row],[Date]],"ddd")</f>
        <v>Sun</v>
      </c>
      <c r="C19">
        <f>HOUR(Coffee_Sales_Dataset[[#This Row],[Date]])</f>
        <v>14</v>
      </c>
      <c r="D19" t="s">
        <v>12</v>
      </c>
      <c r="E19" t="s">
        <v>38</v>
      </c>
      <c r="F19" t="s">
        <v>35</v>
      </c>
      <c r="G19">
        <v>4.25</v>
      </c>
      <c r="H19" t="s">
        <v>15</v>
      </c>
      <c r="I19" t="s">
        <v>23</v>
      </c>
      <c r="J19" t="s">
        <v>31</v>
      </c>
      <c r="K19" t="s">
        <v>32</v>
      </c>
      <c r="L19">
        <v>6</v>
      </c>
      <c r="M19" t="s">
        <v>33</v>
      </c>
      <c r="N19">
        <v>4</v>
      </c>
    </row>
    <row r="20" spans="1:14" x14ac:dyDescent="0.35">
      <c r="A20" s="5">
        <v>45644.414583333331</v>
      </c>
      <c r="B20" s="1" t="str">
        <f>TEXT(Coffee_Sales_Dataset[[#This Row],[Date]],"ddd")</f>
        <v>Wed</v>
      </c>
      <c r="C20">
        <f>HOUR(Coffee_Sales_Dataset[[#This Row],[Date]])</f>
        <v>9</v>
      </c>
      <c r="D20" t="s">
        <v>12</v>
      </c>
      <c r="E20" t="s">
        <v>44</v>
      </c>
      <c r="F20" t="s">
        <v>22</v>
      </c>
      <c r="G20">
        <v>3.72</v>
      </c>
      <c r="H20" t="s">
        <v>28</v>
      </c>
      <c r="I20" t="s">
        <v>16</v>
      </c>
      <c r="J20" t="s">
        <v>45</v>
      </c>
      <c r="K20" t="s">
        <v>40</v>
      </c>
      <c r="L20">
        <v>8</v>
      </c>
      <c r="M20" t="s">
        <v>25</v>
      </c>
      <c r="N20">
        <v>5</v>
      </c>
    </row>
    <row r="21" spans="1:14" x14ac:dyDescent="0.35">
      <c r="A21" s="5">
        <v>45651.379861111112</v>
      </c>
      <c r="B21" s="1" t="str">
        <f>TEXT(Coffee_Sales_Dataset[[#This Row],[Date]],"ddd")</f>
        <v>Wed</v>
      </c>
      <c r="C21">
        <f>HOUR(Coffee_Sales_Dataset[[#This Row],[Date]])</f>
        <v>9</v>
      </c>
      <c r="D21" t="s">
        <v>20</v>
      </c>
      <c r="E21" t="s">
        <v>46</v>
      </c>
      <c r="F21" t="s">
        <v>22</v>
      </c>
      <c r="G21">
        <v>5.78</v>
      </c>
      <c r="H21" t="s">
        <v>30</v>
      </c>
      <c r="I21" t="s">
        <v>23</v>
      </c>
      <c r="J21" t="s">
        <v>29</v>
      </c>
      <c r="K21" t="s">
        <v>32</v>
      </c>
      <c r="L21">
        <v>5</v>
      </c>
      <c r="M21" t="s">
        <v>47</v>
      </c>
      <c r="N21">
        <v>2</v>
      </c>
    </row>
    <row r="22" spans="1:14" x14ac:dyDescent="0.35">
      <c r="A22" s="5">
        <v>45650.588194444441</v>
      </c>
      <c r="B22" s="1" t="str">
        <f>TEXT(Coffee_Sales_Dataset[[#This Row],[Date]],"ddd")</f>
        <v>Tue</v>
      </c>
      <c r="C22">
        <f>HOUR(Coffee_Sales_Dataset[[#This Row],[Date]])</f>
        <v>14</v>
      </c>
      <c r="D22" t="s">
        <v>20</v>
      </c>
      <c r="E22" t="s">
        <v>21</v>
      </c>
      <c r="F22" t="s">
        <v>22</v>
      </c>
      <c r="G22">
        <v>5.9</v>
      </c>
      <c r="H22" t="s">
        <v>15</v>
      </c>
      <c r="I22" t="s">
        <v>16</v>
      </c>
      <c r="J22" t="s">
        <v>45</v>
      </c>
      <c r="K22" t="s">
        <v>32</v>
      </c>
      <c r="L22">
        <v>7</v>
      </c>
      <c r="M22" t="s">
        <v>25</v>
      </c>
      <c r="N22">
        <v>5</v>
      </c>
    </row>
    <row r="23" spans="1:14" x14ac:dyDescent="0.35">
      <c r="A23" s="5">
        <v>45656.647222222222</v>
      </c>
      <c r="B23" s="1" t="str">
        <f>TEXT(Coffee_Sales_Dataset[[#This Row],[Date]],"ddd")</f>
        <v>Mon</v>
      </c>
      <c r="C23">
        <f>HOUR(Coffee_Sales_Dataset[[#This Row],[Date]])</f>
        <v>15</v>
      </c>
      <c r="D23" t="s">
        <v>43</v>
      </c>
      <c r="E23" t="s">
        <v>27</v>
      </c>
      <c r="F23" t="s">
        <v>22</v>
      </c>
      <c r="G23">
        <v>3.43</v>
      </c>
      <c r="H23" t="s">
        <v>15</v>
      </c>
      <c r="I23" t="s">
        <v>16</v>
      </c>
      <c r="J23" t="s">
        <v>42</v>
      </c>
      <c r="K23" t="s">
        <v>40</v>
      </c>
      <c r="L23">
        <v>4</v>
      </c>
      <c r="M23" t="s">
        <v>39</v>
      </c>
      <c r="N23">
        <v>1</v>
      </c>
    </row>
    <row r="24" spans="1:14" x14ac:dyDescent="0.35">
      <c r="A24" s="5">
        <v>45652.396527777775</v>
      </c>
      <c r="B24" s="1" t="str">
        <f>TEXT(Coffee_Sales_Dataset[[#This Row],[Date]],"ddd")</f>
        <v>Thu</v>
      </c>
      <c r="C24">
        <f>HOUR(Coffee_Sales_Dataset[[#This Row],[Date]])</f>
        <v>9</v>
      </c>
      <c r="D24" t="s">
        <v>26</v>
      </c>
      <c r="E24" t="s">
        <v>27</v>
      </c>
      <c r="F24" t="s">
        <v>22</v>
      </c>
      <c r="G24">
        <v>5.42</v>
      </c>
      <c r="H24" t="s">
        <v>15</v>
      </c>
      <c r="I24" t="s">
        <v>23</v>
      </c>
      <c r="J24" t="s">
        <v>24</v>
      </c>
      <c r="K24" t="s">
        <v>18</v>
      </c>
      <c r="L24">
        <v>3</v>
      </c>
      <c r="M24" t="s">
        <v>33</v>
      </c>
      <c r="N24">
        <v>1</v>
      </c>
    </row>
    <row r="25" spans="1:14" x14ac:dyDescent="0.35">
      <c r="A25" s="5">
        <v>45651.700694444444</v>
      </c>
      <c r="B25" s="1" t="str">
        <f>TEXT(Coffee_Sales_Dataset[[#This Row],[Date]],"ddd")</f>
        <v>Wed</v>
      </c>
      <c r="C25">
        <f>HOUR(Coffee_Sales_Dataset[[#This Row],[Date]])</f>
        <v>16</v>
      </c>
      <c r="D25" t="s">
        <v>12</v>
      </c>
      <c r="E25" t="s">
        <v>21</v>
      </c>
      <c r="F25" t="s">
        <v>22</v>
      </c>
      <c r="G25">
        <v>3.81</v>
      </c>
      <c r="H25" t="s">
        <v>28</v>
      </c>
      <c r="I25" t="s">
        <v>16</v>
      </c>
      <c r="J25" t="s">
        <v>42</v>
      </c>
      <c r="K25" t="s">
        <v>18</v>
      </c>
      <c r="L25">
        <v>6</v>
      </c>
      <c r="M25" t="s">
        <v>37</v>
      </c>
      <c r="N25">
        <v>3</v>
      </c>
    </row>
    <row r="26" spans="1:14" x14ac:dyDescent="0.35">
      <c r="A26" s="5">
        <v>45653.69027777778</v>
      </c>
      <c r="B26" s="1" t="str">
        <f>TEXT(Coffee_Sales_Dataset[[#This Row],[Date]],"ddd")</f>
        <v>Fri</v>
      </c>
      <c r="C26">
        <f>HOUR(Coffee_Sales_Dataset[[#This Row],[Date]])</f>
        <v>16</v>
      </c>
      <c r="D26" t="s">
        <v>26</v>
      </c>
      <c r="E26" t="s">
        <v>21</v>
      </c>
      <c r="F26" t="s">
        <v>14</v>
      </c>
      <c r="G26">
        <v>6.96</v>
      </c>
      <c r="H26" t="s">
        <v>30</v>
      </c>
      <c r="I26" t="s">
        <v>16</v>
      </c>
      <c r="J26" t="s">
        <v>42</v>
      </c>
      <c r="K26" t="s">
        <v>32</v>
      </c>
      <c r="L26">
        <v>8</v>
      </c>
      <c r="M26" t="s">
        <v>25</v>
      </c>
      <c r="N26">
        <v>4</v>
      </c>
    </row>
    <row r="27" spans="1:14" x14ac:dyDescent="0.35">
      <c r="A27" s="5">
        <v>45641.440972222219</v>
      </c>
      <c r="B27" s="1" t="str">
        <f>TEXT(Coffee_Sales_Dataset[[#This Row],[Date]],"ddd")</f>
        <v>Sun</v>
      </c>
      <c r="C27">
        <f>HOUR(Coffee_Sales_Dataset[[#This Row],[Date]])</f>
        <v>10</v>
      </c>
      <c r="D27" t="s">
        <v>43</v>
      </c>
      <c r="E27" t="s">
        <v>44</v>
      </c>
      <c r="F27" t="s">
        <v>14</v>
      </c>
      <c r="G27">
        <v>4.97</v>
      </c>
      <c r="H27" t="s">
        <v>30</v>
      </c>
      <c r="I27" t="s">
        <v>16</v>
      </c>
      <c r="J27" t="s">
        <v>45</v>
      </c>
      <c r="K27" t="s">
        <v>32</v>
      </c>
      <c r="L27">
        <v>9</v>
      </c>
      <c r="M27" t="s">
        <v>33</v>
      </c>
      <c r="N27">
        <v>1</v>
      </c>
    </row>
    <row r="28" spans="1:14" x14ac:dyDescent="0.35">
      <c r="A28" s="5">
        <v>45650.654166666667</v>
      </c>
      <c r="B28" s="1" t="str">
        <f>TEXT(Coffee_Sales_Dataset[[#This Row],[Date]],"ddd")</f>
        <v>Tue</v>
      </c>
      <c r="C28">
        <f>HOUR(Coffee_Sales_Dataset[[#This Row],[Date]])</f>
        <v>15</v>
      </c>
      <c r="D28" t="s">
        <v>41</v>
      </c>
      <c r="E28" t="s">
        <v>44</v>
      </c>
      <c r="F28" t="s">
        <v>35</v>
      </c>
      <c r="G28">
        <v>5.29</v>
      </c>
      <c r="H28" t="s">
        <v>15</v>
      </c>
      <c r="I28" t="s">
        <v>23</v>
      </c>
      <c r="J28" t="s">
        <v>31</v>
      </c>
      <c r="K28" t="s">
        <v>40</v>
      </c>
      <c r="L28">
        <v>8</v>
      </c>
      <c r="M28" t="s">
        <v>47</v>
      </c>
      <c r="N28">
        <v>4</v>
      </c>
    </row>
    <row r="29" spans="1:14" x14ac:dyDescent="0.35">
      <c r="A29" s="5">
        <v>45650.61041666667</v>
      </c>
      <c r="B29" s="1" t="str">
        <f>TEXT(Coffee_Sales_Dataset[[#This Row],[Date]],"ddd")</f>
        <v>Tue</v>
      </c>
      <c r="C29">
        <f>HOUR(Coffee_Sales_Dataset[[#This Row],[Date]])</f>
        <v>14</v>
      </c>
      <c r="D29" t="s">
        <v>43</v>
      </c>
      <c r="E29" t="s">
        <v>21</v>
      </c>
      <c r="F29" t="s">
        <v>22</v>
      </c>
      <c r="G29">
        <v>4.28</v>
      </c>
      <c r="H29" t="s">
        <v>30</v>
      </c>
      <c r="I29" t="s">
        <v>23</v>
      </c>
      <c r="J29" t="s">
        <v>17</v>
      </c>
      <c r="K29" t="s">
        <v>32</v>
      </c>
      <c r="L29">
        <v>7</v>
      </c>
      <c r="M29" t="s">
        <v>33</v>
      </c>
      <c r="N29">
        <v>5</v>
      </c>
    </row>
    <row r="30" spans="1:14" x14ac:dyDescent="0.35">
      <c r="A30" s="5">
        <v>45641.558333333334</v>
      </c>
      <c r="B30" s="1" t="str">
        <f>TEXT(Coffee_Sales_Dataset[[#This Row],[Date]],"ddd")</f>
        <v>Sun</v>
      </c>
      <c r="C30">
        <f>HOUR(Coffee_Sales_Dataset[[#This Row],[Date]])</f>
        <v>13</v>
      </c>
      <c r="D30" t="s">
        <v>26</v>
      </c>
      <c r="E30" t="s">
        <v>46</v>
      </c>
      <c r="F30" t="s">
        <v>22</v>
      </c>
      <c r="G30">
        <v>6.97</v>
      </c>
      <c r="H30" t="s">
        <v>15</v>
      </c>
      <c r="I30" t="s">
        <v>16</v>
      </c>
      <c r="J30" t="s">
        <v>29</v>
      </c>
      <c r="K30" t="s">
        <v>18</v>
      </c>
      <c r="L30">
        <v>5</v>
      </c>
      <c r="M30" t="s">
        <v>36</v>
      </c>
      <c r="N30">
        <v>2</v>
      </c>
    </row>
    <row r="31" spans="1:14" x14ac:dyDescent="0.35">
      <c r="A31" s="5">
        <v>45651.711805555555</v>
      </c>
      <c r="B31" s="1" t="str">
        <f>TEXT(Coffee_Sales_Dataset[[#This Row],[Date]],"ddd")</f>
        <v>Wed</v>
      </c>
      <c r="C31">
        <f>HOUR(Coffee_Sales_Dataset[[#This Row],[Date]])</f>
        <v>17</v>
      </c>
      <c r="D31" t="s">
        <v>26</v>
      </c>
      <c r="E31" t="s">
        <v>21</v>
      </c>
      <c r="F31" t="s">
        <v>22</v>
      </c>
      <c r="G31">
        <v>3.46</v>
      </c>
      <c r="H31" t="s">
        <v>30</v>
      </c>
      <c r="I31" t="s">
        <v>23</v>
      </c>
      <c r="J31" t="s">
        <v>31</v>
      </c>
      <c r="K31" t="s">
        <v>32</v>
      </c>
      <c r="L31">
        <v>2</v>
      </c>
      <c r="M31" t="s">
        <v>25</v>
      </c>
      <c r="N31">
        <v>4</v>
      </c>
    </row>
    <row r="32" spans="1:14" x14ac:dyDescent="0.35">
      <c r="A32" s="5">
        <v>45650.595138888886</v>
      </c>
      <c r="B32" s="1" t="str">
        <f>TEXT(Coffee_Sales_Dataset[[#This Row],[Date]],"ddd")</f>
        <v>Tue</v>
      </c>
      <c r="C32">
        <f>HOUR(Coffee_Sales_Dataset[[#This Row],[Date]])</f>
        <v>14</v>
      </c>
      <c r="D32" t="s">
        <v>26</v>
      </c>
      <c r="E32" t="s">
        <v>44</v>
      </c>
      <c r="F32" t="s">
        <v>22</v>
      </c>
      <c r="G32">
        <v>5.35</v>
      </c>
      <c r="H32" t="s">
        <v>15</v>
      </c>
      <c r="I32" t="s">
        <v>16</v>
      </c>
      <c r="J32" t="s">
        <v>31</v>
      </c>
      <c r="K32" t="s">
        <v>32</v>
      </c>
      <c r="L32">
        <v>7</v>
      </c>
      <c r="M32" t="s">
        <v>37</v>
      </c>
      <c r="N32">
        <v>1</v>
      </c>
    </row>
    <row r="33" spans="1:14" x14ac:dyDescent="0.35">
      <c r="A33" s="5">
        <v>45653.405555555553</v>
      </c>
      <c r="B33" s="1" t="str">
        <f>TEXT(Coffee_Sales_Dataset[[#This Row],[Date]],"ddd")</f>
        <v>Fri</v>
      </c>
      <c r="C33">
        <f>HOUR(Coffee_Sales_Dataset[[#This Row],[Date]])</f>
        <v>9</v>
      </c>
      <c r="D33" t="s">
        <v>20</v>
      </c>
      <c r="E33" t="s">
        <v>34</v>
      </c>
      <c r="F33" t="s">
        <v>22</v>
      </c>
      <c r="G33">
        <v>5.01</v>
      </c>
      <c r="H33" t="s">
        <v>28</v>
      </c>
      <c r="I33" t="s">
        <v>16</v>
      </c>
      <c r="J33" t="s">
        <v>17</v>
      </c>
      <c r="K33" t="s">
        <v>18</v>
      </c>
      <c r="L33">
        <v>6</v>
      </c>
      <c r="M33" t="s">
        <v>47</v>
      </c>
      <c r="N33">
        <v>4</v>
      </c>
    </row>
    <row r="34" spans="1:14" x14ac:dyDescent="0.35">
      <c r="A34" s="5">
        <v>45644.411805555559</v>
      </c>
      <c r="B34" s="1" t="str">
        <f>TEXT(Coffee_Sales_Dataset[[#This Row],[Date]],"ddd")</f>
        <v>Wed</v>
      </c>
      <c r="C34">
        <f>HOUR(Coffee_Sales_Dataset[[#This Row],[Date]])</f>
        <v>9</v>
      </c>
      <c r="D34" t="s">
        <v>41</v>
      </c>
      <c r="E34" t="s">
        <v>27</v>
      </c>
      <c r="F34" t="s">
        <v>22</v>
      </c>
      <c r="G34">
        <v>4.0599999999999996</v>
      </c>
      <c r="H34" t="s">
        <v>15</v>
      </c>
      <c r="I34" t="s">
        <v>16</v>
      </c>
      <c r="J34" t="s">
        <v>17</v>
      </c>
      <c r="K34" t="s">
        <v>18</v>
      </c>
      <c r="L34">
        <v>3</v>
      </c>
      <c r="M34" t="s">
        <v>19</v>
      </c>
      <c r="N34">
        <v>5</v>
      </c>
    </row>
    <row r="35" spans="1:14" x14ac:dyDescent="0.35">
      <c r="A35" s="5">
        <v>45642.553472222222</v>
      </c>
      <c r="B35" s="1" t="str">
        <f>TEXT(Coffee_Sales_Dataset[[#This Row],[Date]],"ddd")</f>
        <v>Mon</v>
      </c>
      <c r="C35">
        <f>HOUR(Coffee_Sales_Dataset[[#This Row],[Date]])</f>
        <v>13</v>
      </c>
      <c r="D35" t="s">
        <v>26</v>
      </c>
      <c r="E35" t="s">
        <v>38</v>
      </c>
      <c r="F35" t="s">
        <v>35</v>
      </c>
      <c r="G35">
        <v>4.9000000000000004</v>
      </c>
      <c r="H35" t="s">
        <v>30</v>
      </c>
      <c r="I35" t="s">
        <v>16</v>
      </c>
      <c r="J35" t="s">
        <v>29</v>
      </c>
      <c r="K35" t="s">
        <v>18</v>
      </c>
      <c r="L35">
        <v>6</v>
      </c>
      <c r="M35" t="s">
        <v>37</v>
      </c>
      <c r="N35">
        <v>3</v>
      </c>
    </row>
    <row r="36" spans="1:14" x14ac:dyDescent="0.35">
      <c r="A36" s="5">
        <v>45647.680555555555</v>
      </c>
      <c r="B36" s="1" t="str">
        <f>TEXT(Coffee_Sales_Dataset[[#This Row],[Date]],"ddd")</f>
        <v>Sat</v>
      </c>
      <c r="C36">
        <f>HOUR(Coffee_Sales_Dataset[[#This Row],[Date]])</f>
        <v>16</v>
      </c>
      <c r="D36" t="s">
        <v>20</v>
      </c>
      <c r="E36" t="s">
        <v>46</v>
      </c>
      <c r="F36" t="s">
        <v>22</v>
      </c>
      <c r="G36">
        <v>4.01</v>
      </c>
      <c r="H36" t="s">
        <v>28</v>
      </c>
      <c r="I36" t="s">
        <v>16</v>
      </c>
      <c r="J36" t="s">
        <v>45</v>
      </c>
      <c r="K36" t="s">
        <v>18</v>
      </c>
      <c r="L36">
        <v>4</v>
      </c>
      <c r="M36" t="s">
        <v>39</v>
      </c>
      <c r="N36">
        <v>5</v>
      </c>
    </row>
    <row r="37" spans="1:14" x14ac:dyDescent="0.35">
      <c r="A37" s="5">
        <v>45654.729861111111</v>
      </c>
      <c r="B37" s="1" t="str">
        <f>TEXT(Coffee_Sales_Dataset[[#This Row],[Date]],"ddd")</f>
        <v>Sat</v>
      </c>
      <c r="C37">
        <f>HOUR(Coffee_Sales_Dataset[[#This Row],[Date]])</f>
        <v>17</v>
      </c>
      <c r="D37" t="s">
        <v>20</v>
      </c>
      <c r="E37" t="s">
        <v>44</v>
      </c>
      <c r="F37" t="s">
        <v>35</v>
      </c>
      <c r="G37">
        <v>6.75</v>
      </c>
      <c r="H37" t="s">
        <v>15</v>
      </c>
      <c r="I37" t="s">
        <v>16</v>
      </c>
      <c r="J37" t="s">
        <v>31</v>
      </c>
      <c r="K37" t="s">
        <v>18</v>
      </c>
      <c r="L37">
        <v>2</v>
      </c>
      <c r="M37" t="s">
        <v>37</v>
      </c>
      <c r="N37">
        <v>2</v>
      </c>
    </row>
    <row r="38" spans="1:14" x14ac:dyDescent="0.35">
      <c r="A38" s="5">
        <v>45646.427083333336</v>
      </c>
      <c r="B38" s="1" t="str">
        <f>TEXT(Coffee_Sales_Dataset[[#This Row],[Date]],"ddd")</f>
        <v>Fri</v>
      </c>
      <c r="C38">
        <f>HOUR(Coffee_Sales_Dataset[[#This Row],[Date]])</f>
        <v>10</v>
      </c>
      <c r="D38" t="s">
        <v>20</v>
      </c>
      <c r="E38" t="s">
        <v>44</v>
      </c>
      <c r="F38" t="s">
        <v>35</v>
      </c>
      <c r="G38">
        <v>6.06</v>
      </c>
      <c r="H38" t="s">
        <v>15</v>
      </c>
      <c r="I38" t="s">
        <v>16</v>
      </c>
      <c r="J38" t="s">
        <v>24</v>
      </c>
      <c r="K38" t="s">
        <v>40</v>
      </c>
      <c r="L38">
        <v>5</v>
      </c>
      <c r="M38" t="s">
        <v>33</v>
      </c>
      <c r="N38">
        <v>4</v>
      </c>
    </row>
    <row r="39" spans="1:14" x14ac:dyDescent="0.35">
      <c r="A39" s="5">
        <v>45645.52847222222</v>
      </c>
      <c r="B39" s="1" t="str">
        <f>TEXT(Coffee_Sales_Dataset[[#This Row],[Date]],"ddd")</f>
        <v>Thu</v>
      </c>
      <c r="C39">
        <f>HOUR(Coffee_Sales_Dataset[[#This Row],[Date]])</f>
        <v>12</v>
      </c>
      <c r="D39" t="s">
        <v>20</v>
      </c>
      <c r="E39" t="s">
        <v>34</v>
      </c>
      <c r="F39" t="s">
        <v>35</v>
      </c>
      <c r="G39">
        <v>5.4</v>
      </c>
      <c r="H39" t="s">
        <v>15</v>
      </c>
      <c r="I39" t="s">
        <v>23</v>
      </c>
      <c r="J39" t="s">
        <v>29</v>
      </c>
      <c r="K39" t="s">
        <v>40</v>
      </c>
      <c r="L39">
        <v>5</v>
      </c>
      <c r="M39" t="s">
        <v>39</v>
      </c>
      <c r="N39">
        <v>2</v>
      </c>
    </row>
    <row r="40" spans="1:14" x14ac:dyDescent="0.35">
      <c r="A40" s="5">
        <v>45653.520138888889</v>
      </c>
      <c r="B40" s="1" t="str">
        <f>TEXT(Coffee_Sales_Dataset[[#This Row],[Date]],"ddd")</f>
        <v>Fri</v>
      </c>
      <c r="C40">
        <f>HOUR(Coffee_Sales_Dataset[[#This Row],[Date]])</f>
        <v>12</v>
      </c>
      <c r="D40" t="s">
        <v>12</v>
      </c>
      <c r="E40" t="s">
        <v>38</v>
      </c>
      <c r="F40" t="s">
        <v>22</v>
      </c>
      <c r="G40">
        <v>4.6900000000000004</v>
      </c>
      <c r="H40" t="s">
        <v>30</v>
      </c>
      <c r="I40" t="s">
        <v>23</v>
      </c>
      <c r="J40" t="s">
        <v>17</v>
      </c>
      <c r="K40" t="s">
        <v>32</v>
      </c>
      <c r="L40">
        <v>4</v>
      </c>
      <c r="M40" t="s">
        <v>39</v>
      </c>
      <c r="N40">
        <v>3</v>
      </c>
    </row>
    <row r="41" spans="1:14" x14ac:dyDescent="0.35">
      <c r="A41" s="5">
        <v>45653.529166666667</v>
      </c>
      <c r="B41" s="1" t="str">
        <f>TEXT(Coffee_Sales_Dataset[[#This Row],[Date]],"ddd")</f>
        <v>Fri</v>
      </c>
      <c r="C41">
        <f>HOUR(Coffee_Sales_Dataset[[#This Row],[Date]])</f>
        <v>12</v>
      </c>
      <c r="D41" t="s">
        <v>41</v>
      </c>
      <c r="E41" t="s">
        <v>27</v>
      </c>
      <c r="F41" t="s">
        <v>35</v>
      </c>
      <c r="G41">
        <v>6.41</v>
      </c>
      <c r="H41" t="s">
        <v>28</v>
      </c>
      <c r="I41" t="s">
        <v>16</v>
      </c>
      <c r="J41" t="s">
        <v>29</v>
      </c>
      <c r="K41" t="s">
        <v>40</v>
      </c>
      <c r="L41">
        <v>3</v>
      </c>
      <c r="M41" t="s">
        <v>47</v>
      </c>
      <c r="N41">
        <v>5</v>
      </c>
    </row>
    <row r="42" spans="1:14" x14ac:dyDescent="0.35">
      <c r="A42" s="5">
        <v>45645.414583333331</v>
      </c>
      <c r="B42" s="1" t="str">
        <f>TEXT(Coffee_Sales_Dataset[[#This Row],[Date]],"ddd")</f>
        <v>Thu</v>
      </c>
      <c r="C42">
        <f>HOUR(Coffee_Sales_Dataset[[#This Row],[Date]])</f>
        <v>9</v>
      </c>
      <c r="D42" t="s">
        <v>12</v>
      </c>
      <c r="E42" t="s">
        <v>34</v>
      </c>
      <c r="F42" t="s">
        <v>35</v>
      </c>
      <c r="G42">
        <v>5.63</v>
      </c>
      <c r="H42" t="s">
        <v>30</v>
      </c>
      <c r="I42" t="s">
        <v>16</v>
      </c>
      <c r="J42" t="s">
        <v>45</v>
      </c>
      <c r="K42" t="s">
        <v>40</v>
      </c>
      <c r="L42">
        <v>5</v>
      </c>
      <c r="M42" t="s">
        <v>39</v>
      </c>
      <c r="N42">
        <v>5</v>
      </c>
    </row>
    <row r="43" spans="1:14" x14ac:dyDescent="0.35">
      <c r="A43" s="5">
        <v>45652.397916666669</v>
      </c>
      <c r="B43" s="1" t="str">
        <f>TEXT(Coffee_Sales_Dataset[[#This Row],[Date]],"ddd")</f>
        <v>Thu</v>
      </c>
      <c r="C43">
        <f>HOUR(Coffee_Sales_Dataset[[#This Row],[Date]])</f>
        <v>9</v>
      </c>
      <c r="D43" t="s">
        <v>41</v>
      </c>
      <c r="E43" t="s">
        <v>21</v>
      </c>
      <c r="F43" t="s">
        <v>35</v>
      </c>
      <c r="G43">
        <v>4.01</v>
      </c>
      <c r="H43" t="s">
        <v>30</v>
      </c>
      <c r="I43" t="s">
        <v>23</v>
      </c>
      <c r="J43" t="s">
        <v>31</v>
      </c>
      <c r="K43" t="s">
        <v>40</v>
      </c>
      <c r="L43">
        <v>7</v>
      </c>
      <c r="M43" t="s">
        <v>47</v>
      </c>
      <c r="N43">
        <v>5</v>
      </c>
    </row>
    <row r="44" spans="1:14" x14ac:dyDescent="0.35">
      <c r="A44" s="5">
        <v>45652.499305555553</v>
      </c>
      <c r="B44" s="1" t="str">
        <f>TEXT(Coffee_Sales_Dataset[[#This Row],[Date]],"ddd")</f>
        <v>Thu</v>
      </c>
      <c r="C44">
        <f>HOUR(Coffee_Sales_Dataset[[#This Row],[Date]])</f>
        <v>11</v>
      </c>
      <c r="D44" t="s">
        <v>12</v>
      </c>
      <c r="E44" t="s">
        <v>27</v>
      </c>
      <c r="F44" t="s">
        <v>14</v>
      </c>
      <c r="G44">
        <v>3.43</v>
      </c>
      <c r="H44" t="s">
        <v>30</v>
      </c>
      <c r="I44" t="s">
        <v>16</v>
      </c>
      <c r="J44" t="s">
        <v>42</v>
      </c>
      <c r="K44" t="s">
        <v>32</v>
      </c>
      <c r="L44">
        <v>6</v>
      </c>
      <c r="M44" t="s">
        <v>33</v>
      </c>
      <c r="N44">
        <v>5</v>
      </c>
    </row>
    <row r="45" spans="1:14" x14ac:dyDescent="0.35">
      <c r="A45" s="5">
        <v>45641.682638888888</v>
      </c>
      <c r="B45" s="1" t="str">
        <f>TEXT(Coffee_Sales_Dataset[[#This Row],[Date]],"ddd")</f>
        <v>Sun</v>
      </c>
      <c r="C45">
        <f>HOUR(Coffee_Sales_Dataset[[#This Row],[Date]])</f>
        <v>16</v>
      </c>
      <c r="D45" t="s">
        <v>26</v>
      </c>
      <c r="E45" t="s">
        <v>34</v>
      </c>
      <c r="F45" t="s">
        <v>35</v>
      </c>
      <c r="G45">
        <v>4.7</v>
      </c>
      <c r="H45" t="s">
        <v>28</v>
      </c>
      <c r="I45" t="s">
        <v>23</v>
      </c>
      <c r="J45" t="s">
        <v>24</v>
      </c>
      <c r="K45" t="s">
        <v>40</v>
      </c>
      <c r="L45">
        <v>7</v>
      </c>
      <c r="M45" t="s">
        <v>25</v>
      </c>
      <c r="N45">
        <v>3</v>
      </c>
    </row>
    <row r="46" spans="1:14" x14ac:dyDescent="0.35">
      <c r="A46" s="5">
        <v>45654.361805555556</v>
      </c>
      <c r="B46" s="1" t="str">
        <f>TEXT(Coffee_Sales_Dataset[[#This Row],[Date]],"ddd")</f>
        <v>Sat</v>
      </c>
      <c r="C46">
        <f>HOUR(Coffee_Sales_Dataset[[#This Row],[Date]])</f>
        <v>8</v>
      </c>
      <c r="D46" t="s">
        <v>41</v>
      </c>
      <c r="E46" t="s">
        <v>13</v>
      </c>
      <c r="F46" t="s">
        <v>35</v>
      </c>
      <c r="G46">
        <v>5.65</v>
      </c>
      <c r="H46" t="s">
        <v>30</v>
      </c>
      <c r="I46" t="s">
        <v>23</v>
      </c>
      <c r="J46" t="s">
        <v>24</v>
      </c>
      <c r="K46" t="s">
        <v>18</v>
      </c>
      <c r="L46">
        <v>8</v>
      </c>
      <c r="M46" t="s">
        <v>47</v>
      </c>
      <c r="N46">
        <v>3</v>
      </c>
    </row>
    <row r="47" spans="1:14" x14ac:dyDescent="0.35">
      <c r="A47" s="5">
        <v>45655.398611111108</v>
      </c>
      <c r="B47" s="1" t="str">
        <f>TEXT(Coffee_Sales_Dataset[[#This Row],[Date]],"ddd")</f>
        <v>Sun</v>
      </c>
      <c r="C47">
        <f>HOUR(Coffee_Sales_Dataset[[#This Row],[Date]])</f>
        <v>9</v>
      </c>
      <c r="D47" t="s">
        <v>20</v>
      </c>
      <c r="E47" t="s">
        <v>21</v>
      </c>
      <c r="F47" t="s">
        <v>22</v>
      </c>
      <c r="G47">
        <v>4.55</v>
      </c>
      <c r="H47" t="s">
        <v>15</v>
      </c>
      <c r="I47" t="s">
        <v>16</v>
      </c>
      <c r="J47" t="s">
        <v>24</v>
      </c>
      <c r="K47" t="s">
        <v>40</v>
      </c>
      <c r="L47">
        <v>5</v>
      </c>
      <c r="M47" t="s">
        <v>47</v>
      </c>
      <c r="N47">
        <v>2</v>
      </c>
    </row>
    <row r="48" spans="1:14" x14ac:dyDescent="0.35">
      <c r="A48" s="5">
        <v>45654.456944444442</v>
      </c>
      <c r="B48" s="1" t="str">
        <f>TEXT(Coffee_Sales_Dataset[[#This Row],[Date]],"ddd")</f>
        <v>Sat</v>
      </c>
      <c r="C48">
        <f>HOUR(Coffee_Sales_Dataset[[#This Row],[Date]])</f>
        <v>10</v>
      </c>
      <c r="D48" t="s">
        <v>12</v>
      </c>
      <c r="E48" t="s">
        <v>44</v>
      </c>
      <c r="F48" t="s">
        <v>22</v>
      </c>
      <c r="G48">
        <v>6.52</v>
      </c>
      <c r="H48" t="s">
        <v>28</v>
      </c>
      <c r="I48" t="s">
        <v>16</v>
      </c>
      <c r="J48" t="s">
        <v>29</v>
      </c>
      <c r="K48" t="s">
        <v>32</v>
      </c>
      <c r="L48">
        <v>3</v>
      </c>
      <c r="M48" t="s">
        <v>33</v>
      </c>
      <c r="N48">
        <v>4</v>
      </c>
    </row>
    <row r="49" spans="1:14" x14ac:dyDescent="0.35">
      <c r="A49" s="5">
        <v>45648.624305555553</v>
      </c>
      <c r="B49" s="1" t="str">
        <f>TEXT(Coffee_Sales_Dataset[[#This Row],[Date]],"ddd")</f>
        <v>Sun</v>
      </c>
      <c r="C49">
        <f>HOUR(Coffee_Sales_Dataset[[#This Row],[Date]])</f>
        <v>14</v>
      </c>
      <c r="D49" t="s">
        <v>43</v>
      </c>
      <c r="E49" t="s">
        <v>44</v>
      </c>
      <c r="F49" t="s">
        <v>22</v>
      </c>
      <c r="G49">
        <v>6.51</v>
      </c>
      <c r="H49" t="s">
        <v>30</v>
      </c>
      <c r="I49" t="s">
        <v>23</v>
      </c>
      <c r="J49" t="s">
        <v>45</v>
      </c>
      <c r="K49" t="s">
        <v>32</v>
      </c>
      <c r="L49">
        <v>10</v>
      </c>
      <c r="M49" t="s">
        <v>39</v>
      </c>
      <c r="N49">
        <v>3</v>
      </c>
    </row>
    <row r="50" spans="1:14" x14ac:dyDescent="0.35">
      <c r="A50" s="5">
        <v>45647.699305555558</v>
      </c>
      <c r="B50" s="1" t="str">
        <f>TEXT(Coffee_Sales_Dataset[[#This Row],[Date]],"ddd")</f>
        <v>Sat</v>
      </c>
      <c r="C50">
        <f>HOUR(Coffee_Sales_Dataset[[#This Row],[Date]])</f>
        <v>16</v>
      </c>
      <c r="D50" t="s">
        <v>43</v>
      </c>
      <c r="E50" t="s">
        <v>46</v>
      </c>
      <c r="F50" t="s">
        <v>35</v>
      </c>
      <c r="G50">
        <v>3.11</v>
      </c>
      <c r="H50" t="s">
        <v>30</v>
      </c>
      <c r="I50" t="s">
        <v>23</v>
      </c>
      <c r="J50" t="s">
        <v>45</v>
      </c>
      <c r="K50" t="s">
        <v>32</v>
      </c>
      <c r="L50">
        <v>4</v>
      </c>
      <c r="M50" t="s">
        <v>39</v>
      </c>
      <c r="N50">
        <v>4</v>
      </c>
    </row>
    <row r="51" spans="1:14" x14ac:dyDescent="0.35">
      <c r="A51" s="5">
        <v>45644.513888888891</v>
      </c>
      <c r="B51" s="1" t="str">
        <f>TEXT(Coffee_Sales_Dataset[[#This Row],[Date]],"ddd")</f>
        <v>Wed</v>
      </c>
      <c r="C51">
        <f>HOUR(Coffee_Sales_Dataset[[#This Row],[Date]])</f>
        <v>12</v>
      </c>
      <c r="D51" t="s">
        <v>41</v>
      </c>
      <c r="E51" t="s">
        <v>13</v>
      </c>
      <c r="F51" t="s">
        <v>14</v>
      </c>
      <c r="G51">
        <v>3.63</v>
      </c>
      <c r="H51" t="s">
        <v>28</v>
      </c>
      <c r="I51" t="s">
        <v>23</v>
      </c>
      <c r="J51" t="s">
        <v>31</v>
      </c>
      <c r="K51" t="s">
        <v>18</v>
      </c>
      <c r="L51">
        <v>8</v>
      </c>
      <c r="M51" t="s">
        <v>33</v>
      </c>
      <c r="N51">
        <v>3</v>
      </c>
    </row>
    <row r="52" spans="1:14" x14ac:dyDescent="0.35">
      <c r="A52" s="5">
        <v>45648.427777777775</v>
      </c>
      <c r="B52" s="1" t="str">
        <f>TEXT(Coffee_Sales_Dataset[[#This Row],[Date]],"ddd")</f>
        <v>Sun</v>
      </c>
      <c r="C52">
        <f>HOUR(Coffee_Sales_Dataset[[#This Row],[Date]])</f>
        <v>10</v>
      </c>
      <c r="D52" t="s">
        <v>20</v>
      </c>
      <c r="E52" t="s">
        <v>44</v>
      </c>
      <c r="F52" t="s">
        <v>35</v>
      </c>
      <c r="G52">
        <v>6.31</v>
      </c>
      <c r="H52" t="s">
        <v>15</v>
      </c>
      <c r="I52" t="s">
        <v>23</v>
      </c>
      <c r="J52" t="s">
        <v>29</v>
      </c>
      <c r="K52" t="s">
        <v>32</v>
      </c>
      <c r="L52">
        <v>7</v>
      </c>
      <c r="M52" t="s">
        <v>36</v>
      </c>
      <c r="N52">
        <v>4</v>
      </c>
    </row>
    <row r="53" spans="1:14" x14ac:dyDescent="0.35">
      <c r="A53" s="5">
        <v>45655.718055555553</v>
      </c>
      <c r="B53" s="1" t="str">
        <f>TEXT(Coffee_Sales_Dataset[[#This Row],[Date]],"ddd")</f>
        <v>Sun</v>
      </c>
      <c r="C53">
        <f>HOUR(Coffee_Sales_Dataset[[#This Row],[Date]])</f>
        <v>17</v>
      </c>
      <c r="D53" t="s">
        <v>26</v>
      </c>
      <c r="E53" t="s">
        <v>13</v>
      </c>
      <c r="F53" t="s">
        <v>35</v>
      </c>
      <c r="G53">
        <v>5.59</v>
      </c>
      <c r="H53" t="s">
        <v>28</v>
      </c>
      <c r="I53" t="s">
        <v>23</v>
      </c>
      <c r="J53" t="s">
        <v>29</v>
      </c>
      <c r="K53" t="s">
        <v>32</v>
      </c>
      <c r="L53">
        <v>5</v>
      </c>
      <c r="M53" t="s">
        <v>47</v>
      </c>
      <c r="N53">
        <v>2</v>
      </c>
    </row>
    <row r="54" spans="1:14" x14ac:dyDescent="0.35">
      <c r="A54" s="5">
        <v>45641.727083333331</v>
      </c>
      <c r="B54" s="1" t="str">
        <f>TEXT(Coffee_Sales_Dataset[[#This Row],[Date]],"ddd")</f>
        <v>Sun</v>
      </c>
      <c r="C54">
        <f>HOUR(Coffee_Sales_Dataset[[#This Row],[Date]])</f>
        <v>17</v>
      </c>
      <c r="D54" t="s">
        <v>41</v>
      </c>
      <c r="E54" t="s">
        <v>34</v>
      </c>
      <c r="F54" t="s">
        <v>14</v>
      </c>
      <c r="G54">
        <v>3.36</v>
      </c>
      <c r="H54" t="s">
        <v>15</v>
      </c>
      <c r="I54" t="s">
        <v>23</v>
      </c>
      <c r="J54" t="s">
        <v>31</v>
      </c>
      <c r="K54" t="s">
        <v>40</v>
      </c>
      <c r="L54">
        <v>2</v>
      </c>
      <c r="M54" t="s">
        <v>19</v>
      </c>
      <c r="N54">
        <v>5</v>
      </c>
    </row>
    <row r="55" spans="1:14" x14ac:dyDescent="0.35">
      <c r="A55" s="5">
        <v>45647.661111111112</v>
      </c>
      <c r="B55" s="1" t="str">
        <f>TEXT(Coffee_Sales_Dataset[[#This Row],[Date]],"ddd")</f>
        <v>Sat</v>
      </c>
      <c r="C55">
        <f>HOUR(Coffee_Sales_Dataset[[#This Row],[Date]])</f>
        <v>15</v>
      </c>
      <c r="D55" t="s">
        <v>12</v>
      </c>
      <c r="E55" t="s">
        <v>13</v>
      </c>
      <c r="F55" t="s">
        <v>14</v>
      </c>
      <c r="G55">
        <v>5.85</v>
      </c>
      <c r="H55" t="s">
        <v>30</v>
      </c>
      <c r="I55" t="s">
        <v>16</v>
      </c>
      <c r="J55" t="s">
        <v>24</v>
      </c>
      <c r="K55" t="s">
        <v>18</v>
      </c>
      <c r="L55">
        <v>9</v>
      </c>
      <c r="M55" t="s">
        <v>25</v>
      </c>
      <c r="N55">
        <v>2</v>
      </c>
    </row>
    <row r="56" spans="1:14" x14ac:dyDescent="0.35">
      <c r="A56" s="5">
        <v>45647.484722222223</v>
      </c>
      <c r="B56" s="1" t="str">
        <f>TEXT(Coffee_Sales_Dataset[[#This Row],[Date]],"ddd")</f>
        <v>Sat</v>
      </c>
      <c r="C56">
        <f>HOUR(Coffee_Sales_Dataset[[#This Row],[Date]])</f>
        <v>11</v>
      </c>
      <c r="D56" t="s">
        <v>20</v>
      </c>
      <c r="E56" t="s">
        <v>21</v>
      </c>
      <c r="F56" t="s">
        <v>22</v>
      </c>
      <c r="G56">
        <v>5.91</v>
      </c>
      <c r="H56" t="s">
        <v>30</v>
      </c>
      <c r="I56" t="s">
        <v>16</v>
      </c>
      <c r="J56" t="s">
        <v>17</v>
      </c>
      <c r="K56" t="s">
        <v>32</v>
      </c>
      <c r="L56">
        <v>4</v>
      </c>
      <c r="M56" t="s">
        <v>39</v>
      </c>
      <c r="N56">
        <v>3</v>
      </c>
    </row>
    <row r="57" spans="1:14" x14ac:dyDescent="0.35">
      <c r="A57" s="5">
        <v>45656.48541666667</v>
      </c>
      <c r="B57" s="1" t="str">
        <f>TEXT(Coffee_Sales_Dataset[[#This Row],[Date]],"ddd")</f>
        <v>Mon</v>
      </c>
      <c r="C57">
        <f>HOUR(Coffee_Sales_Dataset[[#This Row],[Date]])</f>
        <v>11</v>
      </c>
      <c r="D57" t="s">
        <v>12</v>
      </c>
      <c r="E57" t="s">
        <v>27</v>
      </c>
      <c r="F57" t="s">
        <v>22</v>
      </c>
      <c r="G57">
        <v>5.33</v>
      </c>
      <c r="H57" t="s">
        <v>28</v>
      </c>
      <c r="I57" t="s">
        <v>16</v>
      </c>
      <c r="J57" t="s">
        <v>29</v>
      </c>
      <c r="K57" t="s">
        <v>40</v>
      </c>
      <c r="L57">
        <v>9</v>
      </c>
      <c r="M57" t="s">
        <v>36</v>
      </c>
      <c r="N57">
        <v>3</v>
      </c>
    </row>
    <row r="58" spans="1:14" x14ac:dyDescent="0.35">
      <c r="A58" s="5">
        <v>45656.613194444442</v>
      </c>
      <c r="B58" s="1" t="str">
        <f>TEXT(Coffee_Sales_Dataset[[#This Row],[Date]],"ddd")</f>
        <v>Mon</v>
      </c>
      <c r="C58">
        <f>HOUR(Coffee_Sales_Dataset[[#This Row],[Date]])</f>
        <v>14</v>
      </c>
      <c r="D58" t="s">
        <v>20</v>
      </c>
      <c r="E58" t="s">
        <v>44</v>
      </c>
      <c r="F58" t="s">
        <v>22</v>
      </c>
      <c r="G58">
        <v>5.83</v>
      </c>
      <c r="H58" t="s">
        <v>28</v>
      </c>
      <c r="I58" t="s">
        <v>16</v>
      </c>
      <c r="J58" t="s">
        <v>29</v>
      </c>
      <c r="K58" t="s">
        <v>40</v>
      </c>
      <c r="L58">
        <v>10</v>
      </c>
      <c r="M58" t="s">
        <v>39</v>
      </c>
      <c r="N58">
        <v>1</v>
      </c>
    </row>
    <row r="59" spans="1:14" x14ac:dyDescent="0.35">
      <c r="A59" s="5">
        <v>45646.479166666664</v>
      </c>
      <c r="B59" s="1" t="str">
        <f>TEXT(Coffee_Sales_Dataset[[#This Row],[Date]],"ddd")</f>
        <v>Fri</v>
      </c>
      <c r="C59">
        <f>HOUR(Coffee_Sales_Dataset[[#This Row],[Date]])</f>
        <v>11</v>
      </c>
      <c r="D59" t="s">
        <v>43</v>
      </c>
      <c r="E59" t="s">
        <v>38</v>
      </c>
      <c r="F59" t="s">
        <v>35</v>
      </c>
      <c r="G59">
        <v>6.87</v>
      </c>
      <c r="H59" t="s">
        <v>28</v>
      </c>
      <c r="I59" t="s">
        <v>23</v>
      </c>
      <c r="J59" t="s">
        <v>29</v>
      </c>
      <c r="K59" t="s">
        <v>32</v>
      </c>
      <c r="L59">
        <v>10</v>
      </c>
      <c r="M59" t="s">
        <v>37</v>
      </c>
      <c r="N59">
        <v>4</v>
      </c>
    </row>
    <row r="60" spans="1:14" x14ac:dyDescent="0.35">
      <c r="A60" s="5">
        <v>45645.612500000003</v>
      </c>
      <c r="B60" s="1" t="str">
        <f>TEXT(Coffee_Sales_Dataset[[#This Row],[Date]],"ddd")</f>
        <v>Thu</v>
      </c>
      <c r="C60">
        <f>HOUR(Coffee_Sales_Dataset[[#This Row],[Date]])</f>
        <v>14</v>
      </c>
      <c r="D60" t="s">
        <v>43</v>
      </c>
      <c r="E60" t="s">
        <v>27</v>
      </c>
      <c r="F60" t="s">
        <v>35</v>
      </c>
      <c r="G60">
        <v>3.16</v>
      </c>
      <c r="H60" t="s">
        <v>30</v>
      </c>
      <c r="I60" t="s">
        <v>16</v>
      </c>
      <c r="J60" t="s">
        <v>17</v>
      </c>
      <c r="K60" t="s">
        <v>18</v>
      </c>
      <c r="L60">
        <v>9</v>
      </c>
      <c r="M60" t="s">
        <v>47</v>
      </c>
      <c r="N60">
        <v>4</v>
      </c>
    </row>
    <row r="61" spans="1:14" x14ac:dyDescent="0.35">
      <c r="A61" s="5">
        <v>45643.572916666664</v>
      </c>
      <c r="B61" s="1" t="str">
        <f>TEXT(Coffee_Sales_Dataset[[#This Row],[Date]],"ddd")</f>
        <v>Tue</v>
      </c>
      <c r="C61">
        <f>HOUR(Coffee_Sales_Dataset[[#This Row],[Date]])</f>
        <v>13</v>
      </c>
      <c r="D61" t="s">
        <v>41</v>
      </c>
      <c r="E61" t="s">
        <v>46</v>
      </c>
      <c r="F61" t="s">
        <v>14</v>
      </c>
      <c r="G61">
        <v>4.04</v>
      </c>
      <c r="H61" t="s">
        <v>15</v>
      </c>
      <c r="I61" t="s">
        <v>23</v>
      </c>
      <c r="J61" t="s">
        <v>17</v>
      </c>
      <c r="K61" t="s">
        <v>32</v>
      </c>
      <c r="L61">
        <v>6</v>
      </c>
      <c r="M61" t="s">
        <v>19</v>
      </c>
      <c r="N61">
        <v>3</v>
      </c>
    </row>
    <row r="62" spans="1:14" x14ac:dyDescent="0.35">
      <c r="A62" s="5">
        <v>45655.539583333331</v>
      </c>
      <c r="B62" s="1" t="str">
        <f>TEXT(Coffee_Sales_Dataset[[#This Row],[Date]],"ddd")</f>
        <v>Sun</v>
      </c>
      <c r="C62">
        <f>HOUR(Coffee_Sales_Dataset[[#This Row],[Date]])</f>
        <v>12</v>
      </c>
      <c r="D62" t="s">
        <v>43</v>
      </c>
      <c r="E62" t="s">
        <v>38</v>
      </c>
      <c r="F62" t="s">
        <v>22</v>
      </c>
      <c r="G62">
        <v>5.07</v>
      </c>
      <c r="H62" t="s">
        <v>15</v>
      </c>
      <c r="I62" t="s">
        <v>23</v>
      </c>
      <c r="J62" t="s">
        <v>24</v>
      </c>
      <c r="K62" t="s">
        <v>18</v>
      </c>
      <c r="L62">
        <v>9</v>
      </c>
      <c r="M62" t="s">
        <v>33</v>
      </c>
      <c r="N62">
        <v>2</v>
      </c>
    </row>
    <row r="63" spans="1:14" x14ac:dyDescent="0.35">
      <c r="A63" s="5">
        <v>45649.627083333333</v>
      </c>
      <c r="B63" s="1" t="str">
        <f>TEXT(Coffee_Sales_Dataset[[#This Row],[Date]],"ddd")</f>
        <v>Mon</v>
      </c>
      <c r="C63">
        <f>HOUR(Coffee_Sales_Dataset[[#This Row],[Date]])</f>
        <v>15</v>
      </c>
      <c r="D63" t="s">
        <v>20</v>
      </c>
      <c r="E63" t="s">
        <v>27</v>
      </c>
      <c r="F63" t="s">
        <v>14</v>
      </c>
      <c r="G63">
        <v>3.92</v>
      </c>
      <c r="H63" t="s">
        <v>30</v>
      </c>
      <c r="I63" t="s">
        <v>16</v>
      </c>
      <c r="J63" t="s">
        <v>24</v>
      </c>
      <c r="K63" t="s">
        <v>40</v>
      </c>
      <c r="L63">
        <v>9</v>
      </c>
      <c r="M63" t="s">
        <v>25</v>
      </c>
      <c r="N63">
        <v>1</v>
      </c>
    </row>
    <row r="64" spans="1:14" x14ac:dyDescent="0.35">
      <c r="A64" s="5">
        <v>45656.626388888886</v>
      </c>
      <c r="B64" s="1" t="str">
        <f>TEXT(Coffee_Sales_Dataset[[#This Row],[Date]],"ddd")</f>
        <v>Mon</v>
      </c>
      <c r="C64">
        <f>HOUR(Coffee_Sales_Dataset[[#This Row],[Date]])</f>
        <v>15</v>
      </c>
      <c r="D64" t="s">
        <v>12</v>
      </c>
      <c r="E64" t="s">
        <v>34</v>
      </c>
      <c r="F64" t="s">
        <v>35</v>
      </c>
      <c r="G64">
        <v>5.24</v>
      </c>
      <c r="H64" t="s">
        <v>15</v>
      </c>
      <c r="I64" t="s">
        <v>16</v>
      </c>
      <c r="J64" t="s">
        <v>29</v>
      </c>
      <c r="K64" t="s">
        <v>18</v>
      </c>
      <c r="L64">
        <v>4</v>
      </c>
      <c r="M64" t="s">
        <v>39</v>
      </c>
      <c r="N64">
        <v>3</v>
      </c>
    </row>
    <row r="65" spans="1:14" x14ac:dyDescent="0.35">
      <c r="A65" s="5">
        <v>45642.507638888892</v>
      </c>
      <c r="B65" s="1" t="str">
        <f>TEXT(Coffee_Sales_Dataset[[#This Row],[Date]],"ddd")</f>
        <v>Mon</v>
      </c>
      <c r="C65">
        <f>HOUR(Coffee_Sales_Dataset[[#This Row],[Date]])</f>
        <v>12</v>
      </c>
      <c r="D65" t="s">
        <v>20</v>
      </c>
      <c r="E65" t="s">
        <v>44</v>
      </c>
      <c r="F65" t="s">
        <v>35</v>
      </c>
      <c r="G65">
        <v>6.29</v>
      </c>
      <c r="H65" t="s">
        <v>28</v>
      </c>
      <c r="I65" t="s">
        <v>23</v>
      </c>
      <c r="J65" t="s">
        <v>31</v>
      </c>
      <c r="K65" t="s">
        <v>40</v>
      </c>
      <c r="L65">
        <v>10</v>
      </c>
      <c r="M65" t="s">
        <v>33</v>
      </c>
      <c r="N65">
        <v>5</v>
      </c>
    </row>
    <row r="66" spans="1:14" x14ac:dyDescent="0.35">
      <c r="A66" s="5">
        <v>45643.385416666664</v>
      </c>
      <c r="B66" s="1" t="str">
        <f>TEXT(Coffee_Sales_Dataset[[#This Row],[Date]],"ddd")</f>
        <v>Tue</v>
      </c>
      <c r="C66">
        <f>HOUR(Coffee_Sales_Dataset[[#This Row],[Date]])</f>
        <v>9</v>
      </c>
      <c r="D66" t="s">
        <v>12</v>
      </c>
      <c r="E66" t="s">
        <v>44</v>
      </c>
      <c r="F66" t="s">
        <v>14</v>
      </c>
      <c r="G66">
        <v>6.55</v>
      </c>
      <c r="H66" t="s">
        <v>30</v>
      </c>
      <c r="I66" t="s">
        <v>16</v>
      </c>
      <c r="J66" t="s">
        <v>45</v>
      </c>
      <c r="K66" t="s">
        <v>18</v>
      </c>
      <c r="L66">
        <v>3</v>
      </c>
      <c r="M66" t="s">
        <v>25</v>
      </c>
      <c r="N66">
        <v>3</v>
      </c>
    </row>
    <row r="67" spans="1:14" x14ac:dyDescent="0.35">
      <c r="A67" s="5">
        <v>45650.411805555559</v>
      </c>
      <c r="B67" s="1" t="str">
        <f>TEXT(Coffee_Sales_Dataset[[#This Row],[Date]],"ddd")</f>
        <v>Tue</v>
      </c>
      <c r="C67">
        <f>HOUR(Coffee_Sales_Dataset[[#This Row],[Date]])</f>
        <v>9</v>
      </c>
      <c r="D67" t="s">
        <v>43</v>
      </c>
      <c r="E67" t="s">
        <v>27</v>
      </c>
      <c r="F67" t="s">
        <v>14</v>
      </c>
      <c r="G67">
        <v>3.32</v>
      </c>
      <c r="H67" t="s">
        <v>28</v>
      </c>
      <c r="I67" t="s">
        <v>16</v>
      </c>
      <c r="J67" t="s">
        <v>42</v>
      </c>
      <c r="K67" t="s">
        <v>18</v>
      </c>
      <c r="L67">
        <v>6</v>
      </c>
      <c r="M67" t="s">
        <v>37</v>
      </c>
      <c r="N67">
        <v>1</v>
      </c>
    </row>
    <row r="68" spans="1:14" x14ac:dyDescent="0.35">
      <c r="A68" s="5">
        <v>45646.361805555556</v>
      </c>
      <c r="B68" s="1" t="str">
        <f>TEXT(Coffee_Sales_Dataset[[#This Row],[Date]],"ddd")</f>
        <v>Fri</v>
      </c>
      <c r="C68">
        <f>HOUR(Coffee_Sales_Dataset[[#This Row],[Date]])</f>
        <v>8</v>
      </c>
      <c r="D68" t="s">
        <v>41</v>
      </c>
      <c r="E68" t="s">
        <v>46</v>
      </c>
      <c r="F68" t="s">
        <v>22</v>
      </c>
      <c r="G68">
        <v>6.79</v>
      </c>
      <c r="H68" t="s">
        <v>28</v>
      </c>
      <c r="I68" t="s">
        <v>23</v>
      </c>
      <c r="J68" t="s">
        <v>17</v>
      </c>
      <c r="K68" t="s">
        <v>40</v>
      </c>
      <c r="L68">
        <v>6</v>
      </c>
      <c r="M68" t="s">
        <v>47</v>
      </c>
      <c r="N68">
        <v>1</v>
      </c>
    </row>
    <row r="69" spans="1:14" x14ac:dyDescent="0.35">
      <c r="A69" s="5">
        <v>45652.693055555559</v>
      </c>
      <c r="B69" s="1" t="str">
        <f>TEXT(Coffee_Sales_Dataset[[#This Row],[Date]],"ddd")</f>
        <v>Thu</v>
      </c>
      <c r="C69">
        <f>HOUR(Coffee_Sales_Dataset[[#This Row],[Date]])</f>
        <v>16</v>
      </c>
      <c r="D69" t="s">
        <v>12</v>
      </c>
      <c r="E69" t="s">
        <v>13</v>
      </c>
      <c r="F69" t="s">
        <v>22</v>
      </c>
      <c r="G69">
        <v>4.0199999999999996</v>
      </c>
      <c r="H69" t="s">
        <v>30</v>
      </c>
      <c r="I69" t="s">
        <v>16</v>
      </c>
      <c r="J69" t="s">
        <v>29</v>
      </c>
      <c r="K69" t="s">
        <v>40</v>
      </c>
      <c r="L69">
        <v>5</v>
      </c>
      <c r="M69" t="s">
        <v>36</v>
      </c>
      <c r="N69">
        <v>4</v>
      </c>
    </row>
    <row r="70" spans="1:14" x14ac:dyDescent="0.35">
      <c r="A70" s="5">
        <v>45653.52847222222</v>
      </c>
      <c r="B70" s="1" t="str">
        <f>TEXT(Coffee_Sales_Dataset[[#This Row],[Date]],"ddd")</f>
        <v>Fri</v>
      </c>
      <c r="C70">
        <f>HOUR(Coffee_Sales_Dataset[[#This Row],[Date]])</f>
        <v>12</v>
      </c>
      <c r="D70" t="s">
        <v>20</v>
      </c>
      <c r="E70" t="s">
        <v>13</v>
      </c>
      <c r="F70" t="s">
        <v>22</v>
      </c>
      <c r="G70">
        <v>4.96</v>
      </c>
      <c r="H70" t="s">
        <v>15</v>
      </c>
      <c r="I70" t="s">
        <v>16</v>
      </c>
      <c r="J70" t="s">
        <v>45</v>
      </c>
      <c r="K70" t="s">
        <v>18</v>
      </c>
      <c r="L70">
        <v>4</v>
      </c>
      <c r="M70" t="s">
        <v>47</v>
      </c>
      <c r="N70">
        <v>1</v>
      </c>
    </row>
    <row r="71" spans="1:14" x14ac:dyDescent="0.35">
      <c r="A71" s="5">
        <v>45654.675000000003</v>
      </c>
      <c r="B71" s="1" t="str">
        <f>TEXT(Coffee_Sales_Dataset[[#This Row],[Date]],"ddd")</f>
        <v>Sat</v>
      </c>
      <c r="C71">
        <f>HOUR(Coffee_Sales_Dataset[[#This Row],[Date]])</f>
        <v>16</v>
      </c>
      <c r="D71" t="s">
        <v>12</v>
      </c>
      <c r="E71" t="s">
        <v>46</v>
      </c>
      <c r="F71" t="s">
        <v>22</v>
      </c>
      <c r="G71">
        <v>4.91</v>
      </c>
      <c r="H71" t="s">
        <v>28</v>
      </c>
      <c r="I71" t="s">
        <v>16</v>
      </c>
      <c r="J71" t="s">
        <v>29</v>
      </c>
      <c r="K71" t="s">
        <v>32</v>
      </c>
      <c r="L71">
        <v>7</v>
      </c>
      <c r="M71" t="s">
        <v>37</v>
      </c>
      <c r="N71">
        <v>2</v>
      </c>
    </row>
    <row r="72" spans="1:14" x14ac:dyDescent="0.35">
      <c r="A72" s="5">
        <v>45647.586805555555</v>
      </c>
      <c r="B72" s="1" t="str">
        <f>TEXT(Coffee_Sales_Dataset[[#This Row],[Date]],"ddd")</f>
        <v>Sat</v>
      </c>
      <c r="C72">
        <f>HOUR(Coffee_Sales_Dataset[[#This Row],[Date]])</f>
        <v>14</v>
      </c>
      <c r="D72" t="s">
        <v>26</v>
      </c>
      <c r="E72" t="s">
        <v>38</v>
      </c>
      <c r="F72" t="s">
        <v>22</v>
      </c>
      <c r="G72">
        <v>6.89</v>
      </c>
      <c r="H72" t="s">
        <v>28</v>
      </c>
      <c r="I72" t="s">
        <v>23</v>
      </c>
      <c r="J72" t="s">
        <v>45</v>
      </c>
      <c r="K72" t="s">
        <v>18</v>
      </c>
      <c r="L72">
        <v>4</v>
      </c>
      <c r="M72" t="s">
        <v>25</v>
      </c>
      <c r="N72">
        <v>5</v>
      </c>
    </row>
    <row r="73" spans="1:14" x14ac:dyDescent="0.35">
      <c r="A73" s="5">
        <v>45651.670138888891</v>
      </c>
      <c r="B73" s="1" t="str">
        <f>TEXT(Coffee_Sales_Dataset[[#This Row],[Date]],"ddd")</f>
        <v>Wed</v>
      </c>
      <c r="C73">
        <f>HOUR(Coffee_Sales_Dataset[[#This Row],[Date]])</f>
        <v>16</v>
      </c>
      <c r="D73" t="s">
        <v>43</v>
      </c>
      <c r="E73" t="s">
        <v>46</v>
      </c>
      <c r="F73" t="s">
        <v>22</v>
      </c>
      <c r="G73">
        <v>3.32</v>
      </c>
      <c r="H73" t="s">
        <v>15</v>
      </c>
      <c r="I73" t="s">
        <v>16</v>
      </c>
      <c r="J73" t="s">
        <v>17</v>
      </c>
      <c r="K73" t="s">
        <v>40</v>
      </c>
      <c r="L73">
        <v>6</v>
      </c>
      <c r="M73" t="s">
        <v>33</v>
      </c>
      <c r="N73">
        <v>2</v>
      </c>
    </row>
    <row r="74" spans="1:14" x14ac:dyDescent="0.35">
      <c r="A74" s="5">
        <v>45649.525000000001</v>
      </c>
      <c r="B74" s="1" t="str">
        <f>TEXT(Coffee_Sales_Dataset[[#This Row],[Date]],"ddd")</f>
        <v>Mon</v>
      </c>
      <c r="C74">
        <f>HOUR(Coffee_Sales_Dataset[[#This Row],[Date]])</f>
        <v>12</v>
      </c>
      <c r="D74" t="s">
        <v>26</v>
      </c>
      <c r="E74" t="s">
        <v>38</v>
      </c>
      <c r="F74" t="s">
        <v>14</v>
      </c>
      <c r="G74">
        <v>6.67</v>
      </c>
      <c r="H74" t="s">
        <v>28</v>
      </c>
      <c r="I74" t="s">
        <v>23</v>
      </c>
      <c r="J74" t="s">
        <v>31</v>
      </c>
      <c r="K74" t="s">
        <v>32</v>
      </c>
      <c r="L74">
        <v>8</v>
      </c>
      <c r="M74" t="s">
        <v>39</v>
      </c>
      <c r="N74">
        <v>4</v>
      </c>
    </row>
    <row r="75" spans="1:14" x14ac:dyDescent="0.35">
      <c r="A75" s="5">
        <v>45651.744444444441</v>
      </c>
      <c r="B75" s="1" t="str">
        <f>TEXT(Coffee_Sales_Dataset[[#This Row],[Date]],"ddd")</f>
        <v>Wed</v>
      </c>
      <c r="C75">
        <f>HOUR(Coffee_Sales_Dataset[[#This Row],[Date]])</f>
        <v>17</v>
      </c>
      <c r="D75" t="s">
        <v>43</v>
      </c>
      <c r="E75" t="s">
        <v>34</v>
      </c>
      <c r="F75" t="s">
        <v>22</v>
      </c>
      <c r="G75">
        <v>5.34</v>
      </c>
      <c r="H75" t="s">
        <v>28</v>
      </c>
      <c r="I75" t="s">
        <v>23</v>
      </c>
      <c r="J75" t="s">
        <v>29</v>
      </c>
      <c r="K75" t="s">
        <v>18</v>
      </c>
      <c r="L75">
        <v>9</v>
      </c>
      <c r="M75" t="s">
        <v>36</v>
      </c>
      <c r="N75">
        <v>2</v>
      </c>
    </row>
    <row r="76" spans="1:14" x14ac:dyDescent="0.35">
      <c r="A76" s="5">
        <v>45654.336805555555</v>
      </c>
      <c r="B76" s="1" t="str">
        <f>TEXT(Coffee_Sales_Dataset[[#This Row],[Date]],"ddd")</f>
        <v>Sat</v>
      </c>
      <c r="C76">
        <f>HOUR(Coffee_Sales_Dataset[[#This Row],[Date]])</f>
        <v>8</v>
      </c>
      <c r="D76" t="s">
        <v>12</v>
      </c>
      <c r="E76" t="s">
        <v>44</v>
      </c>
      <c r="F76" t="s">
        <v>22</v>
      </c>
      <c r="G76">
        <v>4.26</v>
      </c>
      <c r="H76" t="s">
        <v>28</v>
      </c>
      <c r="I76" t="s">
        <v>16</v>
      </c>
      <c r="J76" t="s">
        <v>45</v>
      </c>
      <c r="K76" t="s">
        <v>32</v>
      </c>
      <c r="L76">
        <v>6</v>
      </c>
      <c r="M76" t="s">
        <v>47</v>
      </c>
      <c r="N76">
        <v>2</v>
      </c>
    </row>
    <row r="77" spans="1:14" x14ac:dyDescent="0.35">
      <c r="A77" s="5">
        <v>45644.407638888886</v>
      </c>
      <c r="B77" s="1" t="str">
        <f>TEXT(Coffee_Sales_Dataset[[#This Row],[Date]],"ddd")</f>
        <v>Wed</v>
      </c>
      <c r="C77">
        <f>HOUR(Coffee_Sales_Dataset[[#This Row],[Date]])</f>
        <v>9</v>
      </c>
      <c r="D77" t="s">
        <v>41</v>
      </c>
      <c r="E77" t="s">
        <v>34</v>
      </c>
      <c r="F77" t="s">
        <v>35</v>
      </c>
      <c r="G77">
        <v>3.43</v>
      </c>
      <c r="H77" t="s">
        <v>28</v>
      </c>
      <c r="I77" t="s">
        <v>23</v>
      </c>
      <c r="J77" t="s">
        <v>29</v>
      </c>
      <c r="K77" t="s">
        <v>32</v>
      </c>
      <c r="L77">
        <v>3</v>
      </c>
      <c r="M77" t="s">
        <v>39</v>
      </c>
      <c r="N77">
        <v>2</v>
      </c>
    </row>
    <row r="78" spans="1:14" x14ac:dyDescent="0.35">
      <c r="A78" s="5">
        <v>45651.655555555553</v>
      </c>
      <c r="B78" s="1" t="str">
        <f>TEXT(Coffee_Sales_Dataset[[#This Row],[Date]],"ddd")</f>
        <v>Wed</v>
      </c>
      <c r="C78">
        <f>HOUR(Coffee_Sales_Dataset[[#This Row],[Date]])</f>
        <v>15</v>
      </c>
      <c r="D78" t="s">
        <v>12</v>
      </c>
      <c r="E78" t="s">
        <v>21</v>
      </c>
      <c r="F78" t="s">
        <v>35</v>
      </c>
      <c r="G78">
        <v>6.86</v>
      </c>
      <c r="H78" t="s">
        <v>28</v>
      </c>
      <c r="I78" t="s">
        <v>16</v>
      </c>
      <c r="J78" t="s">
        <v>24</v>
      </c>
      <c r="K78" t="s">
        <v>18</v>
      </c>
      <c r="L78">
        <v>7</v>
      </c>
      <c r="M78" t="s">
        <v>19</v>
      </c>
      <c r="N78">
        <v>4</v>
      </c>
    </row>
    <row r="79" spans="1:14" x14ac:dyDescent="0.35">
      <c r="A79" s="5">
        <v>45653.380555555559</v>
      </c>
      <c r="B79" s="1" t="str">
        <f>TEXT(Coffee_Sales_Dataset[[#This Row],[Date]],"ddd")</f>
        <v>Fri</v>
      </c>
      <c r="C79">
        <f>HOUR(Coffee_Sales_Dataset[[#This Row],[Date]])</f>
        <v>9</v>
      </c>
      <c r="D79" t="s">
        <v>20</v>
      </c>
      <c r="E79" t="s">
        <v>13</v>
      </c>
      <c r="F79" t="s">
        <v>14</v>
      </c>
      <c r="G79">
        <v>3.45</v>
      </c>
      <c r="H79" t="s">
        <v>30</v>
      </c>
      <c r="I79" t="s">
        <v>23</v>
      </c>
      <c r="J79" t="s">
        <v>29</v>
      </c>
      <c r="K79" t="s">
        <v>40</v>
      </c>
      <c r="L79">
        <v>9</v>
      </c>
      <c r="M79" t="s">
        <v>19</v>
      </c>
      <c r="N79">
        <v>2</v>
      </c>
    </row>
    <row r="80" spans="1:14" x14ac:dyDescent="0.35">
      <c r="A80" s="5">
        <v>45651.620138888888</v>
      </c>
      <c r="B80" s="1" t="str">
        <f>TEXT(Coffee_Sales_Dataset[[#This Row],[Date]],"ddd")</f>
        <v>Wed</v>
      </c>
      <c r="C80">
        <f>HOUR(Coffee_Sales_Dataset[[#This Row],[Date]])</f>
        <v>14</v>
      </c>
      <c r="D80" t="s">
        <v>41</v>
      </c>
      <c r="E80" t="s">
        <v>27</v>
      </c>
      <c r="F80" t="s">
        <v>14</v>
      </c>
      <c r="G80">
        <v>4.2</v>
      </c>
      <c r="H80" t="s">
        <v>15</v>
      </c>
      <c r="I80" t="s">
        <v>23</v>
      </c>
      <c r="J80" t="s">
        <v>42</v>
      </c>
      <c r="K80" t="s">
        <v>32</v>
      </c>
      <c r="L80">
        <v>2</v>
      </c>
      <c r="M80" t="s">
        <v>39</v>
      </c>
      <c r="N80">
        <v>2</v>
      </c>
    </row>
    <row r="81" spans="1:14" x14ac:dyDescent="0.35">
      <c r="A81" s="5">
        <v>45655.646527777775</v>
      </c>
      <c r="B81" s="1" t="str">
        <f>TEXT(Coffee_Sales_Dataset[[#This Row],[Date]],"ddd")</f>
        <v>Sun</v>
      </c>
      <c r="C81">
        <f>HOUR(Coffee_Sales_Dataset[[#This Row],[Date]])</f>
        <v>15</v>
      </c>
      <c r="D81" t="s">
        <v>12</v>
      </c>
      <c r="E81" t="s">
        <v>13</v>
      </c>
      <c r="F81" t="s">
        <v>22</v>
      </c>
      <c r="G81">
        <v>5.34</v>
      </c>
      <c r="H81" t="s">
        <v>30</v>
      </c>
      <c r="I81" t="s">
        <v>16</v>
      </c>
      <c r="J81" t="s">
        <v>31</v>
      </c>
      <c r="K81" t="s">
        <v>32</v>
      </c>
      <c r="L81">
        <v>2</v>
      </c>
      <c r="M81" t="s">
        <v>47</v>
      </c>
      <c r="N81">
        <v>1</v>
      </c>
    </row>
    <row r="82" spans="1:14" x14ac:dyDescent="0.35">
      <c r="A82" s="5">
        <v>45642.601388888892</v>
      </c>
      <c r="B82" s="1" t="str">
        <f>TEXT(Coffee_Sales_Dataset[[#This Row],[Date]],"ddd")</f>
        <v>Mon</v>
      </c>
      <c r="C82">
        <f>HOUR(Coffee_Sales_Dataset[[#This Row],[Date]])</f>
        <v>14</v>
      </c>
      <c r="D82" t="s">
        <v>12</v>
      </c>
      <c r="E82" t="s">
        <v>44</v>
      </c>
      <c r="F82" t="s">
        <v>35</v>
      </c>
      <c r="G82">
        <v>5.38</v>
      </c>
      <c r="H82" t="s">
        <v>28</v>
      </c>
      <c r="I82" t="s">
        <v>16</v>
      </c>
      <c r="J82" t="s">
        <v>29</v>
      </c>
      <c r="K82" t="s">
        <v>32</v>
      </c>
      <c r="L82">
        <v>8</v>
      </c>
      <c r="M82" t="s">
        <v>25</v>
      </c>
      <c r="N82">
        <v>5</v>
      </c>
    </row>
    <row r="83" spans="1:14" x14ac:dyDescent="0.35">
      <c r="A83" s="5">
        <v>45650.749305555553</v>
      </c>
      <c r="B83" s="1" t="str">
        <f>TEXT(Coffee_Sales_Dataset[[#This Row],[Date]],"ddd")</f>
        <v>Tue</v>
      </c>
      <c r="C83">
        <f>HOUR(Coffee_Sales_Dataset[[#This Row],[Date]])</f>
        <v>17</v>
      </c>
      <c r="D83" t="s">
        <v>12</v>
      </c>
      <c r="E83" t="s">
        <v>27</v>
      </c>
      <c r="F83" t="s">
        <v>35</v>
      </c>
      <c r="G83">
        <v>3.24</v>
      </c>
      <c r="H83" t="s">
        <v>30</v>
      </c>
      <c r="I83" t="s">
        <v>16</v>
      </c>
      <c r="J83" t="s">
        <v>31</v>
      </c>
      <c r="K83" t="s">
        <v>32</v>
      </c>
      <c r="L83">
        <v>10</v>
      </c>
      <c r="M83" t="s">
        <v>39</v>
      </c>
      <c r="N83">
        <v>3</v>
      </c>
    </row>
    <row r="84" spans="1:14" x14ac:dyDescent="0.35">
      <c r="A84" s="5">
        <v>45655.62222222222</v>
      </c>
      <c r="B84" s="1" t="str">
        <f>TEXT(Coffee_Sales_Dataset[[#This Row],[Date]],"ddd")</f>
        <v>Sun</v>
      </c>
      <c r="C84">
        <f>HOUR(Coffee_Sales_Dataset[[#This Row],[Date]])</f>
        <v>14</v>
      </c>
      <c r="D84" t="s">
        <v>12</v>
      </c>
      <c r="E84" t="s">
        <v>13</v>
      </c>
      <c r="F84" t="s">
        <v>22</v>
      </c>
      <c r="G84">
        <v>5.49</v>
      </c>
      <c r="H84" t="s">
        <v>28</v>
      </c>
      <c r="I84" t="s">
        <v>16</v>
      </c>
      <c r="J84" t="s">
        <v>42</v>
      </c>
      <c r="K84" t="s">
        <v>18</v>
      </c>
      <c r="L84">
        <v>8</v>
      </c>
      <c r="M84" t="s">
        <v>39</v>
      </c>
      <c r="N84">
        <v>2</v>
      </c>
    </row>
    <row r="85" spans="1:14" x14ac:dyDescent="0.35">
      <c r="A85" s="5">
        <v>45645.479166666664</v>
      </c>
      <c r="B85" s="1" t="str">
        <f>TEXT(Coffee_Sales_Dataset[[#This Row],[Date]],"ddd")</f>
        <v>Thu</v>
      </c>
      <c r="C85">
        <f>HOUR(Coffee_Sales_Dataset[[#This Row],[Date]])</f>
        <v>11</v>
      </c>
      <c r="D85" t="s">
        <v>43</v>
      </c>
      <c r="E85" t="s">
        <v>46</v>
      </c>
      <c r="F85" t="s">
        <v>14</v>
      </c>
      <c r="G85">
        <v>5.03</v>
      </c>
      <c r="H85" t="s">
        <v>28</v>
      </c>
      <c r="I85" t="s">
        <v>16</v>
      </c>
      <c r="J85" t="s">
        <v>31</v>
      </c>
      <c r="K85" t="s">
        <v>18</v>
      </c>
      <c r="L85">
        <v>9</v>
      </c>
      <c r="M85" t="s">
        <v>36</v>
      </c>
      <c r="N85">
        <v>3</v>
      </c>
    </row>
    <row r="86" spans="1:14" x14ac:dyDescent="0.35">
      <c r="A86" s="5">
        <v>45652.601388888892</v>
      </c>
      <c r="B86" s="1" t="str">
        <f>TEXT(Coffee_Sales_Dataset[[#This Row],[Date]],"ddd")</f>
        <v>Thu</v>
      </c>
      <c r="C86">
        <f>HOUR(Coffee_Sales_Dataset[[#This Row],[Date]])</f>
        <v>14</v>
      </c>
      <c r="D86" t="s">
        <v>43</v>
      </c>
      <c r="E86" t="s">
        <v>21</v>
      </c>
      <c r="F86" t="s">
        <v>22</v>
      </c>
      <c r="G86">
        <v>6.2</v>
      </c>
      <c r="H86" t="s">
        <v>30</v>
      </c>
      <c r="I86" t="s">
        <v>23</v>
      </c>
      <c r="J86" t="s">
        <v>24</v>
      </c>
      <c r="K86" t="s">
        <v>18</v>
      </c>
      <c r="L86">
        <v>3</v>
      </c>
      <c r="M86" t="s">
        <v>19</v>
      </c>
      <c r="N86">
        <v>4</v>
      </c>
    </row>
    <row r="87" spans="1:14" x14ac:dyDescent="0.35">
      <c r="A87" s="5">
        <v>45643.465277777781</v>
      </c>
      <c r="B87" s="1" t="str">
        <f>TEXT(Coffee_Sales_Dataset[[#This Row],[Date]],"ddd")</f>
        <v>Tue</v>
      </c>
      <c r="C87">
        <f>HOUR(Coffee_Sales_Dataset[[#This Row],[Date]])</f>
        <v>11</v>
      </c>
      <c r="D87" t="s">
        <v>41</v>
      </c>
      <c r="E87" t="s">
        <v>46</v>
      </c>
      <c r="F87" t="s">
        <v>14</v>
      </c>
      <c r="G87">
        <v>6.17</v>
      </c>
      <c r="H87" t="s">
        <v>15</v>
      </c>
      <c r="I87" t="s">
        <v>16</v>
      </c>
      <c r="J87" t="s">
        <v>17</v>
      </c>
      <c r="K87" t="s">
        <v>40</v>
      </c>
      <c r="L87">
        <v>10</v>
      </c>
      <c r="M87" t="s">
        <v>39</v>
      </c>
      <c r="N87">
        <v>1</v>
      </c>
    </row>
    <row r="88" spans="1:14" x14ac:dyDescent="0.35">
      <c r="A88" s="5">
        <v>45646.515277777777</v>
      </c>
      <c r="B88" s="1" t="str">
        <f>TEXT(Coffee_Sales_Dataset[[#This Row],[Date]],"ddd")</f>
        <v>Fri</v>
      </c>
      <c r="C88">
        <f>HOUR(Coffee_Sales_Dataset[[#This Row],[Date]])</f>
        <v>12</v>
      </c>
      <c r="D88" t="s">
        <v>20</v>
      </c>
      <c r="E88" t="s">
        <v>27</v>
      </c>
      <c r="F88" t="s">
        <v>35</v>
      </c>
      <c r="G88">
        <v>3.13</v>
      </c>
      <c r="H88" t="s">
        <v>30</v>
      </c>
      <c r="I88" t="s">
        <v>16</v>
      </c>
      <c r="J88" t="s">
        <v>42</v>
      </c>
      <c r="K88" t="s">
        <v>40</v>
      </c>
      <c r="L88">
        <v>5</v>
      </c>
      <c r="M88" t="s">
        <v>39</v>
      </c>
      <c r="N88">
        <v>5</v>
      </c>
    </row>
    <row r="89" spans="1:14" x14ac:dyDescent="0.35">
      <c r="A89" s="5">
        <v>45644.51458333333</v>
      </c>
      <c r="B89" s="1" t="str">
        <f>TEXT(Coffee_Sales_Dataset[[#This Row],[Date]],"ddd")</f>
        <v>Wed</v>
      </c>
      <c r="C89">
        <f>HOUR(Coffee_Sales_Dataset[[#This Row],[Date]])</f>
        <v>12</v>
      </c>
      <c r="D89" t="s">
        <v>43</v>
      </c>
      <c r="E89" t="s">
        <v>21</v>
      </c>
      <c r="F89" t="s">
        <v>14</v>
      </c>
      <c r="G89">
        <v>6.08</v>
      </c>
      <c r="H89" t="s">
        <v>28</v>
      </c>
      <c r="I89" t="s">
        <v>16</v>
      </c>
      <c r="J89" t="s">
        <v>17</v>
      </c>
      <c r="K89" t="s">
        <v>18</v>
      </c>
      <c r="L89">
        <v>10</v>
      </c>
      <c r="M89" t="s">
        <v>37</v>
      </c>
      <c r="N89">
        <v>1</v>
      </c>
    </row>
    <row r="90" spans="1:14" x14ac:dyDescent="0.35">
      <c r="A90" s="5">
        <v>45652.660416666666</v>
      </c>
      <c r="B90" s="1" t="str">
        <f>TEXT(Coffee_Sales_Dataset[[#This Row],[Date]],"ddd")</f>
        <v>Thu</v>
      </c>
      <c r="C90">
        <f>HOUR(Coffee_Sales_Dataset[[#This Row],[Date]])</f>
        <v>15</v>
      </c>
      <c r="D90" t="s">
        <v>12</v>
      </c>
      <c r="E90" t="s">
        <v>21</v>
      </c>
      <c r="F90" t="s">
        <v>14</v>
      </c>
      <c r="G90">
        <v>6.9</v>
      </c>
      <c r="H90" t="s">
        <v>28</v>
      </c>
      <c r="I90" t="s">
        <v>23</v>
      </c>
      <c r="J90" t="s">
        <v>31</v>
      </c>
      <c r="K90" t="s">
        <v>40</v>
      </c>
      <c r="L90">
        <v>10</v>
      </c>
      <c r="M90" t="s">
        <v>39</v>
      </c>
      <c r="N90">
        <v>2</v>
      </c>
    </row>
    <row r="91" spans="1:14" x14ac:dyDescent="0.35">
      <c r="A91" s="5">
        <v>45651.498611111114</v>
      </c>
      <c r="B91" s="1" t="str">
        <f>TEXT(Coffee_Sales_Dataset[[#This Row],[Date]],"ddd")</f>
        <v>Wed</v>
      </c>
      <c r="C91">
        <f>HOUR(Coffee_Sales_Dataset[[#This Row],[Date]])</f>
        <v>11</v>
      </c>
      <c r="D91" t="s">
        <v>43</v>
      </c>
      <c r="E91" t="s">
        <v>27</v>
      </c>
      <c r="F91" t="s">
        <v>35</v>
      </c>
      <c r="G91">
        <v>4.17</v>
      </c>
      <c r="H91" t="s">
        <v>15</v>
      </c>
      <c r="I91" t="s">
        <v>16</v>
      </c>
      <c r="J91" t="s">
        <v>45</v>
      </c>
      <c r="K91" t="s">
        <v>40</v>
      </c>
      <c r="L91">
        <v>4</v>
      </c>
      <c r="M91" t="s">
        <v>19</v>
      </c>
      <c r="N91">
        <v>3</v>
      </c>
    </row>
    <row r="92" spans="1:14" x14ac:dyDescent="0.35">
      <c r="A92" s="5">
        <v>45646.421527777777</v>
      </c>
      <c r="B92" s="1" t="str">
        <f>TEXT(Coffee_Sales_Dataset[[#This Row],[Date]],"ddd")</f>
        <v>Fri</v>
      </c>
      <c r="C92">
        <f>HOUR(Coffee_Sales_Dataset[[#This Row],[Date]])</f>
        <v>10</v>
      </c>
      <c r="D92" t="s">
        <v>20</v>
      </c>
      <c r="E92" t="s">
        <v>46</v>
      </c>
      <c r="F92" t="s">
        <v>22</v>
      </c>
      <c r="G92">
        <v>6.08</v>
      </c>
      <c r="H92" t="s">
        <v>30</v>
      </c>
      <c r="I92" t="s">
        <v>23</v>
      </c>
      <c r="J92" t="s">
        <v>42</v>
      </c>
      <c r="K92" t="s">
        <v>32</v>
      </c>
      <c r="L92">
        <v>6</v>
      </c>
      <c r="M92" t="s">
        <v>37</v>
      </c>
      <c r="N92">
        <v>2</v>
      </c>
    </row>
    <row r="93" spans="1:14" x14ac:dyDescent="0.35">
      <c r="A93" s="5">
        <v>45642.572916666664</v>
      </c>
      <c r="B93" s="1" t="str">
        <f>TEXT(Coffee_Sales_Dataset[[#This Row],[Date]],"ddd")</f>
        <v>Mon</v>
      </c>
      <c r="C93">
        <f>HOUR(Coffee_Sales_Dataset[[#This Row],[Date]])</f>
        <v>13</v>
      </c>
      <c r="D93" t="s">
        <v>12</v>
      </c>
      <c r="E93" t="s">
        <v>34</v>
      </c>
      <c r="F93" t="s">
        <v>35</v>
      </c>
      <c r="G93">
        <v>5.66</v>
      </c>
      <c r="H93" t="s">
        <v>30</v>
      </c>
      <c r="I93" t="s">
        <v>16</v>
      </c>
      <c r="J93" t="s">
        <v>17</v>
      </c>
      <c r="K93" t="s">
        <v>40</v>
      </c>
      <c r="L93">
        <v>8</v>
      </c>
      <c r="M93" t="s">
        <v>25</v>
      </c>
      <c r="N93">
        <v>4</v>
      </c>
    </row>
    <row r="94" spans="1:14" x14ac:dyDescent="0.35">
      <c r="A94" s="5">
        <v>45655.701388888891</v>
      </c>
      <c r="B94" s="1" t="str">
        <f>TEXT(Coffee_Sales_Dataset[[#This Row],[Date]],"ddd")</f>
        <v>Sun</v>
      </c>
      <c r="C94">
        <f>HOUR(Coffee_Sales_Dataset[[#This Row],[Date]])</f>
        <v>16</v>
      </c>
      <c r="D94" t="s">
        <v>43</v>
      </c>
      <c r="E94" t="s">
        <v>13</v>
      </c>
      <c r="F94" t="s">
        <v>22</v>
      </c>
      <c r="G94">
        <v>3.58</v>
      </c>
      <c r="H94" t="s">
        <v>30</v>
      </c>
      <c r="I94" t="s">
        <v>23</v>
      </c>
      <c r="J94" t="s">
        <v>29</v>
      </c>
      <c r="K94" t="s">
        <v>32</v>
      </c>
      <c r="L94">
        <v>7</v>
      </c>
      <c r="M94" t="s">
        <v>25</v>
      </c>
      <c r="N94">
        <v>2</v>
      </c>
    </row>
    <row r="95" spans="1:14" x14ac:dyDescent="0.35">
      <c r="A95" s="5">
        <v>45647.616666666669</v>
      </c>
      <c r="B95" s="1" t="str">
        <f>TEXT(Coffee_Sales_Dataset[[#This Row],[Date]],"ddd")</f>
        <v>Sat</v>
      </c>
      <c r="C95">
        <f>HOUR(Coffee_Sales_Dataset[[#This Row],[Date]])</f>
        <v>14</v>
      </c>
      <c r="D95" t="s">
        <v>26</v>
      </c>
      <c r="E95" t="s">
        <v>44</v>
      </c>
      <c r="F95" t="s">
        <v>35</v>
      </c>
      <c r="G95">
        <v>3.6</v>
      </c>
      <c r="H95" t="s">
        <v>28</v>
      </c>
      <c r="I95" t="s">
        <v>23</v>
      </c>
      <c r="J95" t="s">
        <v>45</v>
      </c>
      <c r="K95" t="s">
        <v>18</v>
      </c>
      <c r="L95">
        <v>10</v>
      </c>
      <c r="M95" t="s">
        <v>47</v>
      </c>
      <c r="N95">
        <v>4</v>
      </c>
    </row>
    <row r="96" spans="1:14" x14ac:dyDescent="0.35">
      <c r="A96" s="5">
        <v>45647.704861111109</v>
      </c>
      <c r="B96" s="1" t="str">
        <f>TEXT(Coffee_Sales_Dataset[[#This Row],[Date]],"ddd")</f>
        <v>Sat</v>
      </c>
      <c r="C96">
        <f>HOUR(Coffee_Sales_Dataset[[#This Row],[Date]])</f>
        <v>16</v>
      </c>
      <c r="D96" t="s">
        <v>43</v>
      </c>
      <c r="E96" t="s">
        <v>44</v>
      </c>
      <c r="F96" t="s">
        <v>35</v>
      </c>
      <c r="G96">
        <v>4.25</v>
      </c>
      <c r="H96" t="s">
        <v>15</v>
      </c>
      <c r="I96" t="s">
        <v>23</v>
      </c>
      <c r="J96" t="s">
        <v>24</v>
      </c>
      <c r="K96" t="s">
        <v>18</v>
      </c>
      <c r="L96">
        <v>4</v>
      </c>
      <c r="M96" t="s">
        <v>19</v>
      </c>
      <c r="N96">
        <v>4</v>
      </c>
    </row>
    <row r="97" spans="1:14" x14ac:dyDescent="0.35">
      <c r="A97" s="5">
        <v>45648.49722222222</v>
      </c>
      <c r="B97" s="1" t="str">
        <f>TEXT(Coffee_Sales_Dataset[[#This Row],[Date]],"ddd")</f>
        <v>Sun</v>
      </c>
      <c r="C97">
        <f>HOUR(Coffee_Sales_Dataset[[#This Row],[Date]])</f>
        <v>11</v>
      </c>
      <c r="D97" t="s">
        <v>41</v>
      </c>
      <c r="E97" t="s">
        <v>38</v>
      </c>
      <c r="F97" t="s">
        <v>35</v>
      </c>
      <c r="G97">
        <v>5.61</v>
      </c>
      <c r="H97" t="s">
        <v>28</v>
      </c>
      <c r="I97" t="s">
        <v>16</v>
      </c>
      <c r="J97" t="s">
        <v>45</v>
      </c>
      <c r="K97" t="s">
        <v>32</v>
      </c>
      <c r="L97">
        <v>5</v>
      </c>
      <c r="M97" t="s">
        <v>47</v>
      </c>
      <c r="N97">
        <v>1</v>
      </c>
    </row>
    <row r="98" spans="1:14" x14ac:dyDescent="0.35">
      <c r="A98" s="5">
        <v>45641.558333333334</v>
      </c>
      <c r="B98" s="1" t="str">
        <f>TEXT(Coffee_Sales_Dataset[[#This Row],[Date]],"ddd")</f>
        <v>Sun</v>
      </c>
      <c r="C98">
        <f>HOUR(Coffee_Sales_Dataset[[#This Row],[Date]])</f>
        <v>13</v>
      </c>
      <c r="D98" t="s">
        <v>20</v>
      </c>
      <c r="E98" t="s">
        <v>38</v>
      </c>
      <c r="F98" t="s">
        <v>35</v>
      </c>
      <c r="G98">
        <v>4.1399999999999997</v>
      </c>
      <c r="H98" t="s">
        <v>30</v>
      </c>
      <c r="I98" t="s">
        <v>16</v>
      </c>
      <c r="J98" t="s">
        <v>31</v>
      </c>
      <c r="K98" t="s">
        <v>32</v>
      </c>
      <c r="L98">
        <v>4</v>
      </c>
      <c r="M98" t="s">
        <v>39</v>
      </c>
      <c r="N98">
        <v>1</v>
      </c>
    </row>
    <row r="99" spans="1:14" x14ac:dyDescent="0.35">
      <c r="A99" s="5">
        <v>45655.692361111112</v>
      </c>
      <c r="B99" s="1" t="str">
        <f>TEXT(Coffee_Sales_Dataset[[#This Row],[Date]],"ddd")</f>
        <v>Sun</v>
      </c>
      <c r="C99">
        <f>HOUR(Coffee_Sales_Dataset[[#This Row],[Date]])</f>
        <v>16</v>
      </c>
      <c r="D99" t="s">
        <v>43</v>
      </c>
      <c r="E99" t="s">
        <v>27</v>
      </c>
      <c r="F99" t="s">
        <v>22</v>
      </c>
      <c r="G99">
        <v>5.91</v>
      </c>
      <c r="H99" t="s">
        <v>28</v>
      </c>
      <c r="I99" t="s">
        <v>23</v>
      </c>
      <c r="J99" t="s">
        <v>45</v>
      </c>
      <c r="K99" t="s">
        <v>40</v>
      </c>
      <c r="L99">
        <v>7</v>
      </c>
      <c r="M99" t="s">
        <v>47</v>
      </c>
      <c r="N99">
        <v>5</v>
      </c>
    </row>
    <row r="100" spans="1:14" x14ac:dyDescent="0.35">
      <c r="A100" s="5">
        <v>45646.366666666669</v>
      </c>
      <c r="B100" s="1" t="str">
        <f>TEXT(Coffee_Sales_Dataset[[#This Row],[Date]],"ddd")</f>
        <v>Fri</v>
      </c>
      <c r="C100">
        <f>HOUR(Coffee_Sales_Dataset[[#This Row],[Date]])</f>
        <v>8</v>
      </c>
      <c r="D100" t="s">
        <v>26</v>
      </c>
      <c r="E100" t="s">
        <v>46</v>
      </c>
      <c r="F100" t="s">
        <v>22</v>
      </c>
      <c r="G100">
        <v>5.29</v>
      </c>
      <c r="H100" t="s">
        <v>30</v>
      </c>
      <c r="I100" t="s">
        <v>16</v>
      </c>
      <c r="J100" t="s">
        <v>24</v>
      </c>
      <c r="K100" t="s">
        <v>40</v>
      </c>
      <c r="L100">
        <v>10</v>
      </c>
      <c r="M100" t="s">
        <v>33</v>
      </c>
      <c r="N100">
        <v>5</v>
      </c>
    </row>
    <row r="101" spans="1:14" x14ac:dyDescent="0.35">
      <c r="A101" s="5">
        <v>45644.512499999997</v>
      </c>
      <c r="B101" s="1" t="str">
        <f>TEXT(Coffee_Sales_Dataset[[#This Row],[Date]],"ddd")</f>
        <v>Wed</v>
      </c>
      <c r="C101">
        <f>HOUR(Coffee_Sales_Dataset[[#This Row],[Date]])</f>
        <v>12</v>
      </c>
      <c r="D101" t="s">
        <v>41</v>
      </c>
      <c r="E101" t="s">
        <v>44</v>
      </c>
      <c r="F101" t="s">
        <v>14</v>
      </c>
      <c r="G101">
        <v>5.86</v>
      </c>
      <c r="H101" t="s">
        <v>28</v>
      </c>
      <c r="I101" t="s">
        <v>23</v>
      </c>
      <c r="J101" t="s">
        <v>29</v>
      </c>
      <c r="K101" t="s">
        <v>32</v>
      </c>
      <c r="L101">
        <v>10</v>
      </c>
      <c r="M101" t="s">
        <v>37</v>
      </c>
      <c r="N101">
        <v>2</v>
      </c>
    </row>
    <row r="102" spans="1:14" x14ac:dyDescent="0.35">
      <c r="A102" s="5">
        <v>45654.561805555553</v>
      </c>
      <c r="B102" s="1" t="str">
        <f>TEXT(Coffee_Sales_Dataset[[#This Row],[Date]],"ddd")</f>
        <v>Sat</v>
      </c>
      <c r="C102">
        <f>HOUR(Coffee_Sales_Dataset[[#This Row],[Date]])</f>
        <v>13</v>
      </c>
      <c r="D102" t="s">
        <v>26</v>
      </c>
      <c r="E102" t="s">
        <v>27</v>
      </c>
      <c r="F102" t="s">
        <v>35</v>
      </c>
      <c r="G102">
        <v>4.7</v>
      </c>
      <c r="H102" t="s">
        <v>15</v>
      </c>
      <c r="I102" t="s">
        <v>23</v>
      </c>
      <c r="J102" t="s">
        <v>29</v>
      </c>
      <c r="K102" t="s">
        <v>40</v>
      </c>
      <c r="L102">
        <v>8</v>
      </c>
      <c r="M102" t="s">
        <v>36</v>
      </c>
      <c r="N102">
        <v>4</v>
      </c>
    </row>
    <row r="103" spans="1:14" x14ac:dyDescent="0.35">
      <c r="A103" s="5">
        <v>45644.390972222223</v>
      </c>
      <c r="B103" s="1" t="str">
        <f>TEXT(Coffee_Sales_Dataset[[#This Row],[Date]],"ddd")</f>
        <v>Wed</v>
      </c>
      <c r="C103">
        <f>HOUR(Coffee_Sales_Dataset[[#This Row],[Date]])</f>
        <v>9</v>
      </c>
      <c r="D103" t="s">
        <v>41</v>
      </c>
      <c r="E103" t="s">
        <v>46</v>
      </c>
      <c r="F103" t="s">
        <v>35</v>
      </c>
      <c r="G103">
        <v>5.24</v>
      </c>
      <c r="H103" t="s">
        <v>15</v>
      </c>
      <c r="I103" t="s">
        <v>16</v>
      </c>
      <c r="J103" t="s">
        <v>31</v>
      </c>
      <c r="K103" t="s">
        <v>32</v>
      </c>
      <c r="L103">
        <v>8</v>
      </c>
      <c r="M103" t="s">
        <v>25</v>
      </c>
      <c r="N103">
        <v>4</v>
      </c>
    </row>
    <row r="104" spans="1:14" x14ac:dyDescent="0.35">
      <c r="A104" s="5">
        <v>45652.619444444441</v>
      </c>
      <c r="B104" s="1" t="str">
        <f>TEXT(Coffee_Sales_Dataset[[#This Row],[Date]],"ddd")</f>
        <v>Thu</v>
      </c>
      <c r="C104">
        <f>HOUR(Coffee_Sales_Dataset[[#This Row],[Date]])</f>
        <v>14</v>
      </c>
      <c r="D104" t="s">
        <v>20</v>
      </c>
      <c r="E104" t="s">
        <v>27</v>
      </c>
      <c r="F104" t="s">
        <v>35</v>
      </c>
      <c r="G104">
        <v>3.51</v>
      </c>
      <c r="H104" t="s">
        <v>28</v>
      </c>
      <c r="I104" t="s">
        <v>16</v>
      </c>
      <c r="J104" t="s">
        <v>17</v>
      </c>
      <c r="K104" t="s">
        <v>18</v>
      </c>
      <c r="L104">
        <v>10</v>
      </c>
      <c r="M104" t="s">
        <v>33</v>
      </c>
      <c r="N104">
        <v>5</v>
      </c>
    </row>
    <row r="105" spans="1:14" x14ac:dyDescent="0.35">
      <c r="A105" s="5">
        <v>45642.478472222225</v>
      </c>
      <c r="B105" s="1" t="str">
        <f>TEXT(Coffee_Sales_Dataset[[#This Row],[Date]],"ddd")</f>
        <v>Mon</v>
      </c>
      <c r="C105">
        <f>HOUR(Coffee_Sales_Dataset[[#This Row],[Date]])</f>
        <v>11</v>
      </c>
      <c r="D105" t="s">
        <v>12</v>
      </c>
      <c r="E105" t="s">
        <v>13</v>
      </c>
      <c r="F105" t="s">
        <v>35</v>
      </c>
      <c r="G105">
        <v>3.63</v>
      </c>
      <c r="H105" t="s">
        <v>28</v>
      </c>
      <c r="I105" t="s">
        <v>16</v>
      </c>
      <c r="J105" t="s">
        <v>29</v>
      </c>
      <c r="K105" t="s">
        <v>18</v>
      </c>
      <c r="L105">
        <v>8</v>
      </c>
      <c r="M105" t="s">
        <v>39</v>
      </c>
      <c r="N105">
        <v>1</v>
      </c>
    </row>
    <row r="106" spans="1:14" x14ac:dyDescent="0.35">
      <c r="A106" s="5">
        <v>45646.501388888886</v>
      </c>
      <c r="B106" s="1" t="str">
        <f>TEXT(Coffee_Sales_Dataset[[#This Row],[Date]],"ddd")</f>
        <v>Fri</v>
      </c>
      <c r="C106">
        <f>HOUR(Coffee_Sales_Dataset[[#This Row],[Date]])</f>
        <v>12</v>
      </c>
      <c r="D106" t="s">
        <v>41</v>
      </c>
      <c r="E106" t="s">
        <v>27</v>
      </c>
      <c r="F106" t="s">
        <v>14</v>
      </c>
      <c r="G106">
        <v>4.49</v>
      </c>
      <c r="H106" t="s">
        <v>15</v>
      </c>
      <c r="I106" t="s">
        <v>16</v>
      </c>
      <c r="J106" t="s">
        <v>24</v>
      </c>
      <c r="K106" t="s">
        <v>32</v>
      </c>
      <c r="L106">
        <v>2</v>
      </c>
      <c r="M106" t="s">
        <v>33</v>
      </c>
      <c r="N106">
        <v>2</v>
      </c>
    </row>
    <row r="107" spans="1:14" x14ac:dyDescent="0.35">
      <c r="A107" s="5">
        <v>45643.726388888892</v>
      </c>
      <c r="B107" s="1" t="str">
        <f>TEXT(Coffee_Sales_Dataset[[#This Row],[Date]],"ddd")</f>
        <v>Tue</v>
      </c>
      <c r="C107">
        <f>HOUR(Coffee_Sales_Dataset[[#This Row],[Date]])</f>
        <v>17</v>
      </c>
      <c r="D107" t="s">
        <v>26</v>
      </c>
      <c r="E107" t="s">
        <v>34</v>
      </c>
      <c r="F107" t="s">
        <v>22</v>
      </c>
      <c r="G107">
        <v>3.86</v>
      </c>
      <c r="H107" t="s">
        <v>28</v>
      </c>
      <c r="I107" t="s">
        <v>16</v>
      </c>
      <c r="J107" t="s">
        <v>29</v>
      </c>
      <c r="K107" t="s">
        <v>40</v>
      </c>
      <c r="L107">
        <v>10</v>
      </c>
      <c r="M107" t="s">
        <v>47</v>
      </c>
      <c r="N107">
        <v>1</v>
      </c>
    </row>
    <row r="108" spans="1:14" x14ac:dyDescent="0.35">
      <c r="A108" s="5">
        <v>45654.604166666664</v>
      </c>
      <c r="B108" s="1" t="str">
        <f>TEXT(Coffee_Sales_Dataset[[#This Row],[Date]],"ddd")</f>
        <v>Sat</v>
      </c>
      <c r="C108">
        <f>HOUR(Coffee_Sales_Dataset[[#This Row],[Date]])</f>
        <v>14</v>
      </c>
      <c r="D108" t="s">
        <v>41</v>
      </c>
      <c r="E108" t="s">
        <v>34</v>
      </c>
      <c r="F108" t="s">
        <v>35</v>
      </c>
      <c r="G108">
        <v>4.8099999999999996</v>
      </c>
      <c r="H108" t="s">
        <v>15</v>
      </c>
      <c r="I108" t="s">
        <v>16</v>
      </c>
      <c r="J108" t="s">
        <v>42</v>
      </c>
      <c r="K108" t="s">
        <v>18</v>
      </c>
      <c r="L108">
        <v>4</v>
      </c>
      <c r="M108" t="s">
        <v>33</v>
      </c>
      <c r="N108">
        <v>2</v>
      </c>
    </row>
    <row r="109" spans="1:14" x14ac:dyDescent="0.35">
      <c r="A109" s="5">
        <v>45649.658333333333</v>
      </c>
      <c r="B109" s="1" t="str">
        <f>TEXT(Coffee_Sales_Dataset[[#This Row],[Date]],"ddd")</f>
        <v>Mon</v>
      </c>
      <c r="C109">
        <f>HOUR(Coffee_Sales_Dataset[[#This Row],[Date]])</f>
        <v>15</v>
      </c>
      <c r="D109" t="s">
        <v>12</v>
      </c>
      <c r="E109" t="s">
        <v>44</v>
      </c>
      <c r="F109" t="s">
        <v>22</v>
      </c>
      <c r="G109">
        <v>3.6</v>
      </c>
      <c r="H109" t="s">
        <v>28</v>
      </c>
      <c r="I109" t="s">
        <v>16</v>
      </c>
      <c r="J109" t="s">
        <v>29</v>
      </c>
      <c r="K109" t="s">
        <v>18</v>
      </c>
      <c r="L109">
        <v>8</v>
      </c>
      <c r="M109" t="s">
        <v>25</v>
      </c>
      <c r="N109">
        <v>2</v>
      </c>
    </row>
    <row r="110" spans="1:14" x14ac:dyDescent="0.35">
      <c r="A110" s="5">
        <v>45655.56527777778</v>
      </c>
      <c r="B110" s="1" t="str">
        <f>TEXT(Coffee_Sales_Dataset[[#This Row],[Date]],"ddd")</f>
        <v>Sun</v>
      </c>
      <c r="C110">
        <f>HOUR(Coffee_Sales_Dataset[[#This Row],[Date]])</f>
        <v>13</v>
      </c>
      <c r="D110" t="s">
        <v>26</v>
      </c>
      <c r="E110" t="s">
        <v>44</v>
      </c>
      <c r="F110" t="s">
        <v>22</v>
      </c>
      <c r="G110">
        <v>5.94</v>
      </c>
      <c r="H110" t="s">
        <v>28</v>
      </c>
      <c r="I110" t="s">
        <v>23</v>
      </c>
      <c r="J110" t="s">
        <v>17</v>
      </c>
      <c r="K110" t="s">
        <v>18</v>
      </c>
      <c r="L110">
        <v>2</v>
      </c>
      <c r="M110" t="s">
        <v>37</v>
      </c>
      <c r="N110">
        <v>3</v>
      </c>
    </row>
    <row r="111" spans="1:14" x14ac:dyDescent="0.35">
      <c r="A111" s="5">
        <v>45649.40347222222</v>
      </c>
      <c r="B111" s="1" t="str">
        <f>TEXT(Coffee_Sales_Dataset[[#This Row],[Date]],"ddd")</f>
        <v>Mon</v>
      </c>
      <c r="C111">
        <f>HOUR(Coffee_Sales_Dataset[[#This Row],[Date]])</f>
        <v>9</v>
      </c>
      <c r="D111" t="s">
        <v>41</v>
      </c>
      <c r="E111" t="s">
        <v>13</v>
      </c>
      <c r="F111" t="s">
        <v>14</v>
      </c>
      <c r="G111">
        <v>6.82</v>
      </c>
      <c r="H111" t="s">
        <v>28</v>
      </c>
      <c r="I111" t="s">
        <v>23</v>
      </c>
      <c r="J111" t="s">
        <v>31</v>
      </c>
      <c r="K111" t="s">
        <v>18</v>
      </c>
      <c r="L111">
        <v>5</v>
      </c>
      <c r="M111" t="s">
        <v>33</v>
      </c>
      <c r="N111">
        <v>4</v>
      </c>
    </row>
    <row r="112" spans="1:14" x14ac:dyDescent="0.35">
      <c r="A112" s="5">
        <v>45649.338194444441</v>
      </c>
      <c r="B112" s="1" t="str">
        <f>TEXT(Coffee_Sales_Dataset[[#This Row],[Date]],"ddd")</f>
        <v>Mon</v>
      </c>
      <c r="C112">
        <f>HOUR(Coffee_Sales_Dataset[[#This Row],[Date]])</f>
        <v>8</v>
      </c>
      <c r="D112" t="s">
        <v>41</v>
      </c>
      <c r="E112" t="s">
        <v>27</v>
      </c>
      <c r="F112" t="s">
        <v>14</v>
      </c>
      <c r="G112">
        <v>4.0999999999999996</v>
      </c>
      <c r="H112" t="s">
        <v>30</v>
      </c>
      <c r="I112" t="s">
        <v>23</v>
      </c>
      <c r="J112" t="s">
        <v>45</v>
      </c>
      <c r="K112" t="s">
        <v>18</v>
      </c>
      <c r="L112">
        <v>9</v>
      </c>
      <c r="M112" t="s">
        <v>39</v>
      </c>
      <c r="N112">
        <v>5</v>
      </c>
    </row>
    <row r="113" spans="1:14" x14ac:dyDescent="0.35">
      <c r="A113" s="5">
        <v>45650.609027777777</v>
      </c>
      <c r="B113" s="1" t="str">
        <f>TEXT(Coffee_Sales_Dataset[[#This Row],[Date]],"ddd")</f>
        <v>Tue</v>
      </c>
      <c r="C113">
        <f>HOUR(Coffee_Sales_Dataset[[#This Row],[Date]])</f>
        <v>14</v>
      </c>
      <c r="D113" t="s">
        <v>26</v>
      </c>
      <c r="E113" t="s">
        <v>46</v>
      </c>
      <c r="F113" t="s">
        <v>14</v>
      </c>
      <c r="G113">
        <v>4.3600000000000003</v>
      </c>
      <c r="H113" t="s">
        <v>30</v>
      </c>
      <c r="I113" t="s">
        <v>16</v>
      </c>
      <c r="J113" t="s">
        <v>29</v>
      </c>
      <c r="K113" t="s">
        <v>18</v>
      </c>
      <c r="L113">
        <v>7</v>
      </c>
      <c r="M113" t="s">
        <v>25</v>
      </c>
      <c r="N113">
        <v>3</v>
      </c>
    </row>
    <row r="114" spans="1:14" x14ac:dyDescent="0.35">
      <c r="A114" s="5">
        <v>45642.398611111108</v>
      </c>
      <c r="B114" s="1" t="str">
        <f>TEXT(Coffee_Sales_Dataset[[#This Row],[Date]],"ddd")</f>
        <v>Mon</v>
      </c>
      <c r="C114">
        <f>HOUR(Coffee_Sales_Dataset[[#This Row],[Date]])</f>
        <v>9</v>
      </c>
      <c r="D114" t="s">
        <v>20</v>
      </c>
      <c r="E114" t="s">
        <v>34</v>
      </c>
      <c r="F114" t="s">
        <v>14</v>
      </c>
      <c r="G114">
        <v>3.73</v>
      </c>
      <c r="H114" t="s">
        <v>30</v>
      </c>
      <c r="I114" t="s">
        <v>23</v>
      </c>
      <c r="J114" t="s">
        <v>24</v>
      </c>
      <c r="K114" t="s">
        <v>32</v>
      </c>
      <c r="L114">
        <v>4</v>
      </c>
      <c r="M114" t="s">
        <v>39</v>
      </c>
      <c r="N114">
        <v>5</v>
      </c>
    </row>
    <row r="115" spans="1:14" x14ac:dyDescent="0.35">
      <c r="A115" s="5">
        <v>45656.417361111111</v>
      </c>
      <c r="B115" s="1" t="str">
        <f>TEXT(Coffee_Sales_Dataset[[#This Row],[Date]],"ddd")</f>
        <v>Mon</v>
      </c>
      <c r="C115">
        <f>HOUR(Coffee_Sales_Dataset[[#This Row],[Date]])</f>
        <v>10</v>
      </c>
      <c r="D115" t="s">
        <v>26</v>
      </c>
      <c r="E115" t="s">
        <v>34</v>
      </c>
      <c r="F115" t="s">
        <v>22</v>
      </c>
      <c r="G115">
        <v>3.39</v>
      </c>
      <c r="H115" t="s">
        <v>30</v>
      </c>
      <c r="I115" t="s">
        <v>16</v>
      </c>
      <c r="J115" t="s">
        <v>24</v>
      </c>
      <c r="K115" t="s">
        <v>32</v>
      </c>
      <c r="L115">
        <v>8</v>
      </c>
      <c r="M115" t="s">
        <v>33</v>
      </c>
      <c r="N115">
        <v>1</v>
      </c>
    </row>
    <row r="116" spans="1:14" x14ac:dyDescent="0.35">
      <c r="A116" s="5">
        <v>45641.491666666669</v>
      </c>
      <c r="B116" s="1" t="str">
        <f>TEXT(Coffee_Sales_Dataset[[#This Row],[Date]],"ddd")</f>
        <v>Sun</v>
      </c>
      <c r="C116">
        <f>HOUR(Coffee_Sales_Dataset[[#This Row],[Date]])</f>
        <v>11</v>
      </c>
      <c r="D116" t="s">
        <v>41</v>
      </c>
      <c r="E116" t="s">
        <v>38</v>
      </c>
      <c r="F116" t="s">
        <v>14</v>
      </c>
      <c r="G116">
        <v>4.97</v>
      </c>
      <c r="H116" t="s">
        <v>28</v>
      </c>
      <c r="I116" t="s">
        <v>16</v>
      </c>
      <c r="J116" t="s">
        <v>29</v>
      </c>
      <c r="K116" t="s">
        <v>32</v>
      </c>
      <c r="L116">
        <v>2</v>
      </c>
      <c r="M116" t="s">
        <v>47</v>
      </c>
      <c r="N116">
        <v>4</v>
      </c>
    </row>
    <row r="117" spans="1:14" x14ac:dyDescent="0.35">
      <c r="A117" s="5">
        <v>45649.395833333336</v>
      </c>
      <c r="B117" s="1" t="str">
        <f>TEXT(Coffee_Sales_Dataset[[#This Row],[Date]],"ddd")</f>
        <v>Mon</v>
      </c>
      <c r="C117">
        <f>HOUR(Coffee_Sales_Dataset[[#This Row],[Date]])</f>
        <v>9</v>
      </c>
      <c r="D117" t="s">
        <v>26</v>
      </c>
      <c r="E117" t="s">
        <v>46</v>
      </c>
      <c r="F117" t="s">
        <v>35</v>
      </c>
      <c r="G117">
        <v>3.93</v>
      </c>
      <c r="H117" t="s">
        <v>30</v>
      </c>
      <c r="I117" t="s">
        <v>16</v>
      </c>
      <c r="J117" t="s">
        <v>31</v>
      </c>
      <c r="K117" t="s">
        <v>18</v>
      </c>
      <c r="L117">
        <v>3</v>
      </c>
      <c r="M117" t="s">
        <v>36</v>
      </c>
      <c r="N117">
        <v>5</v>
      </c>
    </row>
    <row r="118" spans="1:14" x14ac:dyDescent="0.35">
      <c r="A118" s="5">
        <v>45651.429861111108</v>
      </c>
      <c r="B118" s="1" t="str">
        <f>TEXT(Coffee_Sales_Dataset[[#This Row],[Date]],"ddd")</f>
        <v>Wed</v>
      </c>
      <c r="C118">
        <f>HOUR(Coffee_Sales_Dataset[[#This Row],[Date]])</f>
        <v>10</v>
      </c>
      <c r="D118" t="s">
        <v>41</v>
      </c>
      <c r="E118" t="s">
        <v>46</v>
      </c>
      <c r="F118" t="s">
        <v>22</v>
      </c>
      <c r="G118">
        <v>3.34</v>
      </c>
      <c r="H118" t="s">
        <v>28</v>
      </c>
      <c r="I118" t="s">
        <v>23</v>
      </c>
      <c r="J118" t="s">
        <v>17</v>
      </c>
      <c r="K118" t="s">
        <v>32</v>
      </c>
      <c r="L118">
        <v>10</v>
      </c>
      <c r="M118" t="s">
        <v>36</v>
      </c>
      <c r="N118">
        <v>2</v>
      </c>
    </row>
    <row r="119" spans="1:14" x14ac:dyDescent="0.35">
      <c r="A119" s="5">
        <v>45649.623611111114</v>
      </c>
      <c r="B119" s="1" t="str">
        <f>TEXT(Coffee_Sales_Dataset[[#This Row],[Date]],"ddd")</f>
        <v>Mon</v>
      </c>
      <c r="C119">
        <f>HOUR(Coffee_Sales_Dataset[[#This Row],[Date]])</f>
        <v>14</v>
      </c>
      <c r="D119" t="s">
        <v>41</v>
      </c>
      <c r="E119" t="s">
        <v>46</v>
      </c>
      <c r="F119" t="s">
        <v>14</v>
      </c>
      <c r="G119">
        <v>3</v>
      </c>
      <c r="H119" t="s">
        <v>15</v>
      </c>
      <c r="I119" t="s">
        <v>16</v>
      </c>
      <c r="J119" t="s">
        <v>45</v>
      </c>
      <c r="K119" t="s">
        <v>40</v>
      </c>
      <c r="L119">
        <v>2</v>
      </c>
      <c r="M119" t="s">
        <v>39</v>
      </c>
      <c r="N119">
        <v>4</v>
      </c>
    </row>
    <row r="120" spans="1:14" x14ac:dyDescent="0.35">
      <c r="A120" s="5">
        <v>45645.536805555559</v>
      </c>
      <c r="B120" s="1" t="str">
        <f>TEXT(Coffee_Sales_Dataset[[#This Row],[Date]],"ddd")</f>
        <v>Thu</v>
      </c>
      <c r="C120">
        <f>HOUR(Coffee_Sales_Dataset[[#This Row],[Date]])</f>
        <v>12</v>
      </c>
      <c r="D120" t="s">
        <v>12</v>
      </c>
      <c r="E120" t="s">
        <v>34</v>
      </c>
      <c r="F120" t="s">
        <v>35</v>
      </c>
      <c r="G120">
        <v>3.85</v>
      </c>
      <c r="H120" t="s">
        <v>28</v>
      </c>
      <c r="I120" t="s">
        <v>16</v>
      </c>
      <c r="J120" t="s">
        <v>29</v>
      </c>
      <c r="K120" t="s">
        <v>40</v>
      </c>
      <c r="L120">
        <v>10</v>
      </c>
      <c r="M120" t="s">
        <v>37</v>
      </c>
      <c r="N120">
        <v>1</v>
      </c>
    </row>
    <row r="121" spans="1:14" x14ac:dyDescent="0.35">
      <c r="A121" s="5">
        <v>45645.613888888889</v>
      </c>
      <c r="B121" s="1" t="str">
        <f>TEXT(Coffee_Sales_Dataset[[#This Row],[Date]],"ddd")</f>
        <v>Thu</v>
      </c>
      <c r="C121">
        <f>HOUR(Coffee_Sales_Dataset[[#This Row],[Date]])</f>
        <v>14</v>
      </c>
      <c r="D121" t="s">
        <v>26</v>
      </c>
      <c r="E121" t="s">
        <v>21</v>
      </c>
      <c r="F121" t="s">
        <v>14</v>
      </c>
      <c r="G121">
        <v>5.9</v>
      </c>
      <c r="H121" t="s">
        <v>15</v>
      </c>
      <c r="I121" t="s">
        <v>16</v>
      </c>
      <c r="J121" t="s">
        <v>17</v>
      </c>
      <c r="K121" t="s">
        <v>18</v>
      </c>
      <c r="L121">
        <v>10</v>
      </c>
      <c r="M121" t="s">
        <v>33</v>
      </c>
      <c r="N121">
        <v>3</v>
      </c>
    </row>
    <row r="122" spans="1:14" x14ac:dyDescent="0.35">
      <c r="A122" s="5">
        <v>45655.569444444445</v>
      </c>
      <c r="B122" s="1" t="str">
        <f>TEXT(Coffee_Sales_Dataset[[#This Row],[Date]],"ddd")</f>
        <v>Sun</v>
      </c>
      <c r="C122">
        <f>HOUR(Coffee_Sales_Dataset[[#This Row],[Date]])</f>
        <v>13</v>
      </c>
      <c r="D122" t="s">
        <v>43</v>
      </c>
      <c r="E122" t="s">
        <v>21</v>
      </c>
      <c r="F122" t="s">
        <v>35</v>
      </c>
      <c r="G122">
        <v>4.8099999999999996</v>
      </c>
      <c r="H122" t="s">
        <v>30</v>
      </c>
      <c r="I122" t="s">
        <v>16</v>
      </c>
      <c r="J122" t="s">
        <v>24</v>
      </c>
      <c r="K122" t="s">
        <v>40</v>
      </c>
      <c r="L122">
        <v>9</v>
      </c>
      <c r="M122" t="s">
        <v>37</v>
      </c>
      <c r="N122">
        <v>3</v>
      </c>
    </row>
    <row r="123" spans="1:14" x14ac:dyDescent="0.35">
      <c r="A123" s="5">
        <v>45641.445138888892</v>
      </c>
      <c r="B123" s="1" t="str">
        <f>TEXT(Coffee_Sales_Dataset[[#This Row],[Date]],"ddd")</f>
        <v>Sun</v>
      </c>
      <c r="C123">
        <f>HOUR(Coffee_Sales_Dataset[[#This Row],[Date]])</f>
        <v>10</v>
      </c>
      <c r="D123" t="s">
        <v>26</v>
      </c>
      <c r="E123" t="s">
        <v>38</v>
      </c>
      <c r="F123" t="s">
        <v>22</v>
      </c>
      <c r="G123">
        <v>3.02</v>
      </c>
      <c r="H123" t="s">
        <v>30</v>
      </c>
      <c r="I123" t="s">
        <v>23</v>
      </c>
      <c r="J123" t="s">
        <v>42</v>
      </c>
      <c r="K123" t="s">
        <v>18</v>
      </c>
      <c r="L123">
        <v>9</v>
      </c>
      <c r="M123" t="s">
        <v>33</v>
      </c>
      <c r="N123">
        <v>4</v>
      </c>
    </row>
    <row r="124" spans="1:14" x14ac:dyDescent="0.35">
      <c r="A124" s="5">
        <v>45649.398611111108</v>
      </c>
      <c r="B124" s="1" t="str">
        <f>TEXT(Coffee_Sales_Dataset[[#This Row],[Date]],"ddd")</f>
        <v>Mon</v>
      </c>
      <c r="C124">
        <f>HOUR(Coffee_Sales_Dataset[[#This Row],[Date]])</f>
        <v>9</v>
      </c>
      <c r="D124" t="s">
        <v>26</v>
      </c>
      <c r="E124" t="s">
        <v>21</v>
      </c>
      <c r="F124" t="s">
        <v>35</v>
      </c>
      <c r="G124">
        <v>4.78</v>
      </c>
      <c r="H124" t="s">
        <v>30</v>
      </c>
      <c r="I124" t="s">
        <v>16</v>
      </c>
      <c r="J124" t="s">
        <v>42</v>
      </c>
      <c r="K124" t="s">
        <v>18</v>
      </c>
      <c r="L124">
        <v>7</v>
      </c>
      <c r="M124" t="s">
        <v>25</v>
      </c>
      <c r="N124">
        <v>2</v>
      </c>
    </row>
    <row r="125" spans="1:14" x14ac:dyDescent="0.35">
      <c r="A125" s="5">
        <v>45654.338194444441</v>
      </c>
      <c r="B125" s="1" t="str">
        <f>TEXT(Coffee_Sales_Dataset[[#This Row],[Date]],"ddd")</f>
        <v>Sat</v>
      </c>
      <c r="C125">
        <f>HOUR(Coffee_Sales_Dataset[[#This Row],[Date]])</f>
        <v>8</v>
      </c>
      <c r="D125" t="s">
        <v>12</v>
      </c>
      <c r="E125" t="s">
        <v>34</v>
      </c>
      <c r="F125" t="s">
        <v>14</v>
      </c>
      <c r="G125">
        <v>4.78</v>
      </c>
      <c r="H125" t="s">
        <v>30</v>
      </c>
      <c r="I125" t="s">
        <v>23</v>
      </c>
      <c r="J125" t="s">
        <v>24</v>
      </c>
      <c r="K125" t="s">
        <v>18</v>
      </c>
      <c r="L125">
        <v>7</v>
      </c>
      <c r="M125" t="s">
        <v>36</v>
      </c>
      <c r="N125">
        <v>1</v>
      </c>
    </row>
    <row r="126" spans="1:14" x14ac:dyDescent="0.35">
      <c r="A126" s="5">
        <v>45654.535416666666</v>
      </c>
      <c r="B126" s="1" t="str">
        <f>TEXT(Coffee_Sales_Dataset[[#This Row],[Date]],"ddd")</f>
        <v>Sat</v>
      </c>
      <c r="C126">
        <f>HOUR(Coffee_Sales_Dataset[[#This Row],[Date]])</f>
        <v>12</v>
      </c>
      <c r="D126" t="s">
        <v>20</v>
      </c>
      <c r="E126" t="s">
        <v>27</v>
      </c>
      <c r="F126" t="s">
        <v>22</v>
      </c>
      <c r="G126">
        <v>6.87</v>
      </c>
      <c r="H126" t="s">
        <v>30</v>
      </c>
      <c r="I126" t="s">
        <v>16</v>
      </c>
      <c r="J126" t="s">
        <v>42</v>
      </c>
      <c r="K126" t="s">
        <v>18</v>
      </c>
      <c r="L126">
        <v>5</v>
      </c>
      <c r="M126" t="s">
        <v>39</v>
      </c>
      <c r="N126">
        <v>2</v>
      </c>
    </row>
    <row r="127" spans="1:14" x14ac:dyDescent="0.35">
      <c r="A127" s="5">
        <v>45656.588194444441</v>
      </c>
      <c r="B127" s="1" t="str">
        <f>TEXT(Coffee_Sales_Dataset[[#This Row],[Date]],"ddd")</f>
        <v>Mon</v>
      </c>
      <c r="C127">
        <f>HOUR(Coffee_Sales_Dataset[[#This Row],[Date]])</f>
        <v>14</v>
      </c>
      <c r="D127" t="s">
        <v>43</v>
      </c>
      <c r="E127" t="s">
        <v>38</v>
      </c>
      <c r="F127" t="s">
        <v>35</v>
      </c>
      <c r="G127">
        <v>4.9800000000000004</v>
      </c>
      <c r="H127" t="s">
        <v>28</v>
      </c>
      <c r="I127" t="s">
        <v>23</v>
      </c>
      <c r="J127" t="s">
        <v>45</v>
      </c>
      <c r="K127" t="s">
        <v>18</v>
      </c>
      <c r="L127">
        <v>4</v>
      </c>
      <c r="M127" t="s">
        <v>39</v>
      </c>
      <c r="N127">
        <v>5</v>
      </c>
    </row>
    <row r="128" spans="1:14" x14ac:dyDescent="0.35">
      <c r="A128" s="5">
        <v>45643.380555555559</v>
      </c>
      <c r="B128" s="1" t="str">
        <f>TEXT(Coffee_Sales_Dataset[[#This Row],[Date]],"ddd")</f>
        <v>Tue</v>
      </c>
      <c r="C128">
        <f>HOUR(Coffee_Sales_Dataset[[#This Row],[Date]])</f>
        <v>9</v>
      </c>
      <c r="D128" t="s">
        <v>43</v>
      </c>
      <c r="E128" t="s">
        <v>38</v>
      </c>
      <c r="F128" t="s">
        <v>14</v>
      </c>
      <c r="G128">
        <v>6.52</v>
      </c>
      <c r="H128" t="s">
        <v>28</v>
      </c>
      <c r="I128" t="s">
        <v>16</v>
      </c>
      <c r="J128" t="s">
        <v>17</v>
      </c>
      <c r="K128" t="s">
        <v>18</v>
      </c>
      <c r="L128">
        <v>2</v>
      </c>
      <c r="M128" t="s">
        <v>19</v>
      </c>
      <c r="N128">
        <v>5</v>
      </c>
    </row>
    <row r="129" spans="1:14" x14ac:dyDescent="0.35">
      <c r="A129" s="5">
        <v>45650.705555555556</v>
      </c>
      <c r="B129" s="1" t="str">
        <f>TEXT(Coffee_Sales_Dataset[[#This Row],[Date]],"ddd")</f>
        <v>Tue</v>
      </c>
      <c r="C129">
        <f>HOUR(Coffee_Sales_Dataset[[#This Row],[Date]])</f>
        <v>16</v>
      </c>
      <c r="D129" t="s">
        <v>12</v>
      </c>
      <c r="E129" t="s">
        <v>13</v>
      </c>
      <c r="F129" t="s">
        <v>22</v>
      </c>
      <c r="G129">
        <v>5.56</v>
      </c>
      <c r="H129" t="s">
        <v>28</v>
      </c>
      <c r="I129" t="s">
        <v>23</v>
      </c>
      <c r="J129" t="s">
        <v>24</v>
      </c>
      <c r="K129" t="s">
        <v>32</v>
      </c>
      <c r="L129">
        <v>8</v>
      </c>
      <c r="M129" t="s">
        <v>47</v>
      </c>
      <c r="N129">
        <v>1</v>
      </c>
    </row>
    <row r="130" spans="1:14" x14ac:dyDescent="0.35">
      <c r="A130" s="5">
        <v>45651.646527777775</v>
      </c>
      <c r="B130" s="1" t="str">
        <f>TEXT(Coffee_Sales_Dataset[[#This Row],[Date]],"ddd")</f>
        <v>Wed</v>
      </c>
      <c r="C130">
        <f>HOUR(Coffee_Sales_Dataset[[#This Row],[Date]])</f>
        <v>15</v>
      </c>
      <c r="D130" t="s">
        <v>43</v>
      </c>
      <c r="E130" t="s">
        <v>38</v>
      </c>
      <c r="F130" t="s">
        <v>14</v>
      </c>
      <c r="G130">
        <v>6.54</v>
      </c>
      <c r="H130" t="s">
        <v>30</v>
      </c>
      <c r="I130" t="s">
        <v>23</v>
      </c>
      <c r="J130" t="s">
        <v>24</v>
      </c>
      <c r="K130" t="s">
        <v>32</v>
      </c>
      <c r="L130">
        <v>10</v>
      </c>
      <c r="M130" t="s">
        <v>25</v>
      </c>
      <c r="N130">
        <v>3</v>
      </c>
    </row>
    <row r="131" spans="1:14" x14ac:dyDescent="0.35">
      <c r="A131" s="5">
        <v>45641.472916666666</v>
      </c>
      <c r="B131" s="1" t="str">
        <f>TEXT(Coffee_Sales_Dataset[[#This Row],[Date]],"ddd")</f>
        <v>Sun</v>
      </c>
      <c r="C131">
        <f>HOUR(Coffee_Sales_Dataset[[#This Row],[Date]])</f>
        <v>11</v>
      </c>
      <c r="D131" t="s">
        <v>26</v>
      </c>
      <c r="E131" t="s">
        <v>38</v>
      </c>
      <c r="F131" t="s">
        <v>14</v>
      </c>
      <c r="G131">
        <v>6.96</v>
      </c>
      <c r="H131" t="s">
        <v>30</v>
      </c>
      <c r="I131" t="s">
        <v>16</v>
      </c>
      <c r="J131" t="s">
        <v>29</v>
      </c>
      <c r="K131" t="s">
        <v>40</v>
      </c>
      <c r="L131">
        <v>5</v>
      </c>
      <c r="M131" t="s">
        <v>36</v>
      </c>
      <c r="N131">
        <v>3</v>
      </c>
    </row>
    <row r="132" spans="1:14" x14ac:dyDescent="0.35">
      <c r="A132" s="5">
        <v>45645.375694444447</v>
      </c>
      <c r="B132" s="1" t="str">
        <f>TEXT(Coffee_Sales_Dataset[[#This Row],[Date]],"ddd")</f>
        <v>Thu</v>
      </c>
      <c r="C132">
        <f>HOUR(Coffee_Sales_Dataset[[#This Row],[Date]])</f>
        <v>9</v>
      </c>
      <c r="D132" t="s">
        <v>12</v>
      </c>
      <c r="E132" t="s">
        <v>46</v>
      </c>
      <c r="F132" t="s">
        <v>14</v>
      </c>
      <c r="G132">
        <v>5.37</v>
      </c>
      <c r="H132" t="s">
        <v>28</v>
      </c>
      <c r="I132" t="s">
        <v>16</v>
      </c>
      <c r="J132" t="s">
        <v>24</v>
      </c>
      <c r="K132" t="s">
        <v>40</v>
      </c>
      <c r="L132">
        <v>3</v>
      </c>
      <c r="M132" t="s">
        <v>25</v>
      </c>
      <c r="N132">
        <v>2</v>
      </c>
    </row>
    <row r="133" spans="1:14" x14ac:dyDescent="0.35">
      <c r="A133" s="5">
        <v>45656.369444444441</v>
      </c>
      <c r="B133" s="1" t="str">
        <f>TEXT(Coffee_Sales_Dataset[[#This Row],[Date]],"ddd")</f>
        <v>Mon</v>
      </c>
      <c r="C133">
        <f>HOUR(Coffee_Sales_Dataset[[#This Row],[Date]])</f>
        <v>8</v>
      </c>
      <c r="D133" t="s">
        <v>43</v>
      </c>
      <c r="E133" t="s">
        <v>38</v>
      </c>
      <c r="F133" t="s">
        <v>14</v>
      </c>
      <c r="G133">
        <v>6.77</v>
      </c>
      <c r="H133" t="s">
        <v>28</v>
      </c>
      <c r="I133" t="s">
        <v>16</v>
      </c>
      <c r="J133" t="s">
        <v>29</v>
      </c>
      <c r="K133" t="s">
        <v>18</v>
      </c>
      <c r="L133">
        <v>9</v>
      </c>
      <c r="M133" t="s">
        <v>37</v>
      </c>
      <c r="N133">
        <v>1</v>
      </c>
    </row>
    <row r="134" spans="1:14" x14ac:dyDescent="0.35">
      <c r="A134" s="5">
        <v>45642.373611111114</v>
      </c>
      <c r="B134" s="1" t="str">
        <f>TEXT(Coffee_Sales_Dataset[[#This Row],[Date]],"ddd")</f>
        <v>Mon</v>
      </c>
      <c r="C134">
        <f>HOUR(Coffee_Sales_Dataset[[#This Row],[Date]])</f>
        <v>8</v>
      </c>
      <c r="D134" t="s">
        <v>26</v>
      </c>
      <c r="E134" t="s">
        <v>46</v>
      </c>
      <c r="F134" t="s">
        <v>22</v>
      </c>
      <c r="G134">
        <v>6.56</v>
      </c>
      <c r="H134" t="s">
        <v>28</v>
      </c>
      <c r="I134" t="s">
        <v>23</v>
      </c>
      <c r="J134" t="s">
        <v>17</v>
      </c>
      <c r="K134" t="s">
        <v>40</v>
      </c>
      <c r="L134">
        <v>9</v>
      </c>
      <c r="M134" t="s">
        <v>39</v>
      </c>
      <c r="N134">
        <v>3</v>
      </c>
    </row>
    <row r="135" spans="1:14" x14ac:dyDescent="0.35">
      <c r="A135" s="5">
        <v>45650.586111111108</v>
      </c>
      <c r="B135" s="1" t="str">
        <f>TEXT(Coffee_Sales_Dataset[[#This Row],[Date]],"ddd")</f>
        <v>Tue</v>
      </c>
      <c r="C135">
        <f>HOUR(Coffee_Sales_Dataset[[#This Row],[Date]])</f>
        <v>14</v>
      </c>
      <c r="D135" t="s">
        <v>26</v>
      </c>
      <c r="E135" t="s">
        <v>44</v>
      </c>
      <c r="F135" t="s">
        <v>14</v>
      </c>
      <c r="G135">
        <v>5.24</v>
      </c>
      <c r="H135" t="s">
        <v>15</v>
      </c>
      <c r="I135" t="s">
        <v>16</v>
      </c>
      <c r="J135" t="s">
        <v>42</v>
      </c>
      <c r="K135" t="s">
        <v>40</v>
      </c>
      <c r="L135">
        <v>8</v>
      </c>
      <c r="M135" t="s">
        <v>36</v>
      </c>
      <c r="N135">
        <v>5</v>
      </c>
    </row>
    <row r="136" spans="1:14" x14ac:dyDescent="0.35">
      <c r="A136" s="5">
        <v>45653.708333333336</v>
      </c>
      <c r="B136" s="1" t="str">
        <f>TEXT(Coffee_Sales_Dataset[[#This Row],[Date]],"ddd")</f>
        <v>Fri</v>
      </c>
      <c r="C136">
        <f>HOUR(Coffee_Sales_Dataset[[#This Row],[Date]])</f>
        <v>17</v>
      </c>
      <c r="D136" t="s">
        <v>12</v>
      </c>
      <c r="E136" t="s">
        <v>46</v>
      </c>
      <c r="F136" t="s">
        <v>22</v>
      </c>
      <c r="G136">
        <v>6.18</v>
      </c>
      <c r="H136" t="s">
        <v>28</v>
      </c>
      <c r="I136" t="s">
        <v>23</v>
      </c>
      <c r="J136" t="s">
        <v>24</v>
      </c>
      <c r="K136" t="s">
        <v>18</v>
      </c>
      <c r="L136">
        <v>2</v>
      </c>
      <c r="M136" t="s">
        <v>25</v>
      </c>
      <c r="N136">
        <v>5</v>
      </c>
    </row>
    <row r="137" spans="1:14" x14ac:dyDescent="0.35">
      <c r="A137" s="5">
        <v>45646.462500000001</v>
      </c>
      <c r="B137" s="1" t="str">
        <f>TEXT(Coffee_Sales_Dataset[[#This Row],[Date]],"ddd")</f>
        <v>Fri</v>
      </c>
      <c r="C137">
        <f>HOUR(Coffee_Sales_Dataset[[#This Row],[Date]])</f>
        <v>11</v>
      </c>
      <c r="D137" t="s">
        <v>26</v>
      </c>
      <c r="E137" t="s">
        <v>13</v>
      </c>
      <c r="F137" t="s">
        <v>35</v>
      </c>
      <c r="G137">
        <v>5.85</v>
      </c>
      <c r="H137" t="s">
        <v>28</v>
      </c>
      <c r="I137" t="s">
        <v>23</v>
      </c>
      <c r="J137" t="s">
        <v>31</v>
      </c>
      <c r="K137" t="s">
        <v>40</v>
      </c>
      <c r="L137">
        <v>10</v>
      </c>
      <c r="M137" t="s">
        <v>47</v>
      </c>
      <c r="N137">
        <v>3</v>
      </c>
    </row>
    <row r="138" spans="1:14" x14ac:dyDescent="0.35">
      <c r="A138" s="5">
        <v>45647.727777777778</v>
      </c>
      <c r="B138" s="1" t="str">
        <f>TEXT(Coffee_Sales_Dataset[[#This Row],[Date]],"ddd")</f>
        <v>Sat</v>
      </c>
      <c r="C138">
        <f>HOUR(Coffee_Sales_Dataset[[#This Row],[Date]])</f>
        <v>17</v>
      </c>
      <c r="D138" t="s">
        <v>20</v>
      </c>
      <c r="E138" t="s">
        <v>27</v>
      </c>
      <c r="F138" t="s">
        <v>14</v>
      </c>
      <c r="G138">
        <v>6.19</v>
      </c>
      <c r="H138" t="s">
        <v>30</v>
      </c>
      <c r="I138" t="s">
        <v>23</v>
      </c>
      <c r="J138" t="s">
        <v>24</v>
      </c>
      <c r="K138" t="s">
        <v>18</v>
      </c>
      <c r="L138">
        <v>8</v>
      </c>
      <c r="M138" t="s">
        <v>37</v>
      </c>
      <c r="N138">
        <v>3</v>
      </c>
    </row>
    <row r="139" spans="1:14" x14ac:dyDescent="0.35">
      <c r="A139" s="5">
        <v>45645.700694444444</v>
      </c>
      <c r="B139" s="1" t="str">
        <f>TEXT(Coffee_Sales_Dataset[[#This Row],[Date]],"ddd")</f>
        <v>Thu</v>
      </c>
      <c r="C139">
        <f>HOUR(Coffee_Sales_Dataset[[#This Row],[Date]])</f>
        <v>16</v>
      </c>
      <c r="D139" t="s">
        <v>20</v>
      </c>
      <c r="E139" t="s">
        <v>27</v>
      </c>
      <c r="F139" t="s">
        <v>22</v>
      </c>
      <c r="G139">
        <v>4.2300000000000004</v>
      </c>
      <c r="H139" t="s">
        <v>15</v>
      </c>
      <c r="I139" t="s">
        <v>16</v>
      </c>
      <c r="J139" t="s">
        <v>24</v>
      </c>
      <c r="K139" t="s">
        <v>40</v>
      </c>
      <c r="L139">
        <v>10</v>
      </c>
      <c r="M139" t="s">
        <v>37</v>
      </c>
      <c r="N139">
        <v>2</v>
      </c>
    </row>
    <row r="140" spans="1:14" x14ac:dyDescent="0.35">
      <c r="A140" s="5">
        <v>45641.702777777777</v>
      </c>
      <c r="B140" s="1" t="str">
        <f>TEXT(Coffee_Sales_Dataset[[#This Row],[Date]],"ddd")</f>
        <v>Sun</v>
      </c>
      <c r="C140">
        <f>HOUR(Coffee_Sales_Dataset[[#This Row],[Date]])</f>
        <v>16</v>
      </c>
      <c r="D140" t="s">
        <v>41</v>
      </c>
      <c r="E140" t="s">
        <v>21</v>
      </c>
      <c r="F140" t="s">
        <v>14</v>
      </c>
      <c r="G140">
        <v>4.6900000000000004</v>
      </c>
      <c r="H140" t="s">
        <v>30</v>
      </c>
      <c r="I140" t="s">
        <v>23</v>
      </c>
      <c r="J140" t="s">
        <v>45</v>
      </c>
      <c r="K140" t="s">
        <v>40</v>
      </c>
      <c r="L140">
        <v>3</v>
      </c>
      <c r="M140" t="s">
        <v>47</v>
      </c>
      <c r="N140">
        <v>2</v>
      </c>
    </row>
    <row r="141" spans="1:14" x14ac:dyDescent="0.35">
      <c r="A141" s="5">
        <v>45651.651388888888</v>
      </c>
      <c r="B141" s="1" t="str">
        <f>TEXT(Coffee_Sales_Dataset[[#This Row],[Date]],"ddd")</f>
        <v>Wed</v>
      </c>
      <c r="C141">
        <f>HOUR(Coffee_Sales_Dataset[[#This Row],[Date]])</f>
        <v>15</v>
      </c>
      <c r="D141" t="s">
        <v>43</v>
      </c>
      <c r="E141" t="s">
        <v>21</v>
      </c>
      <c r="F141" t="s">
        <v>35</v>
      </c>
      <c r="G141">
        <v>5.26</v>
      </c>
      <c r="H141" t="s">
        <v>15</v>
      </c>
      <c r="I141" t="s">
        <v>16</v>
      </c>
      <c r="J141" t="s">
        <v>42</v>
      </c>
      <c r="K141" t="s">
        <v>32</v>
      </c>
      <c r="L141">
        <v>4</v>
      </c>
      <c r="M141" t="s">
        <v>39</v>
      </c>
      <c r="N141">
        <v>4</v>
      </c>
    </row>
    <row r="142" spans="1:14" x14ac:dyDescent="0.35">
      <c r="A142" s="5">
        <v>45655.354861111111</v>
      </c>
      <c r="B142" s="1" t="str">
        <f>TEXT(Coffee_Sales_Dataset[[#This Row],[Date]],"ddd")</f>
        <v>Sun</v>
      </c>
      <c r="C142">
        <f>HOUR(Coffee_Sales_Dataset[[#This Row],[Date]])</f>
        <v>8</v>
      </c>
      <c r="D142" t="s">
        <v>20</v>
      </c>
      <c r="E142" t="s">
        <v>13</v>
      </c>
      <c r="F142" t="s">
        <v>35</v>
      </c>
      <c r="G142">
        <v>3.89</v>
      </c>
      <c r="H142" t="s">
        <v>30</v>
      </c>
      <c r="I142" t="s">
        <v>16</v>
      </c>
      <c r="J142" t="s">
        <v>31</v>
      </c>
      <c r="K142" t="s">
        <v>40</v>
      </c>
      <c r="L142">
        <v>5</v>
      </c>
      <c r="M142" t="s">
        <v>25</v>
      </c>
      <c r="N142">
        <v>3</v>
      </c>
    </row>
    <row r="143" spans="1:14" x14ac:dyDescent="0.35">
      <c r="A143" s="5">
        <v>45653.592361111114</v>
      </c>
      <c r="B143" s="1" t="str">
        <f>TEXT(Coffee_Sales_Dataset[[#This Row],[Date]],"ddd")</f>
        <v>Fri</v>
      </c>
      <c r="C143">
        <f>HOUR(Coffee_Sales_Dataset[[#This Row],[Date]])</f>
        <v>14</v>
      </c>
      <c r="D143" t="s">
        <v>12</v>
      </c>
      <c r="E143" t="s">
        <v>27</v>
      </c>
      <c r="F143" t="s">
        <v>14</v>
      </c>
      <c r="G143">
        <v>4.45</v>
      </c>
      <c r="H143" t="s">
        <v>30</v>
      </c>
      <c r="I143" t="s">
        <v>16</v>
      </c>
      <c r="J143" t="s">
        <v>29</v>
      </c>
      <c r="K143" t="s">
        <v>18</v>
      </c>
      <c r="L143">
        <v>3</v>
      </c>
      <c r="M143" t="s">
        <v>36</v>
      </c>
      <c r="N143">
        <v>3</v>
      </c>
    </row>
    <row r="144" spans="1:14" x14ac:dyDescent="0.35">
      <c r="A144" s="5">
        <v>45648.748611111114</v>
      </c>
      <c r="B144" s="1" t="str">
        <f>TEXT(Coffee_Sales_Dataset[[#This Row],[Date]],"ddd")</f>
        <v>Sun</v>
      </c>
      <c r="C144">
        <f>HOUR(Coffee_Sales_Dataset[[#This Row],[Date]])</f>
        <v>17</v>
      </c>
      <c r="D144" t="s">
        <v>43</v>
      </c>
      <c r="E144" t="s">
        <v>13</v>
      </c>
      <c r="F144" t="s">
        <v>14</v>
      </c>
      <c r="G144">
        <v>3.8</v>
      </c>
      <c r="H144" t="s">
        <v>15</v>
      </c>
      <c r="I144" t="s">
        <v>23</v>
      </c>
      <c r="J144" t="s">
        <v>17</v>
      </c>
      <c r="K144" t="s">
        <v>32</v>
      </c>
      <c r="L144">
        <v>4</v>
      </c>
      <c r="M144" t="s">
        <v>47</v>
      </c>
      <c r="N144">
        <v>5</v>
      </c>
    </row>
    <row r="145" spans="1:14" x14ac:dyDescent="0.35">
      <c r="A145" s="5">
        <v>45644.459027777775</v>
      </c>
      <c r="B145" s="1" t="str">
        <f>TEXT(Coffee_Sales_Dataset[[#This Row],[Date]],"ddd")</f>
        <v>Wed</v>
      </c>
      <c r="C145">
        <f>HOUR(Coffee_Sales_Dataset[[#This Row],[Date]])</f>
        <v>11</v>
      </c>
      <c r="D145" t="s">
        <v>20</v>
      </c>
      <c r="E145" t="s">
        <v>21</v>
      </c>
      <c r="F145" t="s">
        <v>22</v>
      </c>
      <c r="G145">
        <v>6.64</v>
      </c>
      <c r="H145" t="s">
        <v>30</v>
      </c>
      <c r="I145" t="s">
        <v>23</v>
      </c>
      <c r="J145" t="s">
        <v>42</v>
      </c>
      <c r="K145" t="s">
        <v>18</v>
      </c>
      <c r="L145">
        <v>3</v>
      </c>
      <c r="M145" t="s">
        <v>47</v>
      </c>
      <c r="N145">
        <v>2</v>
      </c>
    </row>
    <row r="146" spans="1:14" x14ac:dyDescent="0.35">
      <c r="A146" s="5">
        <v>45645.474305555559</v>
      </c>
      <c r="B146" s="1" t="str">
        <f>TEXT(Coffee_Sales_Dataset[[#This Row],[Date]],"ddd")</f>
        <v>Thu</v>
      </c>
      <c r="C146">
        <f>HOUR(Coffee_Sales_Dataset[[#This Row],[Date]])</f>
        <v>11</v>
      </c>
      <c r="D146" t="s">
        <v>43</v>
      </c>
      <c r="E146" t="s">
        <v>44</v>
      </c>
      <c r="F146" t="s">
        <v>14</v>
      </c>
      <c r="G146">
        <v>6.76</v>
      </c>
      <c r="H146" t="s">
        <v>28</v>
      </c>
      <c r="I146" t="s">
        <v>16</v>
      </c>
      <c r="J146" t="s">
        <v>45</v>
      </c>
      <c r="K146" t="s">
        <v>40</v>
      </c>
      <c r="L146">
        <v>3</v>
      </c>
      <c r="M146" t="s">
        <v>36</v>
      </c>
      <c r="N146">
        <v>2</v>
      </c>
    </row>
    <row r="147" spans="1:14" x14ac:dyDescent="0.35">
      <c r="A147" s="5">
        <v>45653.481944444444</v>
      </c>
      <c r="B147" s="1" t="str">
        <f>TEXT(Coffee_Sales_Dataset[[#This Row],[Date]],"ddd")</f>
        <v>Fri</v>
      </c>
      <c r="C147">
        <f>HOUR(Coffee_Sales_Dataset[[#This Row],[Date]])</f>
        <v>11</v>
      </c>
      <c r="D147" t="s">
        <v>12</v>
      </c>
      <c r="E147" t="s">
        <v>44</v>
      </c>
      <c r="F147" t="s">
        <v>22</v>
      </c>
      <c r="G147">
        <v>4.2699999999999996</v>
      </c>
      <c r="H147" t="s">
        <v>15</v>
      </c>
      <c r="I147" t="s">
        <v>23</v>
      </c>
      <c r="J147" t="s">
        <v>29</v>
      </c>
      <c r="K147" t="s">
        <v>18</v>
      </c>
      <c r="L147">
        <v>5</v>
      </c>
      <c r="M147" t="s">
        <v>33</v>
      </c>
      <c r="N147">
        <v>5</v>
      </c>
    </row>
    <row r="148" spans="1:14" x14ac:dyDescent="0.35">
      <c r="A148" s="5">
        <v>45645.430555555555</v>
      </c>
      <c r="B148" s="1" t="str">
        <f>TEXT(Coffee_Sales_Dataset[[#This Row],[Date]],"ddd")</f>
        <v>Thu</v>
      </c>
      <c r="C148">
        <f>HOUR(Coffee_Sales_Dataset[[#This Row],[Date]])</f>
        <v>10</v>
      </c>
      <c r="D148" t="s">
        <v>20</v>
      </c>
      <c r="E148" t="s">
        <v>13</v>
      </c>
      <c r="F148" t="s">
        <v>35</v>
      </c>
      <c r="G148">
        <v>6.18</v>
      </c>
      <c r="H148" t="s">
        <v>30</v>
      </c>
      <c r="I148" t="s">
        <v>16</v>
      </c>
      <c r="J148" t="s">
        <v>17</v>
      </c>
      <c r="K148" t="s">
        <v>18</v>
      </c>
      <c r="L148">
        <v>3</v>
      </c>
      <c r="M148" t="s">
        <v>33</v>
      </c>
      <c r="N148">
        <v>4</v>
      </c>
    </row>
    <row r="149" spans="1:14" x14ac:dyDescent="0.35">
      <c r="A149" s="5">
        <v>45653.711111111108</v>
      </c>
      <c r="B149" s="1" t="str">
        <f>TEXT(Coffee_Sales_Dataset[[#This Row],[Date]],"ddd")</f>
        <v>Fri</v>
      </c>
      <c r="C149">
        <f>HOUR(Coffee_Sales_Dataset[[#This Row],[Date]])</f>
        <v>17</v>
      </c>
      <c r="D149" t="s">
        <v>20</v>
      </c>
      <c r="E149" t="s">
        <v>38</v>
      </c>
      <c r="F149" t="s">
        <v>22</v>
      </c>
      <c r="G149">
        <v>6.01</v>
      </c>
      <c r="H149" t="s">
        <v>28</v>
      </c>
      <c r="I149" t="s">
        <v>16</v>
      </c>
      <c r="J149" t="s">
        <v>42</v>
      </c>
      <c r="K149" t="s">
        <v>18</v>
      </c>
      <c r="L149">
        <v>9</v>
      </c>
      <c r="M149" t="s">
        <v>36</v>
      </c>
      <c r="N149">
        <v>3</v>
      </c>
    </row>
    <row r="150" spans="1:14" x14ac:dyDescent="0.35">
      <c r="A150" s="5">
        <v>45652.697222222225</v>
      </c>
      <c r="B150" s="1" t="str">
        <f>TEXT(Coffee_Sales_Dataset[[#This Row],[Date]],"ddd")</f>
        <v>Thu</v>
      </c>
      <c r="C150">
        <f>HOUR(Coffee_Sales_Dataset[[#This Row],[Date]])</f>
        <v>16</v>
      </c>
      <c r="D150" t="s">
        <v>12</v>
      </c>
      <c r="E150" t="s">
        <v>44</v>
      </c>
      <c r="F150" t="s">
        <v>22</v>
      </c>
      <c r="G150">
        <v>4.9000000000000004</v>
      </c>
      <c r="H150" t="s">
        <v>28</v>
      </c>
      <c r="I150" t="s">
        <v>16</v>
      </c>
      <c r="J150" t="s">
        <v>45</v>
      </c>
      <c r="K150" t="s">
        <v>18</v>
      </c>
      <c r="L150">
        <v>2</v>
      </c>
      <c r="M150" t="s">
        <v>36</v>
      </c>
      <c r="N150">
        <v>2</v>
      </c>
    </row>
    <row r="151" spans="1:14" x14ac:dyDescent="0.35">
      <c r="A151" s="5">
        <v>45655.663194444445</v>
      </c>
      <c r="B151" s="1" t="str">
        <f>TEXT(Coffee_Sales_Dataset[[#This Row],[Date]],"ddd")</f>
        <v>Sun</v>
      </c>
      <c r="C151">
        <f>HOUR(Coffee_Sales_Dataset[[#This Row],[Date]])</f>
        <v>15</v>
      </c>
      <c r="D151" t="s">
        <v>20</v>
      </c>
      <c r="E151" t="s">
        <v>46</v>
      </c>
      <c r="F151" t="s">
        <v>14</v>
      </c>
      <c r="G151">
        <v>4.22</v>
      </c>
      <c r="H151" t="s">
        <v>15</v>
      </c>
      <c r="I151" t="s">
        <v>23</v>
      </c>
      <c r="J151" t="s">
        <v>24</v>
      </c>
      <c r="K151" t="s">
        <v>32</v>
      </c>
      <c r="L151">
        <v>10</v>
      </c>
      <c r="M151" t="s">
        <v>39</v>
      </c>
      <c r="N151">
        <v>2</v>
      </c>
    </row>
    <row r="152" spans="1:14" x14ac:dyDescent="0.35">
      <c r="A152" s="5">
        <v>45653.519444444442</v>
      </c>
      <c r="B152" s="1" t="str">
        <f>TEXT(Coffee_Sales_Dataset[[#This Row],[Date]],"ddd")</f>
        <v>Fri</v>
      </c>
      <c r="C152">
        <f>HOUR(Coffee_Sales_Dataset[[#This Row],[Date]])</f>
        <v>12</v>
      </c>
      <c r="D152" t="s">
        <v>41</v>
      </c>
      <c r="E152" t="s">
        <v>34</v>
      </c>
      <c r="F152" t="s">
        <v>14</v>
      </c>
      <c r="G152">
        <v>5.34</v>
      </c>
      <c r="H152" t="s">
        <v>15</v>
      </c>
      <c r="I152" t="s">
        <v>16</v>
      </c>
      <c r="J152" t="s">
        <v>42</v>
      </c>
      <c r="K152" t="s">
        <v>32</v>
      </c>
      <c r="L152">
        <v>9</v>
      </c>
      <c r="M152" t="s">
        <v>25</v>
      </c>
      <c r="N152">
        <v>4</v>
      </c>
    </row>
    <row r="153" spans="1:14" x14ac:dyDescent="0.35">
      <c r="A153" s="5">
        <v>45646.638888888891</v>
      </c>
      <c r="B153" s="1" t="str">
        <f>TEXT(Coffee_Sales_Dataset[[#This Row],[Date]],"ddd")</f>
        <v>Fri</v>
      </c>
      <c r="C153">
        <f>HOUR(Coffee_Sales_Dataset[[#This Row],[Date]])</f>
        <v>15</v>
      </c>
      <c r="D153" t="s">
        <v>43</v>
      </c>
      <c r="E153" t="s">
        <v>46</v>
      </c>
      <c r="F153" t="s">
        <v>14</v>
      </c>
      <c r="G153">
        <v>3.72</v>
      </c>
      <c r="H153" t="s">
        <v>30</v>
      </c>
      <c r="I153" t="s">
        <v>16</v>
      </c>
      <c r="J153" t="s">
        <v>45</v>
      </c>
      <c r="K153" t="s">
        <v>40</v>
      </c>
      <c r="L153">
        <v>7</v>
      </c>
      <c r="M153" t="s">
        <v>39</v>
      </c>
      <c r="N153">
        <v>3</v>
      </c>
    </row>
    <row r="154" spans="1:14" x14ac:dyDescent="0.35">
      <c r="A154" s="5">
        <v>45654.69027777778</v>
      </c>
      <c r="B154" s="1" t="str">
        <f>TEXT(Coffee_Sales_Dataset[[#This Row],[Date]],"ddd")</f>
        <v>Sat</v>
      </c>
      <c r="C154">
        <f>HOUR(Coffee_Sales_Dataset[[#This Row],[Date]])</f>
        <v>16</v>
      </c>
      <c r="D154" t="s">
        <v>26</v>
      </c>
      <c r="E154" t="s">
        <v>21</v>
      </c>
      <c r="F154" t="s">
        <v>22</v>
      </c>
      <c r="G154">
        <v>6.71</v>
      </c>
      <c r="H154" t="s">
        <v>30</v>
      </c>
      <c r="I154" t="s">
        <v>23</v>
      </c>
      <c r="J154" t="s">
        <v>29</v>
      </c>
      <c r="K154" t="s">
        <v>32</v>
      </c>
      <c r="L154">
        <v>2</v>
      </c>
      <c r="M154" t="s">
        <v>37</v>
      </c>
      <c r="N154">
        <v>2</v>
      </c>
    </row>
    <row r="155" spans="1:14" x14ac:dyDescent="0.35">
      <c r="A155" s="5">
        <v>45646.552777777775</v>
      </c>
      <c r="B155" s="1" t="str">
        <f>TEXT(Coffee_Sales_Dataset[[#This Row],[Date]],"ddd")</f>
        <v>Fri</v>
      </c>
      <c r="C155">
        <f>HOUR(Coffee_Sales_Dataset[[#This Row],[Date]])</f>
        <v>13</v>
      </c>
      <c r="D155" t="s">
        <v>43</v>
      </c>
      <c r="E155" t="s">
        <v>44</v>
      </c>
      <c r="F155" t="s">
        <v>35</v>
      </c>
      <c r="G155">
        <v>6.38</v>
      </c>
      <c r="H155" t="s">
        <v>30</v>
      </c>
      <c r="I155" t="s">
        <v>23</v>
      </c>
      <c r="J155" t="s">
        <v>45</v>
      </c>
      <c r="K155" t="s">
        <v>18</v>
      </c>
      <c r="L155">
        <v>10</v>
      </c>
      <c r="M155" t="s">
        <v>47</v>
      </c>
      <c r="N155">
        <v>1</v>
      </c>
    </row>
    <row r="156" spans="1:14" x14ac:dyDescent="0.35">
      <c r="A156" s="5">
        <v>45653.536111111112</v>
      </c>
      <c r="B156" s="1" t="str">
        <f>TEXT(Coffee_Sales_Dataset[[#This Row],[Date]],"ddd")</f>
        <v>Fri</v>
      </c>
      <c r="C156">
        <f>HOUR(Coffee_Sales_Dataset[[#This Row],[Date]])</f>
        <v>12</v>
      </c>
      <c r="D156" t="s">
        <v>43</v>
      </c>
      <c r="E156" t="s">
        <v>21</v>
      </c>
      <c r="F156" t="s">
        <v>22</v>
      </c>
      <c r="G156">
        <v>6.78</v>
      </c>
      <c r="H156" t="s">
        <v>28</v>
      </c>
      <c r="I156" t="s">
        <v>23</v>
      </c>
      <c r="J156" t="s">
        <v>42</v>
      </c>
      <c r="K156" t="s">
        <v>18</v>
      </c>
      <c r="L156">
        <v>10</v>
      </c>
      <c r="M156" t="s">
        <v>33</v>
      </c>
      <c r="N156">
        <v>2</v>
      </c>
    </row>
    <row r="157" spans="1:14" x14ac:dyDescent="0.35">
      <c r="A157" s="5">
        <v>45654.468055555553</v>
      </c>
      <c r="B157" s="1" t="str">
        <f>TEXT(Coffee_Sales_Dataset[[#This Row],[Date]],"ddd")</f>
        <v>Sat</v>
      </c>
      <c r="C157">
        <f>HOUR(Coffee_Sales_Dataset[[#This Row],[Date]])</f>
        <v>11</v>
      </c>
      <c r="D157" t="s">
        <v>20</v>
      </c>
      <c r="E157" t="s">
        <v>46</v>
      </c>
      <c r="F157" t="s">
        <v>14</v>
      </c>
      <c r="G157">
        <v>5.0599999999999996</v>
      </c>
      <c r="H157" t="s">
        <v>28</v>
      </c>
      <c r="I157" t="s">
        <v>16</v>
      </c>
      <c r="J157" t="s">
        <v>45</v>
      </c>
      <c r="K157" t="s">
        <v>32</v>
      </c>
      <c r="L157">
        <v>7</v>
      </c>
      <c r="M157" t="s">
        <v>33</v>
      </c>
      <c r="N157">
        <v>1</v>
      </c>
    </row>
    <row r="158" spans="1:14" x14ac:dyDescent="0.35">
      <c r="A158" s="5">
        <v>45646.477083333331</v>
      </c>
      <c r="B158" s="1" t="str">
        <f>TEXT(Coffee_Sales_Dataset[[#This Row],[Date]],"ddd")</f>
        <v>Fri</v>
      </c>
      <c r="C158">
        <f>HOUR(Coffee_Sales_Dataset[[#This Row],[Date]])</f>
        <v>11</v>
      </c>
      <c r="D158" t="s">
        <v>12</v>
      </c>
      <c r="E158" t="s">
        <v>27</v>
      </c>
      <c r="F158" t="s">
        <v>22</v>
      </c>
      <c r="G158">
        <v>4.8</v>
      </c>
      <c r="H158" t="s">
        <v>28</v>
      </c>
      <c r="I158" t="s">
        <v>23</v>
      </c>
      <c r="J158" t="s">
        <v>24</v>
      </c>
      <c r="K158" t="s">
        <v>40</v>
      </c>
      <c r="L158">
        <v>4</v>
      </c>
      <c r="M158" t="s">
        <v>47</v>
      </c>
      <c r="N158">
        <v>1</v>
      </c>
    </row>
    <row r="159" spans="1:14" x14ac:dyDescent="0.35">
      <c r="A159" s="5">
        <v>45648.556250000001</v>
      </c>
      <c r="B159" s="1" t="str">
        <f>TEXT(Coffee_Sales_Dataset[[#This Row],[Date]],"ddd")</f>
        <v>Sun</v>
      </c>
      <c r="C159">
        <f>HOUR(Coffee_Sales_Dataset[[#This Row],[Date]])</f>
        <v>13</v>
      </c>
      <c r="D159" t="s">
        <v>20</v>
      </c>
      <c r="E159" t="s">
        <v>46</v>
      </c>
      <c r="F159" t="s">
        <v>22</v>
      </c>
      <c r="G159">
        <v>5.74</v>
      </c>
      <c r="H159" t="s">
        <v>15</v>
      </c>
      <c r="I159" t="s">
        <v>16</v>
      </c>
      <c r="J159" t="s">
        <v>24</v>
      </c>
      <c r="K159" t="s">
        <v>18</v>
      </c>
      <c r="L159">
        <v>2</v>
      </c>
      <c r="M159" t="s">
        <v>37</v>
      </c>
      <c r="N159">
        <v>1</v>
      </c>
    </row>
    <row r="160" spans="1:14" x14ac:dyDescent="0.35">
      <c r="A160" s="5">
        <v>45655.431250000001</v>
      </c>
      <c r="B160" s="1" t="str">
        <f>TEXT(Coffee_Sales_Dataset[[#This Row],[Date]],"ddd")</f>
        <v>Sun</v>
      </c>
      <c r="C160">
        <f>HOUR(Coffee_Sales_Dataset[[#This Row],[Date]])</f>
        <v>10</v>
      </c>
      <c r="D160" t="s">
        <v>41</v>
      </c>
      <c r="E160" t="s">
        <v>44</v>
      </c>
      <c r="F160" t="s">
        <v>35</v>
      </c>
      <c r="G160">
        <v>6.66</v>
      </c>
      <c r="H160" t="s">
        <v>28</v>
      </c>
      <c r="I160" t="s">
        <v>16</v>
      </c>
      <c r="J160" t="s">
        <v>42</v>
      </c>
      <c r="K160" t="s">
        <v>40</v>
      </c>
      <c r="L160">
        <v>8</v>
      </c>
      <c r="M160" t="s">
        <v>39</v>
      </c>
      <c r="N160">
        <v>5</v>
      </c>
    </row>
    <row r="161" spans="1:14" x14ac:dyDescent="0.35">
      <c r="A161" s="5">
        <v>45647.629166666666</v>
      </c>
      <c r="B161" s="1" t="str">
        <f>TEXT(Coffee_Sales_Dataset[[#This Row],[Date]],"ddd")</f>
        <v>Sat</v>
      </c>
      <c r="C161">
        <f>HOUR(Coffee_Sales_Dataset[[#This Row],[Date]])</f>
        <v>15</v>
      </c>
      <c r="D161" t="s">
        <v>43</v>
      </c>
      <c r="E161" t="s">
        <v>38</v>
      </c>
      <c r="F161" t="s">
        <v>22</v>
      </c>
      <c r="G161">
        <v>5.56</v>
      </c>
      <c r="H161" t="s">
        <v>15</v>
      </c>
      <c r="I161" t="s">
        <v>23</v>
      </c>
      <c r="J161" t="s">
        <v>17</v>
      </c>
      <c r="K161" t="s">
        <v>40</v>
      </c>
      <c r="L161">
        <v>10</v>
      </c>
      <c r="M161" t="s">
        <v>36</v>
      </c>
      <c r="N161">
        <v>1</v>
      </c>
    </row>
    <row r="162" spans="1:14" x14ac:dyDescent="0.35">
      <c r="A162" s="5">
        <v>45654.729861111111</v>
      </c>
      <c r="B162" s="1" t="str">
        <f>TEXT(Coffee_Sales_Dataset[[#This Row],[Date]],"ddd")</f>
        <v>Sat</v>
      </c>
      <c r="C162">
        <f>HOUR(Coffee_Sales_Dataset[[#This Row],[Date]])</f>
        <v>17</v>
      </c>
      <c r="D162" t="s">
        <v>26</v>
      </c>
      <c r="E162" t="s">
        <v>27</v>
      </c>
      <c r="F162" t="s">
        <v>14</v>
      </c>
      <c r="G162">
        <v>3.28</v>
      </c>
      <c r="H162" t="s">
        <v>15</v>
      </c>
      <c r="I162" t="s">
        <v>16</v>
      </c>
      <c r="J162" t="s">
        <v>17</v>
      </c>
      <c r="K162" t="s">
        <v>40</v>
      </c>
      <c r="L162">
        <v>6</v>
      </c>
      <c r="M162" t="s">
        <v>19</v>
      </c>
      <c r="N162">
        <v>5</v>
      </c>
    </row>
    <row r="163" spans="1:14" x14ac:dyDescent="0.35">
      <c r="A163" s="5">
        <v>45642.349305555559</v>
      </c>
      <c r="B163" s="1" t="str">
        <f>TEXT(Coffee_Sales_Dataset[[#This Row],[Date]],"ddd")</f>
        <v>Mon</v>
      </c>
      <c r="C163">
        <f>HOUR(Coffee_Sales_Dataset[[#This Row],[Date]])</f>
        <v>8</v>
      </c>
      <c r="D163" t="s">
        <v>41</v>
      </c>
      <c r="E163" t="s">
        <v>13</v>
      </c>
      <c r="F163" t="s">
        <v>14</v>
      </c>
      <c r="G163">
        <v>4.3099999999999996</v>
      </c>
      <c r="H163" t="s">
        <v>15</v>
      </c>
      <c r="I163" t="s">
        <v>16</v>
      </c>
      <c r="J163" t="s">
        <v>17</v>
      </c>
      <c r="K163" t="s">
        <v>40</v>
      </c>
      <c r="L163">
        <v>4</v>
      </c>
      <c r="M163" t="s">
        <v>37</v>
      </c>
      <c r="N163">
        <v>4</v>
      </c>
    </row>
    <row r="164" spans="1:14" x14ac:dyDescent="0.35">
      <c r="A164" s="5">
        <v>45648.39166666667</v>
      </c>
      <c r="B164" s="1" t="str">
        <f>TEXT(Coffee_Sales_Dataset[[#This Row],[Date]],"ddd")</f>
        <v>Sun</v>
      </c>
      <c r="C164">
        <f>HOUR(Coffee_Sales_Dataset[[#This Row],[Date]])</f>
        <v>9</v>
      </c>
      <c r="D164" t="s">
        <v>20</v>
      </c>
      <c r="E164" t="s">
        <v>27</v>
      </c>
      <c r="F164" t="s">
        <v>14</v>
      </c>
      <c r="G164">
        <v>4.24</v>
      </c>
      <c r="H164" t="s">
        <v>28</v>
      </c>
      <c r="I164" t="s">
        <v>16</v>
      </c>
      <c r="J164" t="s">
        <v>17</v>
      </c>
      <c r="K164" t="s">
        <v>18</v>
      </c>
      <c r="L164">
        <v>6</v>
      </c>
      <c r="M164" t="s">
        <v>37</v>
      </c>
      <c r="N164">
        <v>2</v>
      </c>
    </row>
    <row r="165" spans="1:14" x14ac:dyDescent="0.35">
      <c r="A165" s="5">
        <v>45649.636805555558</v>
      </c>
      <c r="B165" s="1" t="str">
        <f>TEXT(Coffee_Sales_Dataset[[#This Row],[Date]],"ddd")</f>
        <v>Mon</v>
      </c>
      <c r="C165">
        <f>HOUR(Coffee_Sales_Dataset[[#This Row],[Date]])</f>
        <v>15</v>
      </c>
      <c r="D165" t="s">
        <v>20</v>
      </c>
      <c r="E165" t="s">
        <v>13</v>
      </c>
      <c r="F165" t="s">
        <v>14</v>
      </c>
      <c r="G165">
        <v>4.78</v>
      </c>
      <c r="H165" t="s">
        <v>15</v>
      </c>
      <c r="I165" t="s">
        <v>23</v>
      </c>
      <c r="J165" t="s">
        <v>31</v>
      </c>
      <c r="K165" t="s">
        <v>32</v>
      </c>
      <c r="L165">
        <v>9</v>
      </c>
      <c r="M165" t="s">
        <v>25</v>
      </c>
      <c r="N165">
        <v>4</v>
      </c>
    </row>
    <row r="166" spans="1:14" x14ac:dyDescent="0.35">
      <c r="A166" s="5">
        <v>45650.387499999997</v>
      </c>
      <c r="B166" s="1" t="str">
        <f>TEXT(Coffee_Sales_Dataset[[#This Row],[Date]],"ddd")</f>
        <v>Tue</v>
      </c>
      <c r="C166">
        <f>HOUR(Coffee_Sales_Dataset[[#This Row],[Date]])</f>
        <v>9</v>
      </c>
      <c r="D166" t="s">
        <v>12</v>
      </c>
      <c r="E166" t="s">
        <v>34</v>
      </c>
      <c r="F166" t="s">
        <v>35</v>
      </c>
      <c r="G166">
        <v>6.37</v>
      </c>
      <c r="H166" t="s">
        <v>15</v>
      </c>
      <c r="I166" t="s">
        <v>16</v>
      </c>
      <c r="J166" t="s">
        <v>31</v>
      </c>
      <c r="K166" t="s">
        <v>40</v>
      </c>
      <c r="L166">
        <v>8</v>
      </c>
      <c r="M166" t="s">
        <v>36</v>
      </c>
      <c r="N166">
        <v>2</v>
      </c>
    </row>
    <row r="167" spans="1:14" x14ac:dyDescent="0.35">
      <c r="A167" s="5">
        <v>45655.603472222225</v>
      </c>
      <c r="B167" s="1" t="str">
        <f>TEXT(Coffee_Sales_Dataset[[#This Row],[Date]],"ddd")</f>
        <v>Sun</v>
      </c>
      <c r="C167">
        <f>HOUR(Coffee_Sales_Dataset[[#This Row],[Date]])</f>
        <v>14</v>
      </c>
      <c r="D167" t="s">
        <v>12</v>
      </c>
      <c r="E167" t="s">
        <v>44</v>
      </c>
      <c r="F167" t="s">
        <v>14</v>
      </c>
      <c r="G167">
        <v>5.79</v>
      </c>
      <c r="H167" t="s">
        <v>30</v>
      </c>
      <c r="I167" t="s">
        <v>16</v>
      </c>
      <c r="J167" t="s">
        <v>45</v>
      </c>
      <c r="K167" t="s">
        <v>40</v>
      </c>
      <c r="L167">
        <v>5</v>
      </c>
      <c r="M167" t="s">
        <v>33</v>
      </c>
      <c r="N167">
        <v>2</v>
      </c>
    </row>
    <row r="168" spans="1:14" x14ac:dyDescent="0.35">
      <c r="A168" s="5">
        <v>45645.679166666669</v>
      </c>
      <c r="B168" s="1" t="str">
        <f>TEXT(Coffee_Sales_Dataset[[#This Row],[Date]],"ddd")</f>
        <v>Thu</v>
      </c>
      <c r="C168">
        <f>HOUR(Coffee_Sales_Dataset[[#This Row],[Date]])</f>
        <v>16</v>
      </c>
      <c r="D168" t="s">
        <v>26</v>
      </c>
      <c r="E168" t="s">
        <v>44</v>
      </c>
      <c r="F168" t="s">
        <v>35</v>
      </c>
      <c r="G168">
        <v>5.89</v>
      </c>
      <c r="H168" t="s">
        <v>30</v>
      </c>
      <c r="I168" t="s">
        <v>16</v>
      </c>
      <c r="J168" t="s">
        <v>42</v>
      </c>
      <c r="K168" t="s">
        <v>18</v>
      </c>
      <c r="L168">
        <v>3</v>
      </c>
      <c r="M168" t="s">
        <v>47</v>
      </c>
      <c r="N168">
        <v>1</v>
      </c>
    </row>
    <row r="169" spans="1:14" x14ac:dyDescent="0.35">
      <c r="A169" s="5">
        <v>45653.700694444444</v>
      </c>
      <c r="B169" s="1" t="str">
        <f>TEXT(Coffee_Sales_Dataset[[#This Row],[Date]],"ddd")</f>
        <v>Fri</v>
      </c>
      <c r="C169">
        <f>HOUR(Coffee_Sales_Dataset[[#This Row],[Date]])</f>
        <v>16</v>
      </c>
      <c r="D169" t="s">
        <v>43</v>
      </c>
      <c r="E169" t="s">
        <v>46</v>
      </c>
      <c r="F169" t="s">
        <v>22</v>
      </c>
      <c r="G169">
        <v>3.66</v>
      </c>
      <c r="H169" t="s">
        <v>30</v>
      </c>
      <c r="I169" t="s">
        <v>23</v>
      </c>
      <c r="J169" t="s">
        <v>42</v>
      </c>
      <c r="K169" t="s">
        <v>40</v>
      </c>
      <c r="L169">
        <v>3</v>
      </c>
      <c r="M169" t="s">
        <v>19</v>
      </c>
      <c r="N169">
        <v>4</v>
      </c>
    </row>
    <row r="170" spans="1:14" x14ac:dyDescent="0.35">
      <c r="A170" s="5">
        <v>45647.620833333334</v>
      </c>
      <c r="B170" s="1" t="str">
        <f>TEXT(Coffee_Sales_Dataset[[#This Row],[Date]],"ddd")</f>
        <v>Sat</v>
      </c>
      <c r="C170">
        <f>HOUR(Coffee_Sales_Dataset[[#This Row],[Date]])</f>
        <v>14</v>
      </c>
      <c r="D170" t="s">
        <v>20</v>
      </c>
      <c r="E170" t="s">
        <v>46</v>
      </c>
      <c r="F170" t="s">
        <v>14</v>
      </c>
      <c r="G170">
        <v>3.04</v>
      </c>
      <c r="H170" t="s">
        <v>30</v>
      </c>
      <c r="I170" t="s">
        <v>23</v>
      </c>
      <c r="J170" t="s">
        <v>24</v>
      </c>
      <c r="K170" t="s">
        <v>18</v>
      </c>
      <c r="L170">
        <v>9</v>
      </c>
      <c r="M170" t="s">
        <v>25</v>
      </c>
      <c r="N170">
        <v>4</v>
      </c>
    </row>
    <row r="171" spans="1:14" x14ac:dyDescent="0.35">
      <c r="A171" s="5">
        <v>45642.695833333331</v>
      </c>
      <c r="B171" s="1" t="str">
        <f>TEXT(Coffee_Sales_Dataset[[#This Row],[Date]],"ddd")</f>
        <v>Mon</v>
      </c>
      <c r="C171">
        <f>HOUR(Coffee_Sales_Dataset[[#This Row],[Date]])</f>
        <v>16</v>
      </c>
      <c r="D171" t="s">
        <v>20</v>
      </c>
      <c r="E171" t="s">
        <v>44</v>
      </c>
      <c r="F171" t="s">
        <v>22</v>
      </c>
      <c r="G171">
        <v>3.56</v>
      </c>
      <c r="H171" t="s">
        <v>15</v>
      </c>
      <c r="I171" t="s">
        <v>23</v>
      </c>
      <c r="J171" t="s">
        <v>17</v>
      </c>
      <c r="K171" t="s">
        <v>40</v>
      </c>
      <c r="L171">
        <v>3</v>
      </c>
      <c r="M171" t="s">
        <v>36</v>
      </c>
      <c r="N171">
        <v>3</v>
      </c>
    </row>
    <row r="172" spans="1:14" x14ac:dyDescent="0.35">
      <c r="A172" s="5">
        <v>45642.590277777781</v>
      </c>
      <c r="B172" s="1" t="str">
        <f>TEXT(Coffee_Sales_Dataset[[#This Row],[Date]],"ddd")</f>
        <v>Mon</v>
      </c>
      <c r="C172">
        <f>HOUR(Coffee_Sales_Dataset[[#This Row],[Date]])</f>
        <v>14</v>
      </c>
      <c r="D172" t="s">
        <v>26</v>
      </c>
      <c r="E172" t="s">
        <v>44</v>
      </c>
      <c r="F172" t="s">
        <v>14</v>
      </c>
      <c r="G172">
        <v>5.71</v>
      </c>
      <c r="H172" t="s">
        <v>30</v>
      </c>
      <c r="I172" t="s">
        <v>16</v>
      </c>
      <c r="J172" t="s">
        <v>24</v>
      </c>
      <c r="K172" t="s">
        <v>40</v>
      </c>
      <c r="L172">
        <v>5</v>
      </c>
      <c r="M172" t="s">
        <v>19</v>
      </c>
      <c r="N172">
        <v>1</v>
      </c>
    </row>
    <row r="173" spans="1:14" x14ac:dyDescent="0.35">
      <c r="A173" s="5">
        <v>45655.675694444442</v>
      </c>
      <c r="B173" s="1" t="str">
        <f>TEXT(Coffee_Sales_Dataset[[#This Row],[Date]],"ddd")</f>
        <v>Sun</v>
      </c>
      <c r="C173">
        <f>HOUR(Coffee_Sales_Dataset[[#This Row],[Date]])</f>
        <v>16</v>
      </c>
      <c r="D173" t="s">
        <v>12</v>
      </c>
      <c r="E173" t="s">
        <v>44</v>
      </c>
      <c r="F173" t="s">
        <v>14</v>
      </c>
      <c r="G173">
        <v>6.35</v>
      </c>
      <c r="H173" t="s">
        <v>28</v>
      </c>
      <c r="I173" t="s">
        <v>23</v>
      </c>
      <c r="J173" t="s">
        <v>42</v>
      </c>
      <c r="K173" t="s">
        <v>18</v>
      </c>
      <c r="L173">
        <v>6</v>
      </c>
      <c r="M173" t="s">
        <v>25</v>
      </c>
      <c r="N173">
        <v>1</v>
      </c>
    </row>
    <row r="174" spans="1:14" x14ac:dyDescent="0.35">
      <c r="A174" s="5">
        <v>45650.367361111108</v>
      </c>
      <c r="B174" s="1" t="str">
        <f>TEXT(Coffee_Sales_Dataset[[#This Row],[Date]],"ddd")</f>
        <v>Tue</v>
      </c>
      <c r="C174">
        <f>HOUR(Coffee_Sales_Dataset[[#This Row],[Date]])</f>
        <v>8</v>
      </c>
      <c r="D174" t="s">
        <v>12</v>
      </c>
      <c r="E174" t="s">
        <v>21</v>
      </c>
      <c r="F174" t="s">
        <v>14</v>
      </c>
      <c r="G174">
        <v>6.72</v>
      </c>
      <c r="H174" t="s">
        <v>15</v>
      </c>
      <c r="I174" t="s">
        <v>23</v>
      </c>
      <c r="J174" t="s">
        <v>17</v>
      </c>
      <c r="K174" t="s">
        <v>40</v>
      </c>
      <c r="L174">
        <v>2</v>
      </c>
      <c r="M174" t="s">
        <v>25</v>
      </c>
      <c r="N174">
        <v>1</v>
      </c>
    </row>
    <row r="175" spans="1:14" x14ac:dyDescent="0.35">
      <c r="A175" s="5">
        <v>45656.577777777777</v>
      </c>
      <c r="B175" s="1" t="str">
        <f>TEXT(Coffee_Sales_Dataset[[#This Row],[Date]],"ddd")</f>
        <v>Mon</v>
      </c>
      <c r="C175">
        <f>HOUR(Coffee_Sales_Dataset[[#This Row],[Date]])</f>
        <v>13</v>
      </c>
      <c r="D175" t="s">
        <v>20</v>
      </c>
      <c r="E175" t="s">
        <v>44</v>
      </c>
      <c r="F175" t="s">
        <v>35</v>
      </c>
      <c r="G175">
        <v>3.25</v>
      </c>
      <c r="H175" t="s">
        <v>30</v>
      </c>
      <c r="I175" t="s">
        <v>23</v>
      </c>
      <c r="J175" t="s">
        <v>45</v>
      </c>
      <c r="K175" t="s">
        <v>40</v>
      </c>
      <c r="L175">
        <v>2</v>
      </c>
      <c r="M175" t="s">
        <v>25</v>
      </c>
      <c r="N175">
        <v>5</v>
      </c>
    </row>
    <row r="176" spans="1:14" x14ac:dyDescent="0.35">
      <c r="A176" s="5">
        <v>45642.555555555555</v>
      </c>
      <c r="B176" s="1" t="str">
        <f>TEXT(Coffee_Sales_Dataset[[#This Row],[Date]],"ddd")</f>
        <v>Mon</v>
      </c>
      <c r="C176">
        <f>HOUR(Coffee_Sales_Dataset[[#This Row],[Date]])</f>
        <v>13</v>
      </c>
      <c r="D176" t="s">
        <v>41</v>
      </c>
      <c r="E176" t="s">
        <v>44</v>
      </c>
      <c r="F176" t="s">
        <v>14</v>
      </c>
      <c r="G176">
        <v>5.5</v>
      </c>
      <c r="H176" t="s">
        <v>28</v>
      </c>
      <c r="I176" t="s">
        <v>16</v>
      </c>
      <c r="J176" t="s">
        <v>42</v>
      </c>
      <c r="K176" t="s">
        <v>40</v>
      </c>
      <c r="L176">
        <v>5</v>
      </c>
      <c r="M176" t="s">
        <v>36</v>
      </c>
      <c r="N176">
        <v>1</v>
      </c>
    </row>
    <row r="177" spans="1:14" x14ac:dyDescent="0.35">
      <c r="A177" s="5">
        <v>45646.416666666664</v>
      </c>
      <c r="B177" s="1" t="str">
        <f>TEXT(Coffee_Sales_Dataset[[#This Row],[Date]],"ddd")</f>
        <v>Fri</v>
      </c>
      <c r="C177">
        <f>HOUR(Coffee_Sales_Dataset[[#This Row],[Date]])</f>
        <v>10</v>
      </c>
      <c r="D177" t="s">
        <v>12</v>
      </c>
      <c r="E177" t="s">
        <v>44</v>
      </c>
      <c r="F177" t="s">
        <v>22</v>
      </c>
      <c r="G177">
        <v>3.05</v>
      </c>
      <c r="H177" t="s">
        <v>30</v>
      </c>
      <c r="I177" t="s">
        <v>16</v>
      </c>
      <c r="J177" t="s">
        <v>17</v>
      </c>
      <c r="K177" t="s">
        <v>40</v>
      </c>
      <c r="L177">
        <v>6</v>
      </c>
      <c r="M177" t="s">
        <v>19</v>
      </c>
      <c r="N177">
        <v>5</v>
      </c>
    </row>
    <row r="178" spans="1:14" x14ac:dyDescent="0.35">
      <c r="A178" s="5">
        <v>45646.413888888892</v>
      </c>
      <c r="B178" s="1" t="str">
        <f>TEXT(Coffee_Sales_Dataset[[#This Row],[Date]],"ddd")</f>
        <v>Fri</v>
      </c>
      <c r="C178">
        <f>HOUR(Coffee_Sales_Dataset[[#This Row],[Date]])</f>
        <v>9</v>
      </c>
      <c r="D178" t="s">
        <v>20</v>
      </c>
      <c r="E178" t="s">
        <v>46</v>
      </c>
      <c r="F178" t="s">
        <v>22</v>
      </c>
      <c r="G178">
        <v>6.07</v>
      </c>
      <c r="H178" t="s">
        <v>15</v>
      </c>
      <c r="I178" t="s">
        <v>23</v>
      </c>
      <c r="J178" t="s">
        <v>45</v>
      </c>
      <c r="K178" t="s">
        <v>18</v>
      </c>
      <c r="L178">
        <v>4</v>
      </c>
      <c r="M178" t="s">
        <v>47</v>
      </c>
      <c r="N178">
        <v>1</v>
      </c>
    </row>
    <row r="179" spans="1:14" x14ac:dyDescent="0.35">
      <c r="A179" s="5">
        <v>45650.613194444442</v>
      </c>
      <c r="B179" s="1" t="str">
        <f>TEXT(Coffee_Sales_Dataset[[#This Row],[Date]],"ddd")</f>
        <v>Tue</v>
      </c>
      <c r="C179">
        <f>HOUR(Coffee_Sales_Dataset[[#This Row],[Date]])</f>
        <v>14</v>
      </c>
      <c r="D179" t="s">
        <v>20</v>
      </c>
      <c r="E179" t="s">
        <v>34</v>
      </c>
      <c r="F179" t="s">
        <v>14</v>
      </c>
      <c r="G179">
        <v>5.54</v>
      </c>
      <c r="H179" t="s">
        <v>28</v>
      </c>
      <c r="I179" t="s">
        <v>16</v>
      </c>
      <c r="J179" t="s">
        <v>45</v>
      </c>
      <c r="K179" t="s">
        <v>32</v>
      </c>
      <c r="L179">
        <v>3</v>
      </c>
      <c r="M179" t="s">
        <v>47</v>
      </c>
      <c r="N179">
        <v>1</v>
      </c>
    </row>
    <row r="180" spans="1:14" x14ac:dyDescent="0.35">
      <c r="A180" s="5">
        <v>45650.727777777778</v>
      </c>
      <c r="B180" s="1" t="str">
        <f>TEXT(Coffee_Sales_Dataset[[#This Row],[Date]],"ddd")</f>
        <v>Tue</v>
      </c>
      <c r="C180">
        <f>HOUR(Coffee_Sales_Dataset[[#This Row],[Date]])</f>
        <v>17</v>
      </c>
      <c r="D180" t="s">
        <v>12</v>
      </c>
      <c r="E180" t="s">
        <v>38</v>
      </c>
      <c r="F180" t="s">
        <v>35</v>
      </c>
      <c r="G180">
        <v>5.97</v>
      </c>
      <c r="H180" t="s">
        <v>28</v>
      </c>
      <c r="I180" t="s">
        <v>23</v>
      </c>
      <c r="J180" t="s">
        <v>17</v>
      </c>
      <c r="K180" t="s">
        <v>40</v>
      </c>
      <c r="L180">
        <v>3</v>
      </c>
      <c r="M180" t="s">
        <v>47</v>
      </c>
      <c r="N180">
        <v>2</v>
      </c>
    </row>
    <row r="181" spans="1:14" x14ac:dyDescent="0.35">
      <c r="A181" s="5">
        <v>45652.48541666667</v>
      </c>
      <c r="B181" s="1" t="str">
        <f>TEXT(Coffee_Sales_Dataset[[#This Row],[Date]],"ddd")</f>
        <v>Thu</v>
      </c>
      <c r="C181">
        <f>HOUR(Coffee_Sales_Dataset[[#This Row],[Date]])</f>
        <v>11</v>
      </c>
      <c r="D181" t="s">
        <v>26</v>
      </c>
      <c r="E181" t="s">
        <v>13</v>
      </c>
      <c r="F181" t="s">
        <v>14</v>
      </c>
      <c r="G181">
        <v>4.5</v>
      </c>
      <c r="H181" t="s">
        <v>15</v>
      </c>
      <c r="I181" t="s">
        <v>23</v>
      </c>
      <c r="J181" t="s">
        <v>17</v>
      </c>
      <c r="K181" t="s">
        <v>32</v>
      </c>
      <c r="L181">
        <v>5</v>
      </c>
      <c r="M181" t="s">
        <v>19</v>
      </c>
      <c r="N181">
        <v>1</v>
      </c>
    </row>
    <row r="182" spans="1:14" x14ac:dyDescent="0.35">
      <c r="A182" s="5">
        <v>45644.727777777778</v>
      </c>
      <c r="B182" s="1" t="str">
        <f>TEXT(Coffee_Sales_Dataset[[#This Row],[Date]],"ddd")</f>
        <v>Wed</v>
      </c>
      <c r="C182">
        <f>HOUR(Coffee_Sales_Dataset[[#This Row],[Date]])</f>
        <v>17</v>
      </c>
      <c r="D182" t="s">
        <v>43</v>
      </c>
      <c r="E182" t="s">
        <v>27</v>
      </c>
      <c r="F182" t="s">
        <v>22</v>
      </c>
      <c r="G182">
        <v>4.2699999999999996</v>
      </c>
      <c r="H182" t="s">
        <v>30</v>
      </c>
      <c r="I182" t="s">
        <v>16</v>
      </c>
      <c r="J182" t="s">
        <v>45</v>
      </c>
      <c r="K182" t="s">
        <v>32</v>
      </c>
      <c r="L182">
        <v>2</v>
      </c>
      <c r="M182" t="s">
        <v>36</v>
      </c>
      <c r="N182">
        <v>3</v>
      </c>
    </row>
    <row r="183" spans="1:14" x14ac:dyDescent="0.35">
      <c r="A183" s="5">
        <v>45646.481944444444</v>
      </c>
      <c r="B183" s="1" t="str">
        <f>TEXT(Coffee_Sales_Dataset[[#This Row],[Date]],"ddd")</f>
        <v>Fri</v>
      </c>
      <c r="C183">
        <f>HOUR(Coffee_Sales_Dataset[[#This Row],[Date]])</f>
        <v>11</v>
      </c>
      <c r="D183" t="s">
        <v>26</v>
      </c>
      <c r="E183" t="s">
        <v>44</v>
      </c>
      <c r="F183" t="s">
        <v>14</v>
      </c>
      <c r="G183">
        <v>6.21</v>
      </c>
      <c r="H183" t="s">
        <v>28</v>
      </c>
      <c r="I183" t="s">
        <v>23</v>
      </c>
      <c r="J183" t="s">
        <v>31</v>
      </c>
      <c r="K183" t="s">
        <v>32</v>
      </c>
      <c r="L183">
        <v>10</v>
      </c>
      <c r="M183" t="s">
        <v>47</v>
      </c>
      <c r="N183">
        <v>2</v>
      </c>
    </row>
    <row r="184" spans="1:14" x14ac:dyDescent="0.35">
      <c r="A184" s="5">
        <v>45648.336111111108</v>
      </c>
      <c r="B184" s="1" t="str">
        <f>TEXT(Coffee_Sales_Dataset[[#This Row],[Date]],"ddd")</f>
        <v>Sun</v>
      </c>
      <c r="C184">
        <f>HOUR(Coffee_Sales_Dataset[[#This Row],[Date]])</f>
        <v>8</v>
      </c>
      <c r="D184" t="s">
        <v>12</v>
      </c>
      <c r="E184" t="s">
        <v>13</v>
      </c>
      <c r="F184" t="s">
        <v>14</v>
      </c>
      <c r="G184">
        <v>3.21</v>
      </c>
      <c r="H184" t="s">
        <v>30</v>
      </c>
      <c r="I184" t="s">
        <v>23</v>
      </c>
      <c r="J184" t="s">
        <v>17</v>
      </c>
      <c r="K184" t="s">
        <v>40</v>
      </c>
      <c r="L184">
        <v>4</v>
      </c>
      <c r="M184" t="s">
        <v>37</v>
      </c>
      <c r="N184">
        <v>5</v>
      </c>
    </row>
    <row r="185" spans="1:14" x14ac:dyDescent="0.35">
      <c r="A185" s="5">
        <v>45654.46875</v>
      </c>
      <c r="B185" s="1" t="str">
        <f>TEXT(Coffee_Sales_Dataset[[#This Row],[Date]],"ddd")</f>
        <v>Sat</v>
      </c>
      <c r="C185">
        <f>HOUR(Coffee_Sales_Dataset[[#This Row],[Date]])</f>
        <v>11</v>
      </c>
      <c r="D185" t="s">
        <v>41</v>
      </c>
      <c r="E185" t="s">
        <v>13</v>
      </c>
      <c r="F185" t="s">
        <v>22</v>
      </c>
      <c r="G185">
        <v>5.9</v>
      </c>
      <c r="H185" t="s">
        <v>15</v>
      </c>
      <c r="I185" t="s">
        <v>23</v>
      </c>
      <c r="J185" t="s">
        <v>45</v>
      </c>
      <c r="K185" t="s">
        <v>40</v>
      </c>
      <c r="L185">
        <v>5</v>
      </c>
      <c r="M185" t="s">
        <v>25</v>
      </c>
      <c r="N185">
        <v>2</v>
      </c>
    </row>
    <row r="186" spans="1:14" x14ac:dyDescent="0.35">
      <c r="A186" s="5">
        <v>45650.512499999997</v>
      </c>
      <c r="B186" s="1" t="str">
        <f>TEXT(Coffee_Sales_Dataset[[#This Row],[Date]],"ddd")</f>
        <v>Tue</v>
      </c>
      <c r="C186">
        <f>HOUR(Coffee_Sales_Dataset[[#This Row],[Date]])</f>
        <v>12</v>
      </c>
      <c r="D186" t="s">
        <v>41</v>
      </c>
      <c r="E186" t="s">
        <v>46</v>
      </c>
      <c r="F186" t="s">
        <v>35</v>
      </c>
      <c r="G186">
        <v>3.81</v>
      </c>
      <c r="H186" t="s">
        <v>15</v>
      </c>
      <c r="I186" t="s">
        <v>23</v>
      </c>
      <c r="J186" t="s">
        <v>24</v>
      </c>
      <c r="K186" t="s">
        <v>32</v>
      </c>
      <c r="L186">
        <v>8</v>
      </c>
      <c r="M186" t="s">
        <v>36</v>
      </c>
      <c r="N186">
        <v>4</v>
      </c>
    </row>
    <row r="187" spans="1:14" x14ac:dyDescent="0.35">
      <c r="A187" s="5">
        <v>45648.693749999999</v>
      </c>
      <c r="B187" s="1" t="str">
        <f>TEXT(Coffee_Sales_Dataset[[#This Row],[Date]],"ddd")</f>
        <v>Sun</v>
      </c>
      <c r="C187">
        <f>HOUR(Coffee_Sales_Dataset[[#This Row],[Date]])</f>
        <v>16</v>
      </c>
      <c r="D187" t="s">
        <v>12</v>
      </c>
      <c r="E187" t="s">
        <v>21</v>
      </c>
      <c r="F187" t="s">
        <v>14</v>
      </c>
      <c r="G187">
        <v>6.28</v>
      </c>
      <c r="H187" t="s">
        <v>15</v>
      </c>
      <c r="I187" t="s">
        <v>23</v>
      </c>
      <c r="J187" t="s">
        <v>42</v>
      </c>
      <c r="K187" t="s">
        <v>32</v>
      </c>
      <c r="L187">
        <v>3</v>
      </c>
      <c r="M187" t="s">
        <v>33</v>
      </c>
      <c r="N187">
        <v>3</v>
      </c>
    </row>
    <row r="188" spans="1:14" x14ac:dyDescent="0.35">
      <c r="A188" s="5">
        <v>45650.440972222219</v>
      </c>
      <c r="B188" s="1" t="str">
        <f>TEXT(Coffee_Sales_Dataset[[#This Row],[Date]],"ddd")</f>
        <v>Tue</v>
      </c>
      <c r="C188">
        <f>HOUR(Coffee_Sales_Dataset[[#This Row],[Date]])</f>
        <v>10</v>
      </c>
      <c r="D188" t="s">
        <v>20</v>
      </c>
      <c r="E188" t="s">
        <v>34</v>
      </c>
      <c r="F188" t="s">
        <v>22</v>
      </c>
      <c r="G188">
        <v>4.8499999999999996</v>
      </c>
      <c r="H188" t="s">
        <v>15</v>
      </c>
      <c r="I188" t="s">
        <v>16</v>
      </c>
      <c r="J188" t="s">
        <v>42</v>
      </c>
      <c r="K188" t="s">
        <v>18</v>
      </c>
      <c r="L188">
        <v>9</v>
      </c>
      <c r="M188" t="s">
        <v>39</v>
      </c>
      <c r="N188">
        <v>3</v>
      </c>
    </row>
    <row r="189" spans="1:14" x14ac:dyDescent="0.35">
      <c r="A189" s="5">
        <v>45643.633333333331</v>
      </c>
      <c r="B189" s="1" t="str">
        <f>TEXT(Coffee_Sales_Dataset[[#This Row],[Date]],"ddd")</f>
        <v>Tue</v>
      </c>
      <c r="C189">
        <f>HOUR(Coffee_Sales_Dataset[[#This Row],[Date]])</f>
        <v>15</v>
      </c>
      <c r="D189" t="s">
        <v>20</v>
      </c>
      <c r="E189" t="s">
        <v>27</v>
      </c>
      <c r="F189" t="s">
        <v>14</v>
      </c>
      <c r="G189">
        <v>3.05</v>
      </c>
      <c r="H189" t="s">
        <v>28</v>
      </c>
      <c r="I189" t="s">
        <v>16</v>
      </c>
      <c r="J189" t="s">
        <v>42</v>
      </c>
      <c r="K189" t="s">
        <v>32</v>
      </c>
      <c r="L189">
        <v>8</v>
      </c>
      <c r="M189" t="s">
        <v>25</v>
      </c>
      <c r="N189">
        <v>3</v>
      </c>
    </row>
    <row r="190" spans="1:14" x14ac:dyDescent="0.35">
      <c r="A190" s="5">
        <v>45647.52847222222</v>
      </c>
      <c r="B190" s="1" t="str">
        <f>TEXT(Coffee_Sales_Dataset[[#This Row],[Date]],"ddd")</f>
        <v>Sat</v>
      </c>
      <c r="C190">
        <f>HOUR(Coffee_Sales_Dataset[[#This Row],[Date]])</f>
        <v>12</v>
      </c>
      <c r="D190" t="s">
        <v>41</v>
      </c>
      <c r="E190" t="s">
        <v>13</v>
      </c>
      <c r="F190" t="s">
        <v>22</v>
      </c>
      <c r="G190">
        <v>6.54</v>
      </c>
      <c r="H190" t="s">
        <v>30</v>
      </c>
      <c r="I190" t="s">
        <v>16</v>
      </c>
      <c r="J190" t="s">
        <v>31</v>
      </c>
      <c r="K190" t="s">
        <v>40</v>
      </c>
      <c r="L190">
        <v>5</v>
      </c>
      <c r="M190" t="s">
        <v>33</v>
      </c>
      <c r="N190">
        <v>4</v>
      </c>
    </row>
    <row r="191" spans="1:14" x14ac:dyDescent="0.35">
      <c r="A191" s="5">
        <v>45656.563888888886</v>
      </c>
      <c r="B191" s="1" t="str">
        <f>TEXT(Coffee_Sales_Dataset[[#This Row],[Date]],"ddd")</f>
        <v>Mon</v>
      </c>
      <c r="C191">
        <f>HOUR(Coffee_Sales_Dataset[[#This Row],[Date]])</f>
        <v>13</v>
      </c>
      <c r="D191" t="s">
        <v>12</v>
      </c>
      <c r="E191" t="s">
        <v>44</v>
      </c>
      <c r="F191" t="s">
        <v>35</v>
      </c>
      <c r="G191">
        <v>4.47</v>
      </c>
      <c r="H191" t="s">
        <v>30</v>
      </c>
      <c r="I191" t="s">
        <v>16</v>
      </c>
      <c r="J191" t="s">
        <v>42</v>
      </c>
      <c r="K191" t="s">
        <v>18</v>
      </c>
      <c r="L191">
        <v>5</v>
      </c>
      <c r="M191" t="s">
        <v>36</v>
      </c>
      <c r="N191">
        <v>4</v>
      </c>
    </row>
    <row r="192" spans="1:14" x14ac:dyDescent="0.35">
      <c r="A192" s="5">
        <v>45641.569444444445</v>
      </c>
      <c r="B192" s="1" t="str">
        <f>TEXT(Coffee_Sales_Dataset[[#This Row],[Date]],"ddd")</f>
        <v>Sun</v>
      </c>
      <c r="C192">
        <f>HOUR(Coffee_Sales_Dataset[[#This Row],[Date]])</f>
        <v>13</v>
      </c>
      <c r="D192" t="s">
        <v>26</v>
      </c>
      <c r="E192" t="s">
        <v>44</v>
      </c>
      <c r="F192" t="s">
        <v>35</v>
      </c>
      <c r="G192">
        <v>5.58</v>
      </c>
      <c r="H192" t="s">
        <v>15</v>
      </c>
      <c r="I192" t="s">
        <v>16</v>
      </c>
      <c r="J192" t="s">
        <v>45</v>
      </c>
      <c r="K192" t="s">
        <v>40</v>
      </c>
      <c r="L192">
        <v>6</v>
      </c>
      <c r="M192" t="s">
        <v>36</v>
      </c>
      <c r="N192">
        <v>5</v>
      </c>
    </row>
    <row r="193" spans="1:14" x14ac:dyDescent="0.35">
      <c r="A193" s="5">
        <v>45650.416666666664</v>
      </c>
      <c r="B193" s="1" t="str">
        <f>TEXT(Coffee_Sales_Dataset[[#This Row],[Date]],"ddd")</f>
        <v>Tue</v>
      </c>
      <c r="C193">
        <f>HOUR(Coffee_Sales_Dataset[[#This Row],[Date]])</f>
        <v>10</v>
      </c>
      <c r="D193" t="s">
        <v>26</v>
      </c>
      <c r="E193" t="s">
        <v>21</v>
      </c>
      <c r="F193" t="s">
        <v>14</v>
      </c>
      <c r="G193">
        <v>5.58</v>
      </c>
      <c r="H193" t="s">
        <v>15</v>
      </c>
      <c r="I193" t="s">
        <v>16</v>
      </c>
      <c r="J193" t="s">
        <v>45</v>
      </c>
      <c r="K193" t="s">
        <v>18</v>
      </c>
      <c r="L193">
        <v>3</v>
      </c>
      <c r="M193" t="s">
        <v>37</v>
      </c>
      <c r="N193">
        <v>2</v>
      </c>
    </row>
    <row r="194" spans="1:14" x14ac:dyDescent="0.35">
      <c r="A194" s="5">
        <v>45655.453472222223</v>
      </c>
      <c r="B194" s="1" t="str">
        <f>TEXT(Coffee_Sales_Dataset[[#This Row],[Date]],"ddd")</f>
        <v>Sun</v>
      </c>
      <c r="C194">
        <f>HOUR(Coffee_Sales_Dataset[[#This Row],[Date]])</f>
        <v>10</v>
      </c>
      <c r="D194" t="s">
        <v>12</v>
      </c>
      <c r="E194" t="s">
        <v>34</v>
      </c>
      <c r="F194" t="s">
        <v>35</v>
      </c>
      <c r="G194">
        <v>4.21</v>
      </c>
      <c r="H194" t="s">
        <v>28</v>
      </c>
      <c r="I194" t="s">
        <v>16</v>
      </c>
      <c r="J194" t="s">
        <v>31</v>
      </c>
      <c r="K194" t="s">
        <v>32</v>
      </c>
      <c r="L194">
        <v>8</v>
      </c>
      <c r="M194" t="s">
        <v>33</v>
      </c>
      <c r="N194">
        <v>1</v>
      </c>
    </row>
    <row r="195" spans="1:14" x14ac:dyDescent="0.35">
      <c r="A195" s="5">
        <v>45642.742361111108</v>
      </c>
      <c r="B195" s="1" t="str">
        <f>TEXT(Coffee_Sales_Dataset[[#This Row],[Date]],"ddd")</f>
        <v>Mon</v>
      </c>
      <c r="C195">
        <f>HOUR(Coffee_Sales_Dataset[[#This Row],[Date]])</f>
        <v>17</v>
      </c>
      <c r="D195" t="s">
        <v>43</v>
      </c>
      <c r="E195" t="s">
        <v>21</v>
      </c>
      <c r="F195" t="s">
        <v>14</v>
      </c>
      <c r="G195">
        <v>4.08</v>
      </c>
      <c r="H195" t="s">
        <v>30</v>
      </c>
      <c r="I195" t="s">
        <v>16</v>
      </c>
      <c r="J195" t="s">
        <v>45</v>
      </c>
      <c r="K195" t="s">
        <v>32</v>
      </c>
      <c r="L195">
        <v>2</v>
      </c>
      <c r="M195" t="s">
        <v>36</v>
      </c>
      <c r="N195">
        <v>4</v>
      </c>
    </row>
    <row r="196" spans="1:14" x14ac:dyDescent="0.35">
      <c r="A196" s="5">
        <v>45641.40902777778</v>
      </c>
      <c r="B196" s="1" t="str">
        <f>TEXT(Coffee_Sales_Dataset[[#This Row],[Date]],"ddd")</f>
        <v>Sun</v>
      </c>
      <c r="C196">
        <f>HOUR(Coffee_Sales_Dataset[[#This Row],[Date]])</f>
        <v>9</v>
      </c>
      <c r="D196" t="s">
        <v>12</v>
      </c>
      <c r="E196" t="s">
        <v>38</v>
      </c>
      <c r="F196" t="s">
        <v>22</v>
      </c>
      <c r="G196">
        <v>5.62</v>
      </c>
      <c r="H196" t="s">
        <v>28</v>
      </c>
      <c r="I196" t="s">
        <v>16</v>
      </c>
      <c r="J196" t="s">
        <v>17</v>
      </c>
      <c r="K196" t="s">
        <v>40</v>
      </c>
      <c r="L196">
        <v>7</v>
      </c>
      <c r="M196" t="s">
        <v>36</v>
      </c>
      <c r="N196">
        <v>2</v>
      </c>
    </row>
    <row r="197" spans="1:14" x14ac:dyDescent="0.35">
      <c r="A197" s="5">
        <v>45644.438888888886</v>
      </c>
      <c r="B197" s="1" t="str">
        <f>TEXT(Coffee_Sales_Dataset[[#This Row],[Date]],"ddd")</f>
        <v>Wed</v>
      </c>
      <c r="C197">
        <f>HOUR(Coffee_Sales_Dataset[[#This Row],[Date]])</f>
        <v>10</v>
      </c>
      <c r="D197" t="s">
        <v>26</v>
      </c>
      <c r="E197" t="s">
        <v>46</v>
      </c>
      <c r="F197" t="s">
        <v>35</v>
      </c>
      <c r="G197">
        <v>6.26</v>
      </c>
      <c r="H197" t="s">
        <v>30</v>
      </c>
      <c r="I197" t="s">
        <v>23</v>
      </c>
      <c r="J197" t="s">
        <v>29</v>
      </c>
      <c r="K197" t="s">
        <v>18</v>
      </c>
      <c r="L197">
        <v>4</v>
      </c>
      <c r="M197" t="s">
        <v>33</v>
      </c>
      <c r="N197">
        <v>2</v>
      </c>
    </row>
    <row r="198" spans="1:14" x14ac:dyDescent="0.35">
      <c r="A198" s="5">
        <v>45645.602777777778</v>
      </c>
      <c r="B198" s="1" t="str">
        <f>TEXT(Coffee_Sales_Dataset[[#This Row],[Date]],"ddd")</f>
        <v>Thu</v>
      </c>
      <c r="C198">
        <f>HOUR(Coffee_Sales_Dataset[[#This Row],[Date]])</f>
        <v>14</v>
      </c>
      <c r="D198" t="s">
        <v>41</v>
      </c>
      <c r="E198" t="s">
        <v>13</v>
      </c>
      <c r="F198" t="s">
        <v>35</v>
      </c>
      <c r="G198">
        <v>3.66</v>
      </c>
      <c r="H198" t="s">
        <v>15</v>
      </c>
      <c r="I198" t="s">
        <v>23</v>
      </c>
      <c r="J198" t="s">
        <v>42</v>
      </c>
      <c r="K198" t="s">
        <v>40</v>
      </c>
      <c r="L198">
        <v>6</v>
      </c>
      <c r="M198" t="s">
        <v>39</v>
      </c>
      <c r="N198">
        <v>3</v>
      </c>
    </row>
    <row r="199" spans="1:14" x14ac:dyDescent="0.35">
      <c r="A199" s="5">
        <v>45641.479166666664</v>
      </c>
      <c r="B199" s="1" t="str">
        <f>TEXT(Coffee_Sales_Dataset[[#This Row],[Date]],"ddd")</f>
        <v>Sun</v>
      </c>
      <c r="C199">
        <f>HOUR(Coffee_Sales_Dataset[[#This Row],[Date]])</f>
        <v>11</v>
      </c>
      <c r="D199" t="s">
        <v>12</v>
      </c>
      <c r="E199" t="s">
        <v>44</v>
      </c>
      <c r="F199" t="s">
        <v>14</v>
      </c>
      <c r="G199">
        <v>3.04</v>
      </c>
      <c r="H199" t="s">
        <v>15</v>
      </c>
      <c r="I199" t="s">
        <v>23</v>
      </c>
      <c r="J199" t="s">
        <v>45</v>
      </c>
      <c r="K199" t="s">
        <v>18</v>
      </c>
      <c r="L199">
        <v>2</v>
      </c>
      <c r="M199" t="s">
        <v>39</v>
      </c>
      <c r="N199">
        <v>2</v>
      </c>
    </row>
    <row r="200" spans="1:14" x14ac:dyDescent="0.35">
      <c r="A200" s="5">
        <v>45649.35</v>
      </c>
      <c r="B200" s="1" t="str">
        <f>TEXT(Coffee_Sales_Dataset[[#This Row],[Date]],"ddd")</f>
        <v>Mon</v>
      </c>
      <c r="C200">
        <f>HOUR(Coffee_Sales_Dataset[[#This Row],[Date]])</f>
        <v>8</v>
      </c>
      <c r="D200" t="s">
        <v>41</v>
      </c>
      <c r="E200" t="s">
        <v>38</v>
      </c>
      <c r="F200" t="s">
        <v>22</v>
      </c>
      <c r="G200">
        <v>6.73</v>
      </c>
      <c r="H200" t="s">
        <v>15</v>
      </c>
      <c r="I200" t="s">
        <v>16</v>
      </c>
      <c r="J200" t="s">
        <v>31</v>
      </c>
      <c r="K200" t="s">
        <v>32</v>
      </c>
      <c r="L200">
        <v>7</v>
      </c>
      <c r="M200" t="s">
        <v>47</v>
      </c>
      <c r="N200">
        <v>3</v>
      </c>
    </row>
    <row r="201" spans="1:14" x14ac:dyDescent="0.35">
      <c r="A201" s="5">
        <v>45656.474305555559</v>
      </c>
      <c r="B201" s="1" t="str">
        <f>TEXT(Coffee_Sales_Dataset[[#This Row],[Date]],"ddd")</f>
        <v>Mon</v>
      </c>
      <c r="C201">
        <f>HOUR(Coffee_Sales_Dataset[[#This Row],[Date]])</f>
        <v>11</v>
      </c>
      <c r="D201" t="s">
        <v>12</v>
      </c>
      <c r="E201" t="s">
        <v>46</v>
      </c>
      <c r="F201" t="s">
        <v>35</v>
      </c>
      <c r="G201">
        <v>3.23</v>
      </c>
      <c r="H201" t="s">
        <v>15</v>
      </c>
      <c r="I201" t="s">
        <v>16</v>
      </c>
      <c r="J201" t="s">
        <v>29</v>
      </c>
      <c r="K201" t="s">
        <v>40</v>
      </c>
      <c r="L201">
        <v>9</v>
      </c>
      <c r="M201" t="s">
        <v>33</v>
      </c>
      <c r="N201">
        <v>4</v>
      </c>
    </row>
    <row r="202" spans="1:14" x14ac:dyDescent="0.35">
      <c r="A202" s="5">
        <v>45652.417361111111</v>
      </c>
      <c r="B202" s="1" t="str">
        <f>TEXT(Coffee_Sales_Dataset[[#This Row],[Date]],"ddd")</f>
        <v>Thu</v>
      </c>
      <c r="C202">
        <f>HOUR(Coffee_Sales_Dataset[[#This Row],[Date]])</f>
        <v>10</v>
      </c>
      <c r="D202" t="s">
        <v>41</v>
      </c>
      <c r="E202" t="s">
        <v>13</v>
      </c>
      <c r="F202" t="s">
        <v>35</v>
      </c>
      <c r="G202">
        <v>4.12</v>
      </c>
      <c r="H202" t="s">
        <v>28</v>
      </c>
      <c r="I202" t="s">
        <v>23</v>
      </c>
      <c r="J202" t="s">
        <v>24</v>
      </c>
      <c r="K202" t="s">
        <v>32</v>
      </c>
      <c r="L202">
        <v>9</v>
      </c>
      <c r="M202" t="s">
        <v>37</v>
      </c>
      <c r="N202">
        <v>4</v>
      </c>
    </row>
    <row r="203" spans="1:14" x14ac:dyDescent="0.35">
      <c r="A203" s="5">
        <v>45651.361111111109</v>
      </c>
      <c r="B203" s="1" t="str">
        <f>TEXT(Coffee_Sales_Dataset[[#This Row],[Date]],"ddd")</f>
        <v>Wed</v>
      </c>
      <c r="C203">
        <f>HOUR(Coffee_Sales_Dataset[[#This Row],[Date]])</f>
        <v>8</v>
      </c>
      <c r="D203" t="s">
        <v>43</v>
      </c>
      <c r="E203" t="s">
        <v>13</v>
      </c>
      <c r="F203" t="s">
        <v>35</v>
      </c>
      <c r="G203">
        <v>4.4400000000000004</v>
      </c>
      <c r="H203" t="s">
        <v>30</v>
      </c>
      <c r="I203" t="s">
        <v>16</v>
      </c>
      <c r="J203" t="s">
        <v>45</v>
      </c>
      <c r="K203" t="s">
        <v>32</v>
      </c>
      <c r="L203">
        <v>5</v>
      </c>
      <c r="M203" t="s">
        <v>37</v>
      </c>
      <c r="N203">
        <v>4</v>
      </c>
    </row>
    <row r="204" spans="1:14" x14ac:dyDescent="0.35">
      <c r="A204" s="5">
        <v>45647.743055555555</v>
      </c>
      <c r="B204" s="1" t="str">
        <f>TEXT(Coffee_Sales_Dataset[[#This Row],[Date]],"ddd")</f>
        <v>Sat</v>
      </c>
      <c r="C204">
        <f>HOUR(Coffee_Sales_Dataset[[#This Row],[Date]])</f>
        <v>17</v>
      </c>
      <c r="D204" t="s">
        <v>26</v>
      </c>
      <c r="E204" t="s">
        <v>34</v>
      </c>
      <c r="F204" t="s">
        <v>22</v>
      </c>
      <c r="G204">
        <v>6.76</v>
      </c>
      <c r="H204" t="s">
        <v>15</v>
      </c>
      <c r="I204" t="s">
        <v>23</v>
      </c>
      <c r="J204" t="s">
        <v>45</v>
      </c>
      <c r="K204" t="s">
        <v>32</v>
      </c>
      <c r="L204">
        <v>6</v>
      </c>
      <c r="M204" t="s">
        <v>37</v>
      </c>
      <c r="N204">
        <v>2</v>
      </c>
    </row>
    <row r="205" spans="1:14" x14ac:dyDescent="0.35">
      <c r="A205" s="5">
        <v>45652.705555555556</v>
      </c>
      <c r="B205" s="1" t="str">
        <f>TEXT(Coffee_Sales_Dataset[[#This Row],[Date]],"ddd")</f>
        <v>Thu</v>
      </c>
      <c r="C205">
        <f>HOUR(Coffee_Sales_Dataset[[#This Row],[Date]])</f>
        <v>16</v>
      </c>
      <c r="D205" t="s">
        <v>41</v>
      </c>
      <c r="E205" t="s">
        <v>21</v>
      </c>
      <c r="F205" t="s">
        <v>35</v>
      </c>
      <c r="G205">
        <v>5.0199999999999996</v>
      </c>
      <c r="H205" t="s">
        <v>30</v>
      </c>
      <c r="I205" t="s">
        <v>16</v>
      </c>
      <c r="J205" t="s">
        <v>29</v>
      </c>
      <c r="K205" t="s">
        <v>32</v>
      </c>
      <c r="L205">
        <v>10</v>
      </c>
      <c r="M205" t="s">
        <v>33</v>
      </c>
      <c r="N205">
        <v>4</v>
      </c>
    </row>
    <row r="206" spans="1:14" x14ac:dyDescent="0.35">
      <c r="A206" s="5">
        <v>45643.629861111112</v>
      </c>
      <c r="B206" s="1" t="str">
        <f>TEXT(Coffee_Sales_Dataset[[#This Row],[Date]],"ddd")</f>
        <v>Tue</v>
      </c>
      <c r="C206">
        <f>HOUR(Coffee_Sales_Dataset[[#This Row],[Date]])</f>
        <v>15</v>
      </c>
      <c r="D206" t="s">
        <v>12</v>
      </c>
      <c r="E206" t="s">
        <v>44</v>
      </c>
      <c r="F206" t="s">
        <v>35</v>
      </c>
      <c r="G206">
        <v>3.96</v>
      </c>
      <c r="H206" t="s">
        <v>30</v>
      </c>
      <c r="I206" t="s">
        <v>23</v>
      </c>
      <c r="J206" t="s">
        <v>45</v>
      </c>
      <c r="K206" t="s">
        <v>18</v>
      </c>
      <c r="L206">
        <v>3</v>
      </c>
      <c r="M206" t="s">
        <v>39</v>
      </c>
      <c r="N206">
        <v>4</v>
      </c>
    </row>
    <row r="207" spans="1:14" x14ac:dyDescent="0.35">
      <c r="A207" s="5">
        <v>45656.340277777781</v>
      </c>
      <c r="B207" s="1" t="str">
        <f>TEXT(Coffee_Sales_Dataset[[#This Row],[Date]],"ddd")</f>
        <v>Mon</v>
      </c>
      <c r="C207">
        <f>HOUR(Coffee_Sales_Dataset[[#This Row],[Date]])</f>
        <v>8</v>
      </c>
      <c r="D207" t="s">
        <v>43</v>
      </c>
      <c r="E207" t="s">
        <v>46</v>
      </c>
      <c r="F207" t="s">
        <v>22</v>
      </c>
      <c r="G207">
        <v>3.88</v>
      </c>
      <c r="H207" t="s">
        <v>15</v>
      </c>
      <c r="I207" t="s">
        <v>16</v>
      </c>
      <c r="J207" t="s">
        <v>45</v>
      </c>
      <c r="K207" t="s">
        <v>40</v>
      </c>
      <c r="L207">
        <v>4</v>
      </c>
      <c r="M207" t="s">
        <v>37</v>
      </c>
      <c r="N207">
        <v>4</v>
      </c>
    </row>
    <row r="208" spans="1:14" x14ac:dyDescent="0.35">
      <c r="A208" s="5">
        <v>45642.579861111109</v>
      </c>
      <c r="B208" s="1" t="str">
        <f>TEXT(Coffee_Sales_Dataset[[#This Row],[Date]],"ddd")</f>
        <v>Mon</v>
      </c>
      <c r="C208">
        <f>HOUR(Coffee_Sales_Dataset[[#This Row],[Date]])</f>
        <v>13</v>
      </c>
      <c r="D208" t="s">
        <v>20</v>
      </c>
      <c r="E208" t="s">
        <v>38</v>
      </c>
      <c r="F208" t="s">
        <v>35</v>
      </c>
      <c r="G208">
        <v>3.26</v>
      </c>
      <c r="H208" t="s">
        <v>15</v>
      </c>
      <c r="I208" t="s">
        <v>16</v>
      </c>
      <c r="J208" t="s">
        <v>45</v>
      </c>
      <c r="K208" t="s">
        <v>18</v>
      </c>
      <c r="L208">
        <v>8</v>
      </c>
      <c r="M208" t="s">
        <v>19</v>
      </c>
      <c r="N208">
        <v>5</v>
      </c>
    </row>
    <row r="209" spans="1:14" x14ac:dyDescent="0.35">
      <c r="A209" s="5">
        <v>45656.618750000001</v>
      </c>
      <c r="B209" s="1" t="str">
        <f>TEXT(Coffee_Sales_Dataset[[#This Row],[Date]],"ddd")</f>
        <v>Mon</v>
      </c>
      <c r="C209">
        <f>HOUR(Coffee_Sales_Dataset[[#This Row],[Date]])</f>
        <v>14</v>
      </c>
      <c r="D209" t="s">
        <v>20</v>
      </c>
      <c r="E209" t="s">
        <v>27</v>
      </c>
      <c r="F209" t="s">
        <v>22</v>
      </c>
      <c r="G209">
        <v>3.46</v>
      </c>
      <c r="H209" t="s">
        <v>30</v>
      </c>
      <c r="I209" t="s">
        <v>23</v>
      </c>
      <c r="J209" t="s">
        <v>29</v>
      </c>
      <c r="K209" t="s">
        <v>32</v>
      </c>
      <c r="L209">
        <v>5</v>
      </c>
      <c r="M209" t="s">
        <v>19</v>
      </c>
      <c r="N209">
        <v>1</v>
      </c>
    </row>
    <row r="210" spans="1:14" x14ac:dyDescent="0.35">
      <c r="A210" s="5">
        <v>45650.45416666667</v>
      </c>
      <c r="B210" s="1" t="str">
        <f>TEXT(Coffee_Sales_Dataset[[#This Row],[Date]],"ddd")</f>
        <v>Tue</v>
      </c>
      <c r="C210">
        <f>HOUR(Coffee_Sales_Dataset[[#This Row],[Date]])</f>
        <v>10</v>
      </c>
      <c r="D210" t="s">
        <v>43</v>
      </c>
      <c r="E210" t="s">
        <v>46</v>
      </c>
      <c r="F210" t="s">
        <v>35</v>
      </c>
      <c r="G210">
        <v>5.95</v>
      </c>
      <c r="H210" t="s">
        <v>15</v>
      </c>
      <c r="I210" t="s">
        <v>23</v>
      </c>
      <c r="J210" t="s">
        <v>31</v>
      </c>
      <c r="K210" t="s">
        <v>18</v>
      </c>
      <c r="L210">
        <v>5</v>
      </c>
      <c r="M210" t="s">
        <v>33</v>
      </c>
      <c r="N210">
        <v>4</v>
      </c>
    </row>
    <row r="211" spans="1:14" x14ac:dyDescent="0.35">
      <c r="A211" s="5">
        <v>45656.575694444444</v>
      </c>
      <c r="B211" s="1" t="str">
        <f>TEXT(Coffee_Sales_Dataset[[#This Row],[Date]],"ddd")</f>
        <v>Mon</v>
      </c>
      <c r="C211">
        <f>HOUR(Coffee_Sales_Dataset[[#This Row],[Date]])</f>
        <v>13</v>
      </c>
      <c r="D211" t="s">
        <v>43</v>
      </c>
      <c r="E211" t="s">
        <v>21</v>
      </c>
      <c r="F211" t="s">
        <v>35</v>
      </c>
      <c r="G211">
        <v>6.74</v>
      </c>
      <c r="H211" t="s">
        <v>30</v>
      </c>
      <c r="I211" t="s">
        <v>23</v>
      </c>
      <c r="J211" t="s">
        <v>29</v>
      </c>
      <c r="K211" t="s">
        <v>32</v>
      </c>
      <c r="L211">
        <v>2</v>
      </c>
      <c r="M211" t="s">
        <v>37</v>
      </c>
      <c r="N211">
        <v>4</v>
      </c>
    </row>
    <row r="212" spans="1:14" x14ac:dyDescent="0.35">
      <c r="A212" s="5">
        <v>45646.536805555559</v>
      </c>
      <c r="B212" s="1" t="str">
        <f>TEXT(Coffee_Sales_Dataset[[#This Row],[Date]],"ddd")</f>
        <v>Fri</v>
      </c>
      <c r="C212">
        <f>HOUR(Coffee_Sales_Dataset[[#This Row],[Date]])</f>
        <v>12</v>
      </c>
      <c r="D212" t="s">
        <v>20</v>
      </c>
      <c r="E212" t="s">
        <v>46</v>
      </c>
      <c r="F212" t="s">
        <v>35</v>
      </c>
      <c r="G212">
        <v>4.82</v>
      </c>
      <c r="H212" t="s">
        <v>28</v>
      </c>
      <c r="I212" t="s">
        <v>16</v>
      </c>
      <c r="J212" t="s">
        <v>17</v>
      </c>
      <c r="K212" t="s">
        <v>18</v>
      </c>
      <c r="L212">
        <v>2</v>
      </c>
      <c r="M212" t="s">
        <v>37</v>
      </c>
      <c r="N212">
        <v>3</v>
      </c>
    </row>
    <row r="213" spans="1:14" x14ac:dyDescent="0.35">
      <c r="A213" s="5">
        <v>45645.386805555558</v>
      </c>
      <c r="B213" s="1" t="str">
        <f>TEXT(Coffee_Sales_Dataset[[#This Row],[Date]],"ddd")</f>
        <v>Thu</v>
      </c>
      <c r="C213">
        <f>HOUR(Coffee_Sales_Dataset[[#This Row],[Date]])</f>
        <v>9</v>
      </c>
      <c r="D213" t="s">
        <v>41</v>
      </c>
      <c r="E213" t="s">
        <v>46</v>
      </c>
      <c r="F213" t="s">
        <v>35</v>
      </c>
      <c r="G213">
        <v>6.31</v>
      </c>
      <c r="H213" t="s">
        <v>15</v>
      </c>
      <c r="I213" t="s">
        <v>16</v>
      </c>
      <c r="J213" t="s">
        <v>45</v>
      </c>
      <c r="K213" t="s">
        <v>32</v>
      </c>
      <c r="L213">
        <v>2</v>
      </c>
      <c r="M213" t="s">
        <v>33</v>
      </c>
      <c r="N213">
        <v>3</v>
      </c>
    </row>
    <row r="214" spans="1:14" x14ac:dyDescent="0.35">
      <c r="A214" s="5">
        <v>45643.495833333334</v>
      </c>
      <c r="B214" s="1" t="str">
        <f>TEXT(Coffee_Sales_Dataset[[#This Row],[Date]],"ddd")</f>
        <v>Tue</v>
      </c>
      <c r="C214">
        <f>HOUR(Coffee_Sales_Dataset[[#This Row],[Date]])</f>
        <v>11</v>
      </c>
      <c r="D214" t="s">
        <v>20</v>
      </c>
      <c r="E214" t="s">
        <v>44</v>
      </c>
      <c r="F214" t="s">
        <v>35</v>
      </c>
      <c r="G214">
        <v>3.21</v>
      </c>
      <c r="H214" t="s">
        <v>30</v>
      </c>
      <c r="I214" t="s">
        <v>16</v>
      </c>
      <c r="J214" t="s">
        <v>45</v>
      </c>
      <c r="K214" t="s">
        <v>32</v>
      </c>
      <c r="L214">
        <v>6</v>
      </c>
      <c r="M214" t="s">
        <v>33</v>
      </c>
      <c r="N214">
        <v>2</v>
      </c>
    </row>
    <row r="215" spans="1:14" x14ac:dyDescent="0.35">
      <c r="A215" s="5">
        <v>45656.684027777781</v>
      </c>
      <c r="B215" s="1" t="str">
        <f>TEXT(Coffee_Sales_Dataset[[#This Row],[Date]],"ddd")</f>
        <v>Mon</v>
      </c>
      <c r="C215">
        <f>HOUR(Coffee_Sales_Dataset[[#This Row],[Date]])</f>
        <v>16</v>
      </c>
      <c r="D215" t="s">
        <v>43</v>
      </c>
      <c r="E215" t="s">
        <v>46</v>
      </c>
      <c r="F215" t="s">
        <v>35</v>
      </c>
      <c r="G215">
        <v>4.8899999999999997</v>
      </c>
      <c r="H215" t="s">
        <v>15</v>
      </c>
      <c r="I215" t="s">
        <v>16</v>
      </c>
      <c r="J215" t="s">
        <v>42</v>
      </c>
      <c r="K215" t="s">
        <v>40</v>
      </c>
      <c r="L215">
        <v>10</v>
      </c>
      <c r="M215" t="s">
        <v>19</v>
      </c>
      <c r="N215">
        <v>3</v>
      </c>
    </row>
    <row r="216" spans="1:14" x14ac:dyDescent="0.35">
      <c r="A216" s="5">
        <v>45645.488888888889</v>
      </c>
      <c r="B216" s="1" t="str">
        <f>TEXT(Coffee_Sales_Dataset[[#This Row],[Date]],"ddd")</f>
        <v>Thu</v>
      </c>
      <c r="C216">
        <f>HOUR(Coffee_Sales_Dataset[[#This Row],[Date]])</f>
        <v>11</v>
      </c>
      <c r="D216" t="s">
        <v>41</v>
      </c>
      <c r="E216" t="s">
        <v>46</v>
      </c>
      <c r="F216" t="s">
        <v>14</v>
      </c>
      <c r="G216">
        <v>3.52</v>
      </c>
      <c r="H216" t="s">
        <v>28</v>
      </c>
      <c r="I216" t="s">
        <v>23</v>
      </c>
      <c r="J216" t="s">
        <v>45</v>
      </c>
      <c r="K216" t="s">
        <v>32</v>
      </c>
      <c r="L216">
        <v>9</v>
      </c>
      <c r="M216" t="s">
        <v>19</v>
      </c>
      <c r="N216">
        <v>2</v>
      </c>
    </row>
    <row r="217" spans="1:14" x14ac:dyDescent="0.35">
      <c r="A217" s="5">
        <v>45650.655555555553</v>
      </c>
      <c r="B217" s="1" t="str">
        <f>TEXT(Coffee_Sales_Dataset[[#This Row],[Date]],"ddd")</f>
        <v>Tue</v>
      </c>
      <c r="C217">
        <f>HOUR(Coffee_Sales_Dataset[[#This Row],[Date]])</f>
        <v>15</v>
      </c>
      <c r="D217" t="s">
        <v>12</v>
      </c>
      <c r="E217" t="s">
        <v>34</v>
      </c>
      <c r="F217" t="s">
        <v>14</v>
      </c>
      <c r="G217">
        <v>3.84</v>
      </c>
      <c r="H217" t="s">
        <v>28</v>
      </c>
      <c r="I217" t="s">
        <v>23</v>
      </c>
      <c r="J217" t="s">
        <v>45</v>
      </c>
      <c r="K217" t="s">
        <v>18</v>
      </c>
      <c r="L217">
        <v>2</v>
      </c>
      <c r="M217" t="s">
        <v>47</v>
      </c>
      <c r="N217">
        <v>5</v>
      </c>
    </row>
    <row r="218" spans="1:14" x14ac:dyDescent="0.35">
      <c r="A218" s="5">
        <v>45642.433333333334</v>
      </c>
      <c r="B218" s="1" t="str">
        <f>TEXT(Coffee_Sales_Dataset[[#This Row],[Date]],"ddd")</f>
        <v>Mon</v>
      </c>
      <c r="C218">
        <f>HOUR(Coffee_Sales_Dataset[[#This Row],[Date]])</f>
        <v>10</v>
      </c>
      <c r="D218" t="s">
        <v>12</v>
      </c>
      <c r="E218" t="s">
        <v>44</v>
      </c>
      <c r="F218" t="s">
        <v>14</v>
      </c>
      <c r="G218">
        <v>6.7</v>
      </c>
      <c r="H218" t="s">
        <v>30</v>
      </c>
      <c r="I218" t="s">
        <v>16</v>
      </c>
      <c r="J218" t="s">
        <v>42</v>
      </c>
      <c r="K218" t="s">
        <v>40</v>
      </c>
      <c r="L218">
        <v>2</v>
      </c>
      <c r="M218" t="s">
        <v>39</v>
      </c>
      <c r="N218">
        <v>5</v>
      </c>
    </row>
    <row r="219" spans="1:14" x14ac:dyDescent="0.35">
      <c r="A219" s="5">
        <v>45651.727083333331</v>
      </c>
      <c r="B219" s="1" t="str">
        <f>TEXT(Coffee_Sales_Dataset[[#This Row],[Date]],"ddd")</f>
        <v>Wed</v>
      </c>
      <c r="C219">
        <f>HOUR(Coffee_Sales_Dataset[[#This Row],[Date]])</f>
        <v>17</v>
      </c>
      <c r="D219" t="s">
        <v>20</v>
      </c>
      <c r="E219" t="s">
        <v>44</v>
      </c>
      <c r="F219" t="s">
        <v>35</v>
      </c>
      <c r="G219">
        <v>4.62</v>
      </c>
      <c r="H219" t="s">
        <v>30</v>
      </c>
      <c r="I219" t="s">
        <v>23</v>
      </c>
      <c r="J219" t="s">
        <v>17</v>
      </c>
      <c r="K219" t="s">
        <v>32</v>
      </c>
      <c r="L219">
        <v>9</v>
      </c>
      <c r="M219" t="s">
        <v>47</v>
      </c>
      <c r="N219">
        <v>5</v>
      </c>
    </row>
    <row r="220" spans="1:14" x14ac:dyDescent="0.35">
      <c r="A220" s="5">
        <v>45656.617361111108</v>
      </c>
      <c r="B220" s="1" t="str">
        <f>TEXT(Coffee_Sales_Dataset[[#This Row],[Date]],"ddd")</f>
        <v>Mon</v>
      </c>
      <c r="C220">
        <f>HOUR(Coffee_Sales_Dataset[[#This Row],[Date]])</f>
        <v>14</v>
      </c>
      <c r="D220" t="s">
        <v>26</v>
      </c>
      <c r="E220" t="s">
        <v>21</v>
      </c>
      <c r="F220" t="s">
        <v>22</v>
      </c>
      <c r="G220">
        <v>6.46</v>
      </c>
      <c r="H220" t="s">
        <v>28</v>
      </c>
      <c r="I220" t="s">
        <v>16</v>
      </c>
      <c r="J220" t="s">
        <v>24</v>
      </c>
      <c r="K220" t="s">
        <v>18</v>
      </c>
      <c r="L220">
        <v>9</v>
      </c>
      <c r="M220" t="s">
        <v>47</v>
      </c>
      <c r="N220">
        <v>1</v>
      </c>
    </row>
    <row r="221" spans="1:14" x14ac:dyDescent="0.35">
      <c r="A221" s="5">
        <v>45642.379861111112</v>
      </c>
      <c r="B221" s="1" t="str">
        <f>TEXT(Coffee_Sales_Dataset[[#This Row],[Date]],"ddd")</f>
        <v>Mon</v>
      </c>
      <c r="C221">
        <f>HOUR(Coffee_Sales_Dataset[[#This Row],[Date]])</f>
        <v>9</v>
      </c>
      <c r="D221" t="s">
        <v>12</v>
      </c>
      <c r="E221" t="s">
        <v>44</v>
      </c>
      <c r="F221" t="s">
        <v>35</v>
      </c>
      <c r="G221">
        <v>6.63</v>
      </c>
      <c r="H221" t="s">
        <v>30</v>
      </c>
      <c r="I221" t="s">
        <v>23</v>
      </c>
      <c r="J221" t="s">
        <v>31</v>
      </c>
      <c r="K221" t="s">
        <v>18</v>
      </c>
      <c r="L221">
        <v>9</v>
      </c>
      <c r="M221" t="s">
        <v>47</v>
      </c>
      <c r="N221">
        <v>1</v>
      </c>
    </row>
    <row r="222" spans="1:14" x14ac:dyDescent="0.35">
      <c r="A222" s="5">
        <v>45653.433333333334</v>
      </c>
      <c r="B222" s="1" t="str">
        <f>TEXT(Coffee_Sales_Dataset[[#This Row],[Date]],"ddd")</f>
        <v>Fri</v>
      </c>
      <c r="C222">
        <f>HOUR(Coffee_Sales_Dataset[[#This Row],[Date]])</f>
        <v>10</v>
      </c>
      <c r="D222" t="s">
        <v>12</v>
      </c>
      <c r="E222" t="s">
        <v>44</v>
      </c>
      <c r="F222" t="s">
        <v>35</v>
      </c>
      <c r="G222">
        <v>4.7300000000000004</v>
      </c>
      <c r="H222" t="s">
        <v>28</v>
      </c>
      <c r="I222" t="s">
        <v>23</v>
      </c>
      <c r="J222" t="s">
        <v>29</v>
      </c>
      <c r="K222" t="s">
        <v>32</v>
      </c>
      <c r="L222">
        <v>3</v>
      </c>
      <c r="M222" t="s">
        <v>19</v>
      </c>
      <c r="N222">
        <v>5</v>
      </c>
    </row>
    <row r="223" spans="1:14" x14ac:dyDescent="0.35">
      <c r="A223" s="5">
        <v>45643.350694444445</v>
      </c>
      <c r="B223" s="1" t="str">
        <f>TEXT(Coffee_Sales_Dataset[[#This Row],[Date]],"ddd")</f>
        <v>Tue</v>
      </c>
      <c r="C223">
        <f>HOUR(Coffee_Sales_Dataset[[#This Row],[Date]])</f>
        <v>8</v>
      </c>
      <c r="D223" t="s">
        <v>41</v>
      </c>
      <c r="E223" t="s">
        <v>21</v>
      </c>
      <c r="F223" t="s">
        <v>35</v>
      </c>
      <c r="G223">
        <v>6.13</v>
      </c>
      <c r="H223" t="s">
        <v>28</v>
      </c>
      <c r="I223" t="s">
        <v>16</v>
      </c>
      <c r="J223" t="s">
        <v>29</v>
      </c>
      <c r="K223" t="s">
        <v>18</v>
      </c>
      <c r="L223">
        <v>10</v>
      </c>
      <c r="M223" t="s">
        <v>19</v>
      </c>
      <c r="N223">
        <v>1</v>
      </c>
    </row>
    <row r="224" spans="1:14" x14ac:dyDescent="0.35">
      <c r="A224" s="5">
        <v>45653.487500000003</v>
      </c>
      <c r="B224" s="1" t="str">
        <f>TEXT(Coffee_Sales_Dataset[[#This Row],[Date]],"ddd")</f>
        <v>Fri</v>
      </c>
      <c r="C224">
        <f>HOUR(Coffee_Sales_Dataset[[#This Row],[Date]])</f>
        <v>11</v>
      </c>
      <c r="D224" t="s">
        <v>26</v>
      </c>
      <c r="E224" t="s">
        <v>27</v>
      </c>
      <c r="F224" t="s">
        <v>35</v>
      </c>
      <c r="G224">
        <v>5.78</v>
      </c>
      <c r="H224" t="s">
        <v>30</v>
      </c>
      <c r="I224" t="s">
        <v>16</v>
      </c>
      <c r="J224" t="s">
        <v>24</v>
      </c>
      <c r="K224" t="s">
        <v>40</v>
      </c>
      <c r="L224">
        <v>2</v>
      </c>
      <c r="M224" t="s">
        <v>36</v>
      </c>
      <c r="N224">
        <v>5</v>
      </c>
    </row>
    <row r="225" spans="1:14" x14ac:dyDescent="0.35">
      <c r="A225" s="5">
        <v>45644.420138888891</v>
      </c>
      <c r="B225" s="1" t="str">
        <f>TEXT(Coffee_Sales_Dataset[[#This Row],[Date]],"ddd")</f>
        <v>Wed</v>
      </c>
      <c r="C225">
        <f>HOUR(Coffee_Sales_Dataset[[#This Row],[Date]])</f>
        <v>10</v>
      </c>
      <c r="D225" t="s">
        <v>41</v>
      </c>
      <c r="E225" t="s">
        <v>34</v>
      </c>
      <c r="F225" t="s">
        <v>14</v>
      </c>
      <c r="G225">
        <v>3.34</v>
      </c>
      <c r="H225" t="s">
        <v>30</v>
      </c>
      <c r="I225" t="s">
        <v>16</v>
      </c>
      <c r="J225" t="s">
        <v>24</v>
      </c>
      <c r="K225" t="s">
        <v>18</v>
      </c>
      <c r="L225">
        <v>4</v>
      </c>
      <c r="M225" t="s">
        <v>25</v>
      </c>
      <c r="N225">
        <v>1</v>
      </c>
    </row>
    <row r="226" spans="1:14" x14ac:dyDescent="0.35">
      <c r="A226" s="5">
        <v>45644.356249999997</v>
      </c>
      <c r="B226" s="1" t="str">
        <f>TEXT(Coffee_Sales_Dataset[[#This Row],[Date]],"ddd")</f>
        <v>Wed</v>
      </c>
      <c r="C226">
        <f>HOUR(Coffee_Sales_Dataset[[#This Row],[Date]])</f>
        <v>8</v>
      </c>
      <c r="D226" t="s">
        <v>43</v>
      </c>
      <c r="E226" t="s">
        <v>44</v>
      </c>
      <c r="F226" t="s">
        <v>35</v>
      </c>
      <c r="G226">
        <v>4.78</v>
      </c>
      <c r="H226" t="s">
        <v>28</v>
      </c>
      <c r="I226" t="s">
        <v>16</v>
      </c>
      <c r="J226" t="s">
        <v>45</v>
      </c>
      <c r="K226" t="s">
        <v>32</v>
      </c>
      <c r="L226">
        <v>10</v>
      </c>
      <c r="M226" t="s">
        <v>47</v>
      </c>
      <c r="N226">
        <v>5</v>
      </c>
    </row>
    <row r="227" spans="1:14" x14ac:dyDescent="0.35">
      <c r="A227" s="5">
        <v>45649.488888888889</v>
      </c>
      <c r="B227" s="1" t="str">
        <f>TEXT(Coffee_Sales_Dataset[[#This Row],[Date]],"ddd")</f>
        <v>Mon</v>
      </c>
      <c r="C227">
        <f>HOUR(Coffee_Sales_Dataset[[#This Row],[Date]])</f>
        <v>11</v>
      </c>
      <c r="D227" t="s">
        <v>26</v>
      </c>
      <c r="E227" t="s">
        <v>44</v>
      </c>
      <c r="F227" t="s">
        <v>14</v>
      </c>
      <c r="G227">
        <v>3.95</v>
      </c>
      <c r="H227" t="s">
        <v>30</v>
      </c>
      <c r="I227" t="s">
        <v>23</v>
      </c>
      <c r="J227" t="s">
        <v>24</v>
      </c>
      <c r="K227" t="s">
        <v>40</v>
      </c>
      <c r="L227">
        <v>4</v>
      </c>
      <c r="M227" t="s">
        <v>37</v>
      </c>
      <c r="N227">
        <v>5</v>
      </c>
    </row>
    <row r="228" spans="1:14" x14ac:dyDescent="0.35">
      <c r="A228" s="5">
        <v>45644.553472222222</v>
      </c>
      <c r="B228" s="1" t="str">
        <f>TEXT(Coffee_Sales_Dataset[[#This Row],[Date]],"ddd")</f>
        <v>Wed</v>
      </c>
      <c r="C228">
        <f>HOUR(Coffee_Sales_Dataset[[#This Row],[Date]])</f>
        <v>13</v>
      </c>
      <c r="D228" t="s">
        <v>20</v>
      </c>
      <c r="E228" t="s">
        <v>44</v>
      </c>
      <c r="F228" t="s">
        <v>35</v>
      </c>
      <c r="G228">
        <v>4.6900000000000004</v>
      </c>
      <c r="H228" t="s">
        <v>28</v>
      </c>
      <c r="I228" t="s">
        <v>16</v>
      </c>
      <c r="J228" t="s">
        <v>24</v>
      </c>
      <c r="K228" t="s">
        <v>32</v>
      </c>
      <c r="L228">
        <v>4</v>
      </c>
      <c r="M228" t="s">
        <v>25</v>
      </c>
      <c r="N228">
        <v>4</v>
      </c>
    </row>
    <row r="229" spans="1:14" x14ac:dyDescent="0.35">
      <c r="A229" s="5">
        <v>45642.529861111114</v>
      </c>
      <c r="B229" s="1" t="str">
        <f>TEXT(Coffee_Sales_Dataset[[#This Row],[Date]],"ddd")</f>
        <v>Mon</v>
      </c>
      <c r="C229">
        <f>HOUR(Coffee_Sales_Dataset[[#This Row],[Date]])</f>
        <v>12</v>
      </c>
      <c r="D229" t="s">
        <v>12</v>
      </c>
      <c r="E229" t="s">
        <v>44</v>
      </c>
      <c r="F229" t="s">
        <v>14</v>
      </c>
      <c r="G229">
        <v>5.14</v>
      </c>
      <c r="H229" t="s">
        <v>30</v>
      </c>
      <c r="I229" t="s">
        <v>16</v>
      </c>
      <c r="J229" t="s">
        <v>45</v>
      </c>
      <c r="K229" t="s">
        <v>18</v>
      </c>
      <c r="L229">
        <v>5</v>
      </c>
      <c r="M229" t="s">
        <v>19</v>
      </c>
      <c r="N229">
        <v>3</v>
      </c>
    </row>
    <row r="230" spans="1:14" x14ac:dyDescent="0.35">
      <c r="A230" s="5">
        <v>45650.693055555559</v>
      </c>
      <c r="B230" s="1" t="str">
        <f>TEXT(Coffee_Sales_Dataset[[#This Row],[Date]],"ddd")</f>
        <v>Tue</v>
      </c>
      <c r="C230">
        <f>HOUR(Coffee_Sales_Dataset[[#This Row],[Date]])</f>
        <v>16</v>
      </c>
      <c r="D230" t="s">
        <v>20</v>
      </c>
      <c r="E230" t="s">
        <v>46</v>
      </c>
      <c r="F230" t="s">
        <v>14</v>
      </c>
      <c r="G230">
        <v>4.2699999999999996</v>
      </c>
      <c r="H230" t="s">
        <v>15</v>
      </c>
      <c r="I230" t="s">
        <v>16</v>
      </c>
      <c r="J230" t="s">
        <v>29</v>
      </c>
      <c r="K230" t="s">
        <v>18</v>
      </c>
      <c r="L230">
        <v>5</v>
      </c>
      <c r="M230" t="s">
        <v>39</v>
      </c>
      <c r="N230">
        <v>3</v>
      </c>
    </row>
    <row r="231" spans="1:14" x14ac:dyDescent="0.35">
      <c r="A231" s="5">
        <v>45642.404861111114</v>
      </c>
      <c r="B231" s="1" t="str">
        <f>TEXT(Coffee_Sales_Dataset[[#This Row],[Date]],"ddd")</f>
        <v>Mon</v>
      </c>
      <c r="C231">
        <f>HOUR(Coffee_Sales_Dataset[[#This Row],[Date]])</f>
        <v>9</v>
      </c>
      <c r="D231" t="s">
        <v>41</v>
      </c>
      <c r="E231" t="s">
        <v>46</v>
      </c>
      <c r="F231" t="s">
        <v>14</v>
      </c>
      <c r="G231">
        <v>4.32</v>
      </c>
      <c r="H231" t="s">
        <v>30</v>
      </c>
      <c r="I231" t="s">
        <v>16</v>
      </c>
      <c r="J231" t="s">
        <v>24</v>
      </c>
      <c r="K231" t="s">
        <v>32</v>
      </c>
      <c r="L231">
        <v>4</v>
      </c>
      <c r="M231" t="s">
        <v>33</v>
      </c>
      <c r="N231">
        <v>2</v>
      </c>
    </row>
    <row r="232" spans="1:14" x14ac:dyDescent="0.35">
      <c r="A232" s="5">
        <v>45645.39166666667</v>
      </c>
      <c r="B232" s="1" t="str">
        <f>TEXT(Coffee_Sales_Dataset[[#This Row],[Date]],"ddd")</f>
        <v>Thu</v>
      </c>
      <c r="C232">
        <f>HOUR(Coffee_Sales_Dataset[[#This Row],[Date]])</f>
        <v>9</v>
      </c>
      <c r="D232" t="s">
        <v>20</v>
      </c>
      <c r="E232" t="s">
        <v>46</v>
      </c>
      <c r="F232" t="s">
        <v>14</v>
      </c>
      <c r="G232">
        <v>6.13</v>
      </c>
      <c r="H232" t="s">
        <v>30</v>
      </c>
      <c r="I232" t="s">
        <v>23</v>
      </c>
      <c r="J232" t="s">
        <v>31</v>
      </c>
      <c r="K232" t="s">
        <v>18</v>
      </c>
      <c r="L232">
        <v>6</v>
      </c>
      <c r="M232" t="s">
        <v>37</v>
      </c>
      <c r="N232">
        <v>4</v>
      </c>
    </row>
    <row r="233" spans="1:14" x14ac:dyDescent="0.35">
      <c r="A233" s="5">
        <v>45642.572222222225</v>
      </c>
      <c r="B233" s="1" t="str">
        <f>TEXT(Coffee_Sales_Dataset[[#This Row],[Date]],"ddd")</f>
        <v>Mon</v>
      </c>
      <c r="C233">
        <f>HOUR(Coffee_Sales_Dataset[[#This Row],[Date]])</f>
        <v>13</v>
      </c>
      <c r="D233" t="s">
        <v>41</v>
      </c>
      <c r="E233" t="s">
        <v>21</v>
      </c>
      <c r="F233" t="s">
        <v>22</v>
      </c>
      <c r="G233">
        <v>5.21</v>
      </c>
      <c r="H233" t="s">
        <v>28</v>
      </c>
      <c r="I233" t="s">
        <v>23</v>
      </c>
      <c r="J233" t="s">
        <v>29</v>
      </c>
      <c r="K233" t="s">
        <v>40</v>
      </c>
      <c r="L233">
        <v>7</v>
      </c>
      <c r="M233" t="s">
        <v>33</v>
      </c>
      <c r="N233">
        <v>4</v>
      </c>
    </row>
    <row r="234" spans="1:14" x14ac:dyDescent="0.35">
      <c r="A234" s="5">
        <v>45643.690972222219</v>
      </c>
      <c r="B234" s="1" t="str">
        <f>TEXT(Coffee_Sales_Dataset[[#This Row],[Date]],"ddd")</f>
        <v>Tue</v>
      </c>
      <c r="C234">
        <f>HOUR(Coffee_Sales_Dataset[[#This Row],[Date]])</f>
        <v>16</v>
      </c>
      <c r="D234" t="s">
        <v>41</v>
      </c>
      <c r="E234" t="s">
        <v>21</v>
      </c>
      <c r="F234" t="s">
        <v>22</v>
      </c>
      <c r="G234">
        <v>4.91</v>
      </c>
      <c r="H234" t="s">
        <v>30</v>
      </c>
      <c r="I234" t="s">
        <v>16</v>
      </c>
      <c r="J234" t="s">
        <v>29</v>
      </c>
      <c r="K234" t="s">
        <v>18</v>
      </c>
      <c r="L234">
        <v>10</v>
      </c>
      <c r="M234" t="s">
        <v>19</v>
      </c>
      <c r="N234">
        <v>2</v>
      </c>
    </row>
    <row r="235" spans="1:14" x14ac:dyDescent="0.35">
      <c r="A235" s="5">
        <v>45651.433333333334</v>
      </c>
      <c r="B235" s="1" t="str">
        <f>TEXT(Coffee_Sales_Dataset[[#This Row],[Date]],"ddd")</f>
        <v>Wed</v>
      </c>
      <c r="C235">
        <f>HOUR(Coffee_Sales_Dataset[[#This Row],[Date]])</f>
        <v>10</v>
      </c>
      <c r="D235" t="s">
        <v>41</v>
      </c>
      <c r="E235" t="s">
        <v>44</v>
      </c>
      <c r="F235" t="s">
        <v>22</v>
      </c>
      <c r="G235">
        <v>3.21</v>
      </c>
      <c r="H235" t="s">
        <v>28</v>
      </c>
      <c r="I235" t="s">
        <v>16</v>
      </c>
      <c r="J235" t="s">
        <v>45</v>
      </c>
      <c r="K235" t="s">
        <v>40</v>
      </c>
      <c r="L235">
        <v>8</v>
      </c>
      <c r="M235" t="s">
        <v>19</v>
      </c>
      <c r="N235">
        <v>4</v>
      </c>
    </row>
    <row r="236" spans="1:14" x14ac:dyDescent="0.35">
      <c r="A236" s="5">
        <v>45643.57708333333</v>
      </c>
      <c r="B236" s="1" t="str">
        <f>TEXT(Coffee_Sales_Dataset[[#This Row],[Date]],"ddd")</f>
        <v>Tue</v>
      </c>
      <c r="C236">
        <f>HOUR(Coffee_Sales_Dataset[[#This Row],[Date]])</f>
        <v>13</v>
      </c>
      <c r="D236" t="s">
        <v>12</v>
      </c>
      <c r="E236" t="s">
        <v>38</v>
      </c>
      <c r="F236" t="s">
        <v>22</v>
      </c>
      <c r="G236">
        <v>4.0999999999999996</v>
      </c>
      <c r="H236" t="s">
        <v>15</v>
      </c>
      <c r="I236" t="s">
        <v>23</v>
      </c>
      <c r="J236" t="s">
        <v>24</v>
      </c>
      <c r="K236" t="s">
        <v>18</v>
      </c>
      <c r="L236">
        <v>3</v>
      </c>
      <c r="M236" t="s">
        <v>47</v>
      </c>
      <c r="N236">
        <v>4</v>
      </c>
    </row>
    <row r="237" spans="1:14" x14ac:dyDescent="0.35">
      <c r="A237" s="5">
        <v>45653.402777777781</v>
      </c>
      <c r="B237" s="1" t="str">
        <f>TEXT(Coffee_Sales_Dataset[[#This Row],[Date]],"ddd")</f>
        <v>Fri</v>
      </c>
      <c r="C237">
        <f>HOUR(Coffee_Sales_Dataset[[#This Row],[Date]])</f>
        <v>9</v>
      </c>
      <c r="D237" t="s">
        <v>26</v>
      </c>
      <c r="E237" t="s">
        <v>13</v>
      </c>
      <c r="F237" t="s">
        <v>35</v>
      </c>
      <c r="G237">
        <v>3.96</v>
      </c>
      <c r="H237" t="s">
        <v>30</v>
      </c>
      <c r="I237" t="s">
        <v>23</v>
      </c>
      <c r="J237" t="s">
        <v>31</v>
      </c>
      <c r="K237" t="s">
        <v>40</v>
      </c>
      <c r="L237">
        <v>3</v>
      </c>
      <c r="M237" t="s">
        <v>19</v>
      </c>
      <c r="N237">
        <v>3</v>
      </c>
    </row>
    <row r="238" spans="1:14" x14ac:dyDescent="0.35">
      <c r="A238" s="5">
        <v>45649.660416666666</v>
      </c>
      <c r="B238" s="1" t="str">
        <f>TEXT(Coffee_Sales_Dataset[[#This Row],[Date]],"ddd")</f>
        <v>Mon</v>
      </c>
      <c r="C238">
        <f>HOUR(Coffee_Sales_Dataset[[#This Row],[Date]])</f>
        <v>15</v>
      </c>
      <c r="D238" t="s">
        <v>26</v>
      </c>
      <c r="E238" t="s">
        <v>46</v>
      </c>
      <c r="F238" t="s">
        <v>35</v>
      </c>
      <c r="G238">
        <v>5.03</v>
      </c>
      <c r="H238" t="s">
        <v>28</v>
      </c>
      <c r="I238" t="s">
        <v>23</v>
      </c>
      <c r="J238" t="s">
        <v>42</v>
      </c>
      <c r="K238" t="s">
        <v>32</v>
      </c>
      <c r="L238">
        <v>10</v>
      </c>
      <c r="M238" t="s">
        <v>19</v>
      </c>
      <c r="N238">
        <v>5</v>
      </c>
    </row>
    <row r="239" spans="1:14" x14ac:dyDescent="0.35">
      <c r="A239" s="5">
        <v>45652.583333333336</v>
      </c>
      <c r="B239" s="1" t="str">
        <f>TEXT(Coffee_Sales_Dataset[[#This Row],[Date]],"ddd")</f>
        <v>Thu</v>
      </c>
      <c r="C239">
        <f>HOUR(Coffee_Sales_Dataset[[#This Row],[Date]])</f>
        <v>14</v>
      </c>
      <c r="D239" t="s">
        <v>41</v>
      </c>
      <c r="E239" t="s">
        <v>27</v>
      </c>
      <c r="F239" t="s">
        <v>35</v>
      </c>
      <c r="G239">
        <v>3.03</v>
      </c>
      <c r="H239" t="s">
        <v>15</v>
      </c>
      <c r="I239" t="s">
        <v>16</v>
      </c>
      <c r="J239" t="s">
        <v>17</v>
      </c>
      <c r="K239" t="s">
        <v>18</v>
      </c>
      <c r="L239">
        <v>10</v>
      </c>
      <c r="M239" t="s">
        <v>19</v>
      </c>
      <c r="N239">
        <v>5</v>
      </c>
    </row>
    <row r="240" spans="1:14" x14ac:dyDescent="0.35">
      <c r="A240" s="5">
        <v>45641.631944444445</v>
      </c>
      <c r="B240" s="1" t="str">
        <f>TEXT(Coffee_Sales_Dataset[[#This Row],[Date]],"ddd")</f>
        <v>Sun</v>
      </c>
      <c r="C240">
        <f>HOUR(Coffee_Sales_Dataset[[#This Row],[Date]])</f>
        <v>15</v>
      </c>
      <c r="D240" t="s">
        <v>41</v>
      </c>
      <c r="E240" t="s">
        <v>27</v>
      </c>
      <c r="F240" t="s">
        <v>14</v>
      </c>
      <c r="G240">
        <v>3.3</v>
      </c>
      <c r="H240" t="s">
        <v>30</v>
      </c>
      <c r="I240" t="s">
        <v>16</v>
      </c>
      <c r="J240" t="s">
        <v>29</v>
      </c>
      <c r="K240" t="s">
        <v>32</v>
      </c>
      <c r="L240">
        <v>9</v>
      </c>
      <c r="M240" t="s">
        <v>25</v>
      </c>
      <c r="N240">
        <v>2</v>
      </c>
    </row>
    <row r="241" spans="1:14" x14ac:dyDescent="0.35">
      <c r="A241" s="5">
        <v>45646.38958333333</v>
      </c>
      <c r="B241" s="1" t="str">
        <f>TEXT(Coffee_Sales_Dataset[[#This Row],[Date]],"ddd")</f>
        <v>Fri</v>
      </c>
      <c r="C241">
        <f>HOUR(Coffee_Sales_Dataset[[#This Row],[Date]])</f>
        <v>9</v>
      </c>
      <c r="D241" t="s">
        <v>20</v>
      </c>
      <c r="E241" t="s">
        <v>21</v>
      </c>
      <c r="F241" t="s">
        <v>35</v>
      </c>
      <c r="G241">
        <v>6.4</v>
      </c>
      <c r="H241" t="s">
        <v>30</v>
      </c>
      <c r="I241" t="s">
        <v>16</v>
      </c>
      <c r="J241" t="s">
        <v>24</v>
      </c>
      <c r="K241" t="s">
        <v>32</v>
      </c>
      <c r="L241">
        <v>6</v>
      </c>
      <c r="M241" t="s">
        <v>47</v>
      </c>
      <c r="N241">
        <v>2</v>
      </c>
    </row>
    <row r="242" spans="1:14" x14ac:dyDescent="0.35">
      <c r="A242" s="5">
        <v>45641.725694444445</v>
      </c>
      <c r="B242" s="1" t="str">
        <f>TEXT(Coffee_Sales_Dataset[[#This Row],[Date]],"ddd")</f>
        <v>Sun</v>
      </c>
      <c r="C242">
        <f>HOUR(Coffee_Sales_Dataset[[#This Row],[Date]])</f>
        <v>17</v>
      </c>
      <c r="D242" t="s">
        <v>20</v>
      </c>
      <c r="E242" t="s">
        <v>34</v>
      </c>
      <c r="F242" t="s">
        <v>35</v>
      </c>
      <c r="G242">
        <v>5.0599999999999996</v>
      </c>
      <c r="H242" t="s">
        <v>30</v>
      </c>
      <c r="I242" t="s">
        <v>16</v>
      </c>
      <c r="J242" t="s">
        <v>31</v>
      </c>
      <c r="K242" t="s">
        <v>32</v>
      </c>
      <c r="L242">
        <v>2</v>
      </c>
      <c r="M242" t="s">
        <v>47</v>
      </c>
      <c r="N242">
        <v>1</v>
      </c>
    </row>
    <row r="243" spans="1:14" x14ac:dyDescent="0.35">
      <c r="A243" s="5">
        <v>45650.554861111108</v>
      </c>
      <c r="B243" s="1" t="str">
        <f>TEXT(Coffee_Sales_Dataset[[#This Row],[Date]],"ddd")</f>
        <v>Tue</v>
      </c>
      <c r="C243">
        <f>HOUR(Coffee_Sales_Dataset[[#This Row],[Date]])</f>
        <v>13</v>
      </c>
      <c r="D243" t="s">
        <v>43</v>
      </c>
      <c r="E243" t="s">
        <v>13</v>
      </c>
      <c r="F243" t="s">
        <v>14</v>
      </c>
      <c r="G243">
        <v>4.4000000000000004</v>
      </c>
      <c r="H243" t="s">
        <v>28</v>
      </c>
      <c r="I243" t="s">
        <v>23</v>
      </c>
      <c r="J243" t="s">
        <v>42</v>
      </c>
      <c r="K243" t="s">
        <v>32</v>
      </c>
      <c r="L243">
        <v>2</v>
      </c>
      <c r="M243" t="s">
        <v>39</v>
      </c>
      <c r="N243">
        <v>4</v>
      </c>
    </row>
    <row r="244" spans="1:14" x14ac:dyDescent="0.35">
      <c r="A244" s="5">
        <v>45648.397916666669</v>
      </c>
      <c r="B244" s="1" t="str">
        <f>TEXT(Coffee_Sales_Dataset[[#This Row],[Date]],"ddd")</f>
        <v>Sun</v>
      </c>
      <c r="C244">
        <f>HOUR(Coffee_Sales_Dataset[[#This Row],[Date]])</f>
        <v>9</v>
      </c>
      <c r="D244" t="s">
        <v>41</v>
      </c>
      <c r="E244" t="s">
        <v>27</v>
      </c>
      <c r="F244" t="s">
        <v>22</v>
      </c>
      <c r="G244">
        <v>3.5</v>
      </c>
      <c r="H244" t="s">
        <v>15</v>
      </c>
      <c r="I244" t="s">
        <v>23</v>
      </c>
      <c r="J244" t="s">
        <v>17</v>
      </c>
      <c r="K244" t="s">
        <v>18</v>
      </c>
      <c r="L244">
        <v>6</v>
      </c>
      <c r="M244" t="s">
        <v>36</v>
      </c>
      <c r="N244">
        <v>4</v>
      </c>
    </row>
    <row r="245" spans="1:14" x14ac:dyDescent="0.35">
      <c r="A245" s="5">
        <v>45647.515972222223</v>
      </c>
      <c r="B245" s="1" t="str">
        <f>TEXT(Coffee_Sales_Dataset[[#This Row],[Date]],"ddd")</f>
        <v>Sat</v>
      </c>
      <c r="C245">
        <f>HOUR(Coffee_Sales_Dataset[[#This Row],[Date]])</f>
        <v>12</v>
      </c>
      <c r="D245" t="s">
        <v>12</v>
      </c>
      <c r="E245" t="s">
        <v>27</v>
      </c>
      <c r="F245" t="s">
        <v>35</v>
      </c>
      <c r="G245">
        <v>6.25</v>
      </c>
      <c r="H245" t="s">
        <v>30</v>
      </c>
      <c r="I245" t="s">
        <v>16</v>
      </c>
      <c r="J245" t="s">
        <v>45</v>
      </c>
      <c r="K245" t="s">
        <v>32</v>
      </c>
      <c r="L245">
        <v>4</v>
      </c>
      <c r="M245" t="s">
        <v>36</v>
      </c>
      <c r="N245">
        <v>3</v>
      </c>
    </row>
    <row r="246" spans="1:14" x14ac:dyDescent="0.35">
      <c r="A246" s="5">
        <v>45652.348611111112</v>
      </c>
      <c r="B246" s="1" t="str">
        <f>TEXT(Coffee_Sales_Dataset[[#This Row],[Date]],"ddd")</f>
        <v>Thu</v>
      </c>
      <c r="C246">
        <f>HOUR(Coffee_Sales_Dataset[[#This Row],[Date]])</f>
        <v>8</v>
      </c>
      <c r="D246" t="s">
        <v>20</v>
      </c>
      <c r="E246" t="s">
        <v>13</v>
      </c>
      <c r="F246" t="s">
        <v>14</v>
      </c>
      <c r="G246">
        <v>4.1399999999999997</v>
      </c>
      <c r="H246" t="s">
        <v>30</v>
      </c>
      <c r="I246" t="s">
        <v>16</v>
      </c>
      <c r="J246" t="s">
        <v>42</v>
      </c>
      <c r="K246" t="s">
        <v>18</v>
      </c>
      <c r="L246">
        <v>7</v>
      </c>
      <c r="M246" t="s">
        <v>39</v>
      </c>
      <c r="N246">
        <v>2</v>
      </c>
    </row>
    <row r="247" spans="1:14" x14ac:dyDescent="0.35">
      <c r="A247" s="5">
        <v>45651.654166666667</v>
      </c>
      <c r="B247" s="1" t="str">
        <f>TEXT(Coffee_Sales_Dataset[[#This Row],[Date]],"ddd")</f>
        <v>Wed</v>
      </c>
      <c r="C247">
        <f>HOUR(Coffee_Sales_Dataset[[#This Row],[Date]])</f>
        <v>15</v>
      </c>
      <c r="D247" t="s">
        <v>43</v>
      </c>
      <c r="E247" t="s">
        <v>13</v>
      </c>
      <c r="F247" t="s">
        <v>22</v>
      </c>
      <c r="G247">
        <v>4.96</v>
      </c>
      <c r="H247" t="s">
        <v>15</v>
      </c>
      <c r="I247" t="s">
        <v>23</v>
      </c>
      <c r="J247" t="s">
        <v>24</v>
      </c>
      <c r="K247" t="s">
        <v>32</v>
      </c>
      <c r="L247">
        <v>10</v>
      </c>
      <c r="M247" t="s">
        <v>19</v>
      </c>
      <c r="N247">
        <v>4</v>
      </c>
    </row>
    <row r="248" spans="1:14" x14ac:dyDescent="0.35">
      <c r="A248" s="5">
        <v>45643.409722222219</v>
      </c>
      <c r="B248" s="1" t="str">
        <f>TEXT(Coffee_Sales_Dataset[[#This Row],[Date]],"ddd")</f>
        <v>Tue</v>
      </c>
      <c r="C248">
        <f>HOUR(Coffee_Sales_Dataset[[#This Row],[Date]])</f>
        <v>9</v>
      </c>
      <c r="D248" t="s">
        <v>26</v>
      </c>
      <c r="E248" t="s">
        <v>27</v>
      </c>
      <c r="F248" t="s">
        <v>14</v>
      </c>
      <c r="G248">
        <v>4.38</v>
      </c>
      <c r="H248" t="s">
        <v>30</v>
      </c>
      <c r="I248" t="s">
        <v>23</v>
      </c>
      <c r="J248" t="s">
        <v>29</v>
      </c>
      <c r="K248" t="s">
        <v>18</v>
      </c>
      <c r="L248">
        <v>7</v>
      </c>
      <c r="M248" t="s">
        <v>25</v>
      </c>
      <c r="N248">
        <v>5</v>
      </c>
    </row>
    <row r="249" spans="1:14" x14ac:dyDescent="0.35">
      <c r="A249" s="5">
        <v>45652.604166666664</v>
      </c>
      <c r="B249" s="1" t="str">
        <f>TEXT(Coffee_Sales_Dataset[[#This Row],[Date]],"ddd")</f>
        <v>Thu</v>
      </c>
      <c r="C249">
        <f>HOUR(Coffee_Sales_Dataset[[#This Row],[Date]])</f>
        <v>14</v>
      </c>
      <c r="D249" t="s">
        <v>43</v>
      </c>
      <c r="E249" t="s">
        <v>34</v>
      </c>
      <c r="F249" t="s">
        <v>22</v>
      </c>
      <c r="G249">
        <v>3.33</v>
      </c>
      <c r="H249" t="s">
        <v>15</v>
      </c>
      <c r="I249" t="s">
        <v>23</v>
      </c>
      <c r="J249" t="s">
        <v>31</v>
      </c>
      <c r="K249" t="s">
        <v>40</v>
      </c>
      <c r="L249">
        <v>10</v>
      </c>
      <c r="M249" t="s">
        <v>36</v>
      </c>
      <c r="N249">
        <v>2</v>
      </c>
    </row>
    <row r="250" spans="1:14" x14ac:dyDescent="0.35">
      <c r="A250" s="5">
        <v>45645.413194444445</v>
      </c>
      <c r="B250" s="1" t="str">
        <f>TEXT(Coffee_Sales_Dataset[[#This Row],[Date]],"ddd")</f>
        <v>Thu</v>
      </c>
      <c r="C250">
        <f>HOUR(Coffee_Sales_Dataset[[#This Row],[Date]])</f>
        <v>9</v>
      </c>
      <c r="D250" t="s">
        <v>43</v>
      </c>
      <c r="E250" t="s">
        <v>44</v>
      </c>
      <c r="F250" t="s">
        <v>14</v>
      </c>
      <c r="G250">
        <v>5.67</v>
      </c>
      <c r="H250" t="s">
        <v>15</v>
      </c>
      <c r="I250" t="s">
        <v>23</v>
      </c>
      <c r="J250" t="s">
        <v>42</v>
      </c>
      <c r="K250" t="s">
        <v>18</v>
      </c>
      <c r="L250">
        <v>3</v>
      </c>
      <c r="M250" t="s">
        <v>19</v>
      </c>
      <c r="N250">
        <v>5</v>
      </c>
    </row>
    <row r="251" spans="1:14" x14ac:dyDescent="0.35">
      <c r="A251" s="5">
        <v>45650.495833333334</v>
      </c>
      <c r="B251" s="1" t="str">
        <f>TEXT(Coffee_Sales_Dataset[[#This Row],[Date]],"ddd")</f>
        <v>Tue</v>
      </c>
      <c r="C251">
        <f>HOUR(Coffee_Sales_Dataset[[#This Row],[Date]])</f>
        <v>11</v>
      </c>
      <c r="D251" t="s">
        <v>41</v>
      </c>
      <c r="E251" t="s">
        <v>44</v>
      </c>
      <c r="F251" t="s">
        <v>35</v>
      </c>
      <c r="G251">
        <v>3.59</v>
      </c>
      <c r="H251" t="s">
        <v>30</v>
      </c>
      <c r="I251" t="s">
        <v>23</v>
      </c>
      <c r="J251" t="s">
        <v>42</v>
      </c>
      <c r="K251" t="s">
        <v>40</v>
      </c>
      <c r="L251">
        <v>6</v>
      </c>
      <c r="M251" t="s">
        <v>36</v>
      </c>
      <c r="N251">
        <v>2</v>
      </c>
    </row>
    <row r="252" spans="1:14" x14ac:dyDescent="0.35">
      <c r="A252" s="5">
        <v>45647.716666666667</v>
      </c>
      <c r="B252" s="1" t="str">
        <f>TEXT(Coffee_Sales_Dataset[[#This Row],[Date]],"ddd")</f>
        <v>Sat</v>
      </c>
      <c r="C252">
        <f>HOUR(Coffee_Sales_Dataset[[#This Row],[Date]])</f>
        <v>17</v>
      </c>
      <c r="D252" t="s">
        <v>26</v>
      </c>
      <c r="E252" t="s">
        <v>21</v>
      </c>
      <c r="F252" t="s">
        <v>14</v>
      </c>
      <c r="G252">
        <v>4.5199999999999996</v>
      </c>
      <c r="H252" t="s">
        <v>28</v>
      </c>
      <c r="I252" t="s">
        <v>16</v>
      </c>
      <c r="J252" t="s">
        <v>45</v>
      </c>
      <c r="K252" t="s">
        <v>18</v>
      </c>
      <c r="L252">
        <v>5</v>
      </c>
      <c r="M252" t="s">
        <v>36</v>
      </c>
      <c r="N252">
        <v>3</v>
      </c>
    </row>
    <row r="253" spans="1:14" x14ac:dyDescent="0.35">
      <c r="A253" s="5">
        <v>45647.355555555558</v>
      </c>
      <c r="B253" s="1" t="str">
        <f>TEXT(Coffee_Sales_Dataset[[#This Row],[Date]],"ddd")</f>
        <v>Sat</v>
      </c>
      <c r="C253">
        <f>HOUR(Coffee_Sales_Dataset[[#This Row],[Date]])</f>
        <v>8</v>
      </c>
      <c r="D253" t="s">
        <v>12</v>
      </c>
      <c r="E253" t="s">
        <v>44</v>
      </c>
      <c r="F253" t="s">
        <v>14</v>
      </c>
      <c r="G253">
        <v>4.22</v>
      </c>
      <c r="H253" t="s">
        <v>15</v>
      </c>
      <c r="I253" t="s">
        <v>16</v>
      </c>
      <c r="J253" t="s">
        <v>24</v>
      </c>
      <c r="K253" t="s">
        <v>32</v>
      </c>
      <c r="L253">
        <v>8</v>
      </c>
      <c r="M253" t="s">
        <v>36</v>
      </c>
      <c r="N253">
        <v>3</v>
      </c>
    </row>
    <row r="254" spans="1:14" x14ac:dyDescent="0.35">
      <c r="A254" s="5">
        <v>45655.418055555558</v>
      </c>
      <c r="B254" s="1" t="str">
        <f>TEXT(Coffee_Sales_Dataset[[#This Row],[Date]],"ddd")</f>
        <v>Sun</v>
      </c>
      <c r="C254">
        <f>HOUR(Coffee_Sales_Dataset[[#This Row],[Date]])</f>
        <v>10</v>
      </c>
      <c r="D254" t="s">
        <v>26</v>
      </c>
      <c r="E254" t="s">
        <v>13</v>
      </c>
      <c r="F254" t="s">
        <v>35</v>
      </c>
      <c r="G254">
        <v>5.98</v>
      </c>
      <c r="H254" t="s">
        <v>30</v>
      </c>
      <c r="I254" t="s">
        <v>16</v>
      </c>
      <c r="J254" t="s">
        <v>42</v>
      </c>
      <c r="K254" t="s">
        <v>32</v>
      </c>
      <c r="L254">
        <v>3</v>
      </c>
      <c r="M254" t="s">
        <v>25</v>
      </c>
      <c r="N254">
        <v>2</v>
      </c>
    </row>
    <row r="255" spans="1:14" x14ac:dyDescent="0.35">
      <c r="A255" s="5">
        <v>45645.640972222223</v>
      </c>
      <c r="B255" s="1" t="str">
        <f>TEXT(Coffee_Sales_Dataset[[#This Row],[Date]],"ddd")</f>
        <v>Thu</v>
      </c>
      <c r="C255">
        <f>HOUR(Coffee_Sales_Dataset[[#This Row],[Date]])</f>
        <v>15</v>
      </c>
      <c r="D255" t="s">
        <v>43</v>
      </c>
      <c r="E255" t="s">
        <v>34</v>
      </c>
      <c r="F255" t="s">
        <v>14</v>
      </c>
      <c r="G255">
        <v>3.39</v>
      </c>
      <c r="H255" t="s">
        <v>30</v>
      </c>
      <c r="I255" t="s">
        <v>23</v>
      </c>
      <c r="J255" t="s">
        <v>24</v>
      </c>
      <c r="K255" t="s">
        <v>32</v>
      </c>
      <c r="L255">
        <v>7</v>
      </c>
      <c r="M255" t="s">
        <v>19</v>
      </c>
      <c r="N255">
        <v>5</v>
      </c>
    </row>
    <row r="256" spans="1:14" x14ac:dyDescent="0.35">
      <c r="A256" s="5">
        <v>45649.552083333336</v>
      </c>
      <c r="B256" s="1" t="str">
        <f>TEXT(Coffee_Sales_Dataset[[#This Row],[Date]],"ddd")</f>
        <v>Mon</v>
      </c>
      <c r="C256">
        <f>HOUR(Coffee_Sales_Dataset[[#This Row],[Date]])</f>
        <v>13</v>
      </c>
      <c r="D256" t="s">
        <v>43</v>
      </c>
      <c r="E256" t="s">
        <v>27</v>
      </c>
      <c r="F256" t="s">
        <v>35</v>
      </c>
      <c r="G256">
        <v>4.54</v>
      </c>
      <c r="H256" t="s">
        <v>30</v>
      </c>
      <c r="I256" t="s">
        <v>23</v>
      </c>
      <c r="J256" t="s">
        <v>45</v>
      </c>
      <c r="K256" t="s">
        <v>18</v>
      </c>
      <c r="L256">
        <v>3</v>
      </c>
      <c r="M256" t="s">
        <v>39</v>
      </c>
      <c r="N256">
        <v>5</v>
      </c>
    </row>
    <row r="257" spans="1:14" x14ac:dyDescent="0.35">
      <c r="A257" s="5">
        <v>45656.466666666667</v>
      </c>
      <c r="B257" s="1" t="str">
        <f>TEXT(Coffee_Sales_Dataset[[#This Row],[Date]],"ddd")</f>
        <v>Mon</v>
      </c>
      <c r="C257">
        <f>HOUR(Coffee_Sales_Dataset[[#This Row],[Date]])</f>
        <v>11</v>
      </c>
      <c r="D257" t="s">
        <v>12</v>
      </c>
      <c r="E257" t="s">
        <v>13</v>
      </c>
      <c r="F257" t="s">
        <v>14</v>
      </c>
      <c r="G257">
        <v>6.77</v>
      </c>
      <c r="H257" t="s">
        <v>28</v>
      </c>
      <c r="I257" t="s">
        <v>16</v>
      </c>
      <c r="J257" t="s">
        <v>24</v>
      </c>
      <c r="K257" t="s">
        <v>18</v>
      </c>
      <c r="L257">
        <v>9</v>
      </c>
      <c r="M257" t="s">
        <v>33</v>
      </c>
      <c r="N257">
        <v>2</v>
      </c>
    </row>
    <row r="258" spans="1:14" x14ac:dyDescent="0.35">
      <c r="A258" s="5">
        <v>45649.418055555558</v>
      </c>
      <c r="B258" s="1" t="str">
        <f>TEXT(Coffee_Sales_Dataset[[#This Row],[Date]],"ddd")</f>
        <v>Mon</v>
      </c>
      <c r="C258">
        <f>HOUR(Coffee_Sales_Dataset[[#This Row],[Date]])</f>
        <v>10</v>
      </c>
      <c r="D258" t="s">
        <v>20</v>
      </c>
      <c r="E258" t="s">
        <v>27</v>
      </c>
      <c r="F258" t="s">
        <v>22</v>
      </c>
      <c r="G258">
        <v>5.2</v>
      </c>
      <c r="H258" t="s">
        <v>15</v>
      </c>
      <c r="I258" t="s">
        <v>16</v>
      </c>
      <c r="J258" t="s">
        <v>24</v>
      </c>
      <c r="K258" t="s">
        <v>32</v>
      </c>
      <c r="L258">
        <v>3</v>
      </c>
      <c r="M258" t="s">
        <v>25</v>
      </c>
      <c r="N258">
        <v>1</v>
      </c>
    </row>
    <row r="259" spans="1:14" x14ac:dyDescent="0.35">
      <c r="A259" s="5">
        <v>45648.707638888889</v>
      </c>
      <c r="B259" s="1" t="str">
        <f>TEXT(Coffee_Sales_Dataset[[#This Row],[Date]],"ddd")</f>
        <v>Sun</v>
      </c>
      <c r="C259">
        <f>HOUR(Coffee_Sales_Dataset[[#This Row],[Date]])</f>
        <v>16</v>
      </c>
      <c r="D259" t="s">
        <v>41</v>
      </c>
      <c r="E259" t="s">
        <v>21</v>
      </c>
      <c r="F259" t="s">
        <v>14</v>
      </c>
      <c r="G259">
        <v>3.67</v>
      </c>
      <c r="H259" t="s">
        <v>15</v>
      </c>
      <c r="I259" t="s">
        <v>23</v>
      </c>
      <c r="J259" t="s">
        <v>24</v>
      </c>
      <c r="K259" t="s">
        <v>40</v>
      </c>
      <c r="L259">
        <v>2</v>
      </c>
      <c r="M259" t="s">
        <v>33</v>
      </c>
      <c r="N259">
        <v>2</v>
      </c>
    </row>
    <row r="260" spans="1:14" x14ac:dyDescent="0.35">
      <c r="A260" s="5">
        <v>45652.604861111111</v>
      </c>
      <c r="B260" s="1" t="str">
        <f>TEXT(Coffee_Sales_Dataset[[#This Row],[Date]],"ddd")</f>
        <v>Thu</v>
      </c>
      <c r="C260">
        <f>HOUR(Coffee_Sales_Dataset[[#This Row],[Date]])</f>
        <v>14</v>
      </c>
      <c r="D260" t="s">
        <v>41</v>
      </c>
      <c r="E260" t="s">
        <v>21</v>
      </c>
      <c r="F260" t="s">
        <v>35</v>
      </c>
      <c r="G260">
        <v>6.89</v>
      </c>
      <c r="H260" t="s">
        <v>30</v>
      </c>
      <c r="I260" t="s">
        <v>16</v>
      </c>
      <c r="J260" t="s">
        <v>31</v>
      </c>
      <c r="K260" t="s">
        <v>32</v>
      </c>
      <c r="L260">
        <v>10</v>
      </c>
      <c r="M260" t="s">
        <v>33</v>
      </c>
      <c r="N260">
        <v>4</v>
      </c>
    </row>
    <row r="261" spans="1:14" x14ac:dyDescent="0.35">
      <c r="A261" s="5">
        <v>45647.509027777778</v>
      </c>
      <c r="B261" s="1" t="str">
        <f>TEXT(Coffee_Sales_Dataset[[#This Row],[Date]],"ddd")</f>
        <v>Sat</v>
      </c>
      <c r="C261">
        <f>HOUR(Coffee_Sales_Dataset[[#This Row],[Date]])</f>
        <v>12</v>
      </c>
      <c r="D261" t="s">
        <v>20</v>
      </c>
      <c r="E261" t="s">
        <v>13</v>
      </c>
      <c r="F261" t="s">
        <v>14</v>
      </c>
      <c r="G261">
        <v>5.29</v>
      </c>
      <c r="H261" t="s">
        <v>28</v>
      </c>
      <c r="I261" t="s">
        <v>23</v>
      </c>
      <c r="J261" t="s">
        <v>31</v>
      </c>
      <c r="K261" t="s">
        <v>32</v>
      </c>
      <c r="L261">
        <v>10</v>
      </c>
      <c r="M261" t="s">
        <v>19</v>
      </c>
      <c r="N261">
        <v>5</v>
      </c>
    </row>
    <row r="262" spans="1:14" x14ac:dyDescent="0.35">
      <c r="A262" s="5">
        <v>45645.470833333333</v>
      </c>
      <c r="B262" s="1" t="str">
        <f>TEXT(Coffee_Sales_Dataset[[#This Row],[Date]],"ddd")</f>
        <v>Thu</v>
      </c>
      <c r="C262">
        <f>HOUR(Coffee_Sales_Dataset[[#This Row],[Date]])</f>
        <v>11</v>
      </c>
      <c r="D262" t="s">
        <v>43</v>
      </c>
      <c r="E262" t="s">
        <v>38</v>
      </c>
      <c r="F262" t="s">
        <v>14</v>
      </c>
      <c r="G262">
        <v>3.68</v>
      </c>
      <c r="H262" t="s">
        <v>30</v>
      </c>
      <c r="I262" t="s">
        <v>23</v>
      </c>
      <c r="J262" t="s">
        <v>24</v>
      </c>
      <c r="K262" t="s">
        <v>40</v>
      </c>
      <c r="L262">
        <v>4</v>
      </c>
      <c r="M262" t="s">
        <v>47</v>
      </c>
      <c r="N262">
        <v>2</v>
      </c>
    </row>
    <row r="263" spans="1:14" x14ac:dyDescent="0.35">
      <c r="A263" s="5">
        <v>45645.361805555556</v>
      </c>
      <c r="B263" s="1" t="str">
        <f>TEXT(Coffee_Sales_Dataset[[#This Row],[Date]],"ddd")</f>
        <v>Thu</v>
      </c>
      <c r="C263">
        <f>HOUR(Coffee_Sales_Dataset[[#This Row],[Date]])</f>
        <v>8</v>
      </c>
      <c r="D263" t="s">
        <v>20</v>
      </c>
      <c r="E263" t="s">
        <v>21</v>
      </c>
      <c r="F263" t="s">
        <v>14</v>
      </c>
      <c r="G263">
        <v>5.14</v>
      </c>
      <c r="H263" t="s">
        <v>30</v>
      </c>
      <c r="I263" t="s">
        <v>16</v>
      </c>
      <c r="J263" t="s">
        <v>45</v>
      </c>
      <c r="K263" t="s">
        <v>18</v>
      </c>
      <c r="L263">
        <v>7</v>
      </c>
      <c r="M263" t="s">
        <v>47</v>
      </c>
      <c r="N263">
        <v>1</v>
      </c>
    </row>
    <row r="264" spans="1:14" x14ac:dyDescent="0.35">
      <c r="A264" s="5">
        <v>45656.677777777775</v>
      </c>
      <c r="B264" s="1" t="str">
        <f>TEXT(Coffee_Sales_Dataset[[#This Row],[Date]],"ddd")</f>
        <v>Mon</v>
      </c>
      <c r="C264">
        <f>HOUR(Coffee_Sales_Dataset[[#This Row],[Date]])</f>
        <v>16</v>
      </c>
      <c r="D264" t="s">
        <v>20</v>
      </c>
      <c r="E264" t="s">
        <v>46</v>
      </c>
      <c r="F264" t="s">
        <v>35</v>
      </c>
      <c r="G264">
        <v>4.18</v>
      </c>
      <c r="H264" t="s">
        <v>30</v>
      </c>
      <c r="I264" t="s">
        <v>23</v>
      </c>
      <c r="J264" t="s">
        <v>24</v>
      </c>
      <c r="K264" t="s">
        <v>40</v>
      </c>
      <c r="L264">
        <v>6</v>
      </c>
      <c r="M264" t="s">
        <v>36</v>
      </c>
      <c r="N264">
        <v>3</v>
      </c>
    </row>
    <row r="265" spans="1:14" x14ac:dyDescent="0.35">
      <c r="A265" s="5">
        <v>45656.695833333331</v>
      </c>
      <c r="B265" s="1" t="str">
        <f>TEXT(Coffee_Sales_Dataset[[#This Row],[Date]],"ddd")</f>
        <v>Mon</v>
      </c>
      <c r="C265">
        <f>HOUR(Coffee_Sales_Dataset[[#This Row],[Date]])</f>
        <v>16</v>
      </c>
      <c r="D265" t="s">
        <v>41</v>
      </c>
      <c r="E265" t="s">
        <v>13</v>
      </c>
      <c r="F265" t="s">
        <v>35</v>
      </c>
      <c r="G265">
        <v>5.98</v>
      </c>
      <c r="H265" t="s">
        <v>15</v>
      </c>
      <c r="I265" t="s">
        <v>16</v>
      </c>
      <c r="J265" t="s">
        <v>45</v>
      </c>
      <c r="K265" t="s">
        <v>18</v>
      </c>
      <c r="L265">
        <v>10</v>
      </c>
      <c r="M265" t="s">
        <v>36</v>
      </c>
      <c r="N265">
        <v>4</v>
      </c>
    </row>
    <row r="266" spans="1:14" x14ac:dyDescent="0.35">
      <c r="A266" s="5">
        <v>45644.509027777778</v>
      </c>
      <c r="B266" s="1" t="str">
        <f>TEXT(Coffee_Sales_Dataset[[#This Row],[Date]],"ddd")</f>
        <v>Wed</v>
      </c>
      <c r="C266">
        <f>HOUR(Coffee_Sales_Dataset[[#This Row],[Date]])</f>
        <v>12</v>
      </c>
      <c r="D266" t="s">
        <v>41</v>
      </c>
      <c r="E266" t="s">
        <v>44</v>
      </c>
      <c r="F266" t="s">
        <v>22</v>
      </c>
      <c r="G266">
        <v>3.62</v>
      </c>
      <c r="H266" t="s">
        <v>30</v>
      </c>
      <c r="I266" t="s">
        <v>16</v>
      </c>
      <c r="J266" t="s">
        <v>24</v>
      </c>
      <c r="K266" t="s">
        <v>40</v>
      </c>
      <c r="L266">
        <v>9</v>
      </c>
      <c r="M266" t="s">
        <v>39</v>
      </c>
      <c r="N266">
        <v>4</v>
      </c>
    </row>
    <row r="267" spans="1:14" x14ac:dyDescent="0.35">
      <c r="A267" s="5">
        <v>45643.452777777777</v>
      </c>
      <c r="B267" s="1" t="str">
        <f>TEXT(Coffee_Sales_Dataset[[#This Row],[Date]],"ddd")</f>
        <v>Tue</v>
      </c>
      <c r="C267">
        <f>HOUR(Coffee_Sales_Dataset[[#This Row],[Date]])</f>
        <v>10</v>
      </c>
      <c r="D267" t="s">
        <v>20</v>
      </c>
      <c r="E267" t="s">
        <v>27</v>
      </c>
      <c r="F267" t="s">
        <v>35</v>
      </c>
      <c r="G267">
        <v>4.96</v>
      </c>
      <c r="H267" t="s">
        <v>28</v>
      </c>
      <c r="I267" t="s">
        <v>23</v>
      </c>
      <c r="J267" t="s">
        <v>45</v>
      </c>
      <c r="K267" t="s">
        <v>32</v>
      </c>
      <c r="L267">
        <v>2</v>
      </c>
      <c r="M267" t="s">
        <v>47</v>
      </c>
      <c r="N267">
        <v>2</v>
      </c>
    </row>
    <row r="268" spans="1:14" x14ac:dyDescent="0.35">
      <c r="A268" s="5">
        <v>45655.613194444442</v>
      </c>
      <c r="B268" s="1" t="str">
        <f>TEXT(Coffee_Sales_Dataset[[#This Row],[Date]],"ddd")</f>
        <v>Sun</v>
      </c>
      <c r="C268">
        <f>HOUR(Coffee_Sales_Dataset[[#This Row],[Date]])</f>
        <v>14</v>
      </c>
      <c r="D268" t="s">
        <v>41</v>
      </c>
      <c r="E268" t="s">
        <v>27</v>
      </c>
      <c r="F268" t="s">
        <v>14</v>
      </c>
      <c r="G268">
        <v>3.57</v>
      </c>
      <c r="H268" t="s">
        <v>15</v>
      </c>
      <c r="I268" t="s">
        <v>23</v>
      </c>
      <c r="J268" t="s">
        <v>42</v>
      </c>
      <c r="K268" t="s">
        <v>18</v>
      </c>
      <c r="L268">
        <v>8</v>
      </c>
      <c r="M268" t="s">
        <v>39</v>
      </c>
      <c r="N268">
        <v>5</v>
      </c>
    </row>
    <row r="269" spans="1:14" x14ac:dyDescent="0.35">
      <c r="A269" s="5">
        <v>45643.359722222223</v>
      </c>
      <c r="B269" s="1" t="str">
        <f>TEXT(Coffee_Sales_Dataset[[#This Row],[Date]],"ddd")</f>
        <v>Tue</v>
      </c>
      <c r="C269">
        <f>HOUR(Coffee_Sales_Dataset[[#This Row],[Date]])</f>
        <v>8</v>
      </c>
      <c r="D269" t="s">
        <v>26</v>
      </c>
      <c r="E269" t="s">
        <v>46</v>
      </c>
      <c r="F269" t="s">
        <v>22</v>
      </c>
      <c r="G269">
        <v>3.08</v>
      </c>
      <c r="H269" t="s">
        <v>30</v>
      </c>
      <c r="I269" t="s">
        <v>23</v>
      </c>
      <c r="J269" t="s">
        <v>17</v>
      </c>
      <c r="K269" t="s">
        <v>40</v>
      </c>
      <c r="L269">
        <v>3</v>
      </c>
      <c r="M269" t="s">
        <v>47</v>
      </c>
      <c r="N269">
        <v>2</v>
      </c>
    </row>
    <row r="270" spans="1:14" x14ac:dyDescent="0.35">
      <c r="A270" s="5">
        <v>45656.708333333336</v>
      </c>
      <c r="B270" s="1" t="str">
        <f>TEXT(Coffee_Sales_Dataset[[#This Row],[Date]],"ddd")</f>
        <v>Mon</v>
      </c>
      <c r="C270">
        <f>HOUR(Coffee_Sales_Dataset[[#This Row],[Date]])</f>
        <v>17</v>
      </c>
      <c r="D270" t="s">
        <v>26</v>
      </c>
      <c r="E270" t="s">
        <v>21</v>
      </c>
      <c r="F270" t="s">
        <v>14</v>
      </c>
      <c r="G270">
        <v>5.17</v>
      </c>
      <c r="H270" t="s">
        <v>15</v>
      </c>
      <c r="I270" t="s">
        <v>23</v>
      </c>
      <c r="J270" t="s">
        <v>17</v>
      </c>
      <c r="K270" t="s">
        <v>40</v>
      </c>
      <c r="L270">
        <v>9</v>
      </c>
      <c r="M270" t="s">
        <v>33</v>
      </c>
      <c r="N270">
        <v>5</v>
      </c>
    </row>
    <row r="271" spans="1:14" x14ac:dyDescent="0.35">
      <c r="A271" s="5">
        <v>45655.429861111108</v>
      </c>
      <c r="B271" s="1" t="str">
        <f>TEXT(Coffee_Sales_Dataset[[#This Row],[Date]],"ddd")</f>
        <v>Sun</v>
      </c>
      <c r="C271">
        <f>HOUR(Coffee_Sales_Dataset[[#This Row],[Date]])</f>
        <v>10</v>
      </c>
      <c r="D271" t="s">
        <v>43</v>
      </c>
      <c r="E271" t="s">
        <v>46</v>
      </c>
      <c r="F271" t="s">
        <v>14</v>
      </c>
      <c r="G271">
        <v>3.98</v>
      </c>
      <c r="H271" t="s">
        <v>28</v>
      </c>
      <c r="I271" t="s">
        <v>16</v>
      </c>
      <c r="J271" t="s">
        <v>45</v>
      </c>
      <c r="K271" t="s">
        <v>18</v>
      </c>
      <c r="L271">
        <v>3</v>
      </c>
      <c r="M271" t="s">
        <v>39</v>
      </c>
      <c r="N271">
        <v>1</v>
      </c>
    </row>
    <row r="272" spans="1:14" x14ac:dyDescent="0.35">
      <c r="A272" s="5">
        <v>45642.504166666666</v>
      </c>
      <c r="B272" s="1" t="str">
        <f>TEXT(Coffee_Sales_Dataset[[#This Row],[Date]],"ddd")</f>
        <v>Mon</v>
      </c>
      <c r="C272">
        <f>HOUR(Coffee_Sales_Dataset[[#This Row],[Date]])</f>
        <v>12</v>
      </c>
      <c r="D272" t="s">
        <v>41</v>
      </c>
      <c r="E272" t="s">
        <v>21</v>
      </c>
      <c r="F272" t="s">
        <v>22</v>
      </c>
      <c r="G272">
        <v>3.57</v>
      </c>
      <c r="H272" t="s">
        <v>30</v>
      </c>
      <c r="I272" t="s">
        <v>23</v>
      </c>
      <c r="J272" t="s">
        <v>17</v>
      </c>
      <c r="K272" t="s">
        <v>32</v>
      </c>
      <c r="L272">
        <v>8</v>
      </c>
      <c r="M272" t="s">
        <v>36</v>
      </c>
      <c r="N272">
        <v>3</v>
      </c>
    </row>
    <row r="273" spans="1:14" x14ac:dyDescent="0.35">
      <c r="A273" s="5">
        <v>45651.498611111114</v>
      </c>
      <c r="B273" s="1" t="str">
        <f>TEXT(Coffee_Sales_Dataset[[#This Row],[Date]],"ddd")</f>
        <v>Wed</v>
      </c>
      <c r="C273">
        <f>HOUR(Coffee_Sales_Dataset[[#This Row],[Date]])</f>
        <v>11</v>
      </c>
      <c r="D273" t="s">
        <v>12</v>
      </c>
      <c r="E273" t="s">
        <v>44</v>
      </c>
      <c r="F273" t="s">
        <v>35</v>
      </c>
      <c r="G273">
        <v>6.29</v>
      </c>
      <c r="H273" t="s">
        <v>30</v>
      </c>
      <c r="I273" t="s">
        <v>16</v>
      </c>
      <c r="J273" t="s">
        <v>17</v>
      </c>
      <c r="K273" t="s">
        <v>40</v>
      </c>
      <c r="L273">
        <v>5</v>
      </c>
      <c r="M273" t="s">
        <v>39</v>
      </c>
      <c r="N273">
        <v>3</v>
      </c>
    </row>
    <row r="274" spans="1:14" x14ac:dyDescent="0.35">
      <c r="A274" s="5">
        <v>45646.722916666666</v>
      </c>
      <c r="B274" s="1" t="str">
        <f>TEXT(Coffee_Sales_Dataset[[#This Row],[Date]],"ddd")</f>
        <v>Fri</v>
      </c>
      <c r="C274">
        <f>HOUR(Coffee_Sales_Dataset[[#This Row],[Date]])</f>
        <v>17</v>
      </c>
      <c r="D274" t="s">
        <v>26</v>
      </c>
      <c r="E274" t="s">
        <v>34</v>
      </c>
      <c r="F274" t="s">
        <v>14</v>
      </c>
      <c r="G274">
        <v>6.58</v>
      </c>
      <c r="H274" t="s">
        <v>28</v>
      </c>
      <c r="I274" t="s">
        <v>23</v>
      </c>
      <c r="J274" t="s">
        <v>17</v>
      </c>
      <c r="K274" t="s">
        <v>32</v>
      </c>
      <c r="L274">
        <v>10</v>
      </c>
      <c r="M274" t="s">
        <v>47</v>
      </c>
      <c r="N274">
        <v>5</v>
      </c>
    </row>
    <row r="275" spans="1:14" x14ac:dyDescent="0.35">
      <c r="A275" s="5">
        <v>45643.589583333334</v>
      </c>
      <c r="B275" s="1" t="str">
        <f>TEXT(Coffee_Sales_Dataset[[#This Row],[Date]],"ddd")</f>
        <v>Tue</v>
      </c>
      <c r="C275">
        <f>HOUR(Coffee_Sales_Dataset[[#This Row],[Date]])</f>
        <v>14</v>
      </c>
      <c r="D275" t="s">
        <v>43</v>
      </c>
      <c r="E275" t="s">
        <v>38</v>
      </c>
      <c r="F275" t="s">
        <v>22</v>
      </c>
      <c r="G275">
        <v>4.3899999999999997</v>
      </c>
      <c r="H275" t="s">
        <v>30</v>
      </c>
      <c r="I275" t="s">
        <v>16</v>
      </c>
      <c r="J275" t="s">
        <v>42</v>
      </c>
      <c r="K275" t="s">
        <v>18</v>
      </c>
      <c r="L275">
        <v>7</v>
      </c>
      <c r="M275" t="s">
        <v>47</v>
      </c>
      <c r="N275">
        <v>1</v>
      </c>
    </row>
    <row r="276" spans="1:14" x14ac:dyDescent="0.35">
      <c r="A276" s="5">
        <v>45653.450694444444</v>
      </c>
      <c r="B276" s="1" t="str">
        <f>TEXT(Coffee_Sales_Dataset[[#This Row],[Date]],"ddd")</f>
        <v>Fri</v>
      </c>
      <c r="C276">
        <f>HOUR(Coffee_Sales_Dataset[[#This Row],[Date]])</f>
        <v>10</v>
      </c>
      <c r="D276" t="s">
        <v>20</v>
      </c>
      <c r="E276" t="s">
        <v>34</v>
      </c>
      <c r="F276" t="s">
        <v>14</v>
      </c>
      <c r="G276">
        <v>4.5599999999999996</v>
      </c>
      <c r="H276" t="s">
        <v>28</v>
      </c>
      <c r="I276" t="s">
        <v>16</v>
      </c>
      <c r="J276" t="s">
        <v>29</v>
      </c>
      <c r="K276" t="s">
        <v>40</v>
      </c>
      <c r="L276">
        <v>8</v>
      </c>
      <c r="M276" t="s">
        <v>19</v>
      </c>
      <c r="N276">
        <v>3</v>
      </c>
    </row>
    <row r="277" spans="1:14" x14ac:dyDescent="0.35">
      <c r="A277" s="5">
        <v>45643.547222222223</v>
      </c>
      <c r="B277" s="1" t="str">
        <f>TEXT(Coffee_Sales_Dataset[[#This Row],[Date]],"ddd")</f>
        <v>Tue</v>
      </c>
      <c r="C277">
        <f>HOUR(Coffee_Sales_Dataset[[#This Row],[Date]])</f>
        <v>13</v>
      </c>
      <c r="D277" t="s">
        <v>20</v>
      </c>
      <c r="E277" t="s">
        <v>21</v>
      </c>
      <c r="F277" t="s">
        <v>22</v>
      </c>
      <c r="G277">
        <v>4.41</v>
      </c>
      <c r="H277" t="s">
        <v>15</v>
      </c>
      <c r="I277" t="s">
        <v>16</v>
      </c>
      <c r="J277" t="s">
        <v>42</v>
      </c>
      <c r="K277" t="s">
        <v>18</v>
      </c>
      <c r="L277">
        <v>8</v>
      </c>
      <c r="M277" t="s">
        <v>37</v>
      </c>
      <c r="N277">
        <v>3</v>
      </c>
    </row>
    <row r="278" spans="1:14" x14ac:dyDescent="0.35">
      <c r="A278" s="5">
        <v>45643.474999999999</v>
      </c>
      <c r="B278" s="1" t="str">
        <f>TEXT(Coffee_Sales_Dataset[[#This Row],[Date]],"ddd")</f>
        <v>Tue</v>
      </c>
      <c r="C278">
        <f>HOUR(Coffee_Sales_Dataset[[#This Row],[Date]])</f>
        <v>11</v>
      </c>
      <c r="D278" t="s">
        <v>12</v>
      </c>
      <c r="E278" t="s">
        <v>38</v>
      </c>
      <c r="F278" t="s">
        <v>22</v>
      </c>
      <c r="G278">
        <v>5.15</v>
      </c>
      <c r="H278" t="s">
        <v>15</v>
      </c>
      <c r="I278" t="s">
        <v>23</v>
      </c>
      <c r="J278" t="s">
        <v>42</v>
      </c>
      <c r="K278" t="s">
        <v>40</v>
      </c>
      <c r="L278">
        <v>8</v>
      </c>
      <c r="M278" t="s">
        <v>37</v>
      </c>
      <c r="N278">
        <v>5</v>
      </c>
    </row>
    <row r="279" spans="1:14" x14ac:dyDescent="0.35">
      <c r="A279" s="5">
        <v>45653.488888888889</v>
      </c>
      <c r="B279" s="1" t="str">
        <f>TEXT(Coffee_Sales_Dataset[[#This Row],[Date]],"ddd")</f>
        <v>Fri</v>
      </c>
      <c r="C279">
        <f>HOUR(Coffee_Sales_Dataset[[#This Row],[Date]])</f>
        <v>11</v>
      </c>
      <c r="D279" t="s">
        <v>26</v>
      </c>
      <c r="E279" t="s">
        <v>27</v>
      </c>
      <c r="F279" t="s">
        <v>22</v>
      </c>
      <c r="G279">
        <v>3.01</v>
      </c>
      <c r="H279" t="s">
        <v>30</v>
      </c>
      <c r="I279" t="s">
        <v>16</v>
      </c>
      <c r="J279" t="s">
        <v>31</v>
      </c>
      <c r="K279" t="s">
        <v>32</v>
      </c>
      <c r="L279">
        <v>4</v>
      </c>
      <c r="M279" t="s">
        <v>39</v>
      </c>
      <c r="N279">
        <v>1</v>
      </c>
    </row>
    <row r="280" spans="1:14" x14ac:dyDescent="0.35">
      <c r="A280" s="5">
        <v>45655.57916666667</v>
      </c>
      <c r="B280" s="1" t="str">
        <f>TEXT(Coffee_Sales_Dataset[[#This Row],[Date]],"ddd")</f>
        <v>Sun</v>
      </c>
      <c r="C280">
        <f>HOUR(Coffee_Sales_Dataset[[#This Row],[Date]])</f>
        <v>13</v>
      </c>
      <c r="D280" t="s">
        <v>20</v>
      </c>
      <c r="E280" t="s">
        <v>34</v>
      </c>
      <c r="F280" t="s">
        <v>22</v>
      </c>
      <c r="G280">
        <v>3.58</v>
      </c>
      <c r="H280" t="s">
        <v>28</v>
      </c>
      <c r="I280" t="s">
        <v>16</v>
      </c>
      <c r="J280" t="s">
        <v>17</v>
      </c>
      <c r="K280" t="s">
        <v>40</v>
      </c>
      <c r="L280">
        <v>5</v>
      </c>
      <c r="M280" t="s">
        <v>39</v>
      </c>
      <c r="N280">
        <v>2</v>
      </c>
    </row>
    <row r="281" spans="1:14" x14ac:dyDescent="0.35">
      <c r="A281" s="5">
        <v>45642.433333333334</v>
      </c>
      <c r="B281" s="1" t="str">
        <f>TEXT(Coffee_Sales_Dataset[[#This Row],[Date]],"ddd")</f>
        <v>Mon</v>
      </c>
      <c r="C281">
        <f>HOUR(Coffee_Sales_Dataset[[#This Row],[Date]])</f>
        <v>10</v>
      </c>
      <c r="D281" t="s">
        <v>26</v>
      </c>
      <c r="E281" t="s">
        <v>44</v>
      </c>
      <c r="F281" t="s">
        <v>22</v>
      </c>
      <c r="G281">
        <v>4.49</v>
      </c>
      <c r="H281" t="s">
        <v>28</v>
      </c>
      <c r="I281" t="s">
        <v>23</v>
      </c>
      <c r="J281" t="s">
        <v>45</v>
      </c>
      <c r="K281" t="s">
        <v>18</v>
      </c>
      <c r="L281">
        <v>3</v>
      </c>
      <c r="M281" t="s">
        <v>25</v>
      </c>
      <c r="N281">
        <v>5</v>
      </c>
    </row>
    <row r="282" spans="1:14" x14ac:dyDescent="0.35">
      <c r="A282" s="5">
        <v>45654.339583333334</v>
      </c>
      <c r="B282" s="1" t="str">
        <f>TEXT(Coffee_Sales_Dataset[[#This Row],[Date]],"ddd")</f>
        <v>Sat</v>
      </c>
      <c r="C282">
        <f>HOUR(Coffee_Sales_Dataset[[#This Row],[Date]])</f>
        <v>8</v>
      </c>
      <c r="D282" t="s">
        <v>43</v>
      </c>
      <c r="E282" t="s">
        <v>27</v>
      </c>
      <c r="F282" t="s">
        <v>14</v>
      </c>
      <c r="G282">
        <v>3.98</v>
      </c>
      <c r="H282" t="s">
        <v>30</v>
      </c>
      <c r="I282" t="s">
        <v>16</v>
      </c>
      <c r="J282" t="s">
        <v>17</v>
      </c>
      <c r="K282" t="s">
        <v>40</v>
      </c>
      <c r="L282">
        <v>9</v>
      </c>
      <c r="M282" t="s">
        <v>19</v>
      </c>
      <c r="N282">
        <v>2</v>
      </c>
    </row>
    <row r="283" spans="1:14" x14ac:dyDescent="0.35">
      <c r="A283" s="5">
        <v>45652.520833333336</v>
      </c>
      <c r="B283" s="1" t="str">
        <f>TEXT(Coffee_Sales_Dataset[[#This Row],[Date]],"ddd")</f>
        <v>Thu</v>
      </c>
      <c r="C283">
        <f>HOUR(Coffee_Sales_Dataset[[#This Row],[Date]])</f>
        <v>12</v>
      </c>
      <c r="D283" t="s">
        <v>12</v>
      </c>
      <c r="E283" t="s">
        <v>44</v>
      </c>
      <c r="F283" t="s">
        <v>22</v>
      </c>
      <c r="G283">
        <v>4.78</v>
      </c>
      <c r="H283" t="s">
        <v>28</v>
      </c>
      <c r="I283" t="s">
        <v>23</v>
      </c>
      <c r="J283" t="s">
        <v>24</v>
      </c>
      <c r="K283" t="s">
        <v>40</v>
      </c>
      <c r="L283">
        <v>4</v>
      </c>
      <c r="M283" t="s">
        <v>39</v>
      </c>
      <c r="N283">
        <v>1</v>
      </c>
    </row>
    <row r="284" spans="1:14" x14ac:dyDescent="0.35">
      <c r="A284" s="5">
        <v>45650.438888888886</v>
      </c>
      <c r="B284" s="1" t="str">
        <f>TEXT(Coffee_Sales_Dataset[[#This Row],[Date]],"ddd")</f>
        <v>Tue</v>
      </c>
      <c r="C284">
        <f>HOUR(Coffee_Sales_Dataset[[#This Row],[Date]])</f>
        <v>10</v>
      </c>
      <c r="D284" t="s">
        <v>20</v>
      </c>
      <c r="E284" t="s">
        <v>13</v>
      </c>
      <c r="F284" t="s">
        <v>22</v>
      </c>
      <c r="G284">
        <v>6.33</v>
      </c>
      <c r="H284" t="s">
        <v>28</v>
      </c>
      <c r="I284" t="s">
        <v>16</v>
      </c>
      <c r="J284" t="s">
        <v>31</v>
      </c>
      <c r="K284" t="s">
        <v>18</v>
      </c>
      <c r="L284">
        <v>6</v>
      </c>
      <c r="M284" t="s">
        <v>37</v>
      </c>
      <c r="N284">
        <v>5</v>
      </c>
    </row>
    <row r="285" spans="1:14" x14ac:dyDescent="0.35">
      <c r="A285" s="5">
        <v>45645.477083333331</v>
      </c>
      <c r="B285" s="1" t="str">
        <f>TEXT(Coffee_Sales_Dataset[[#This Row],[Date]],"ddd")</f>
        <v>Thu</v>
      </c>
      <c r="C285">
        <f>HOUR(Coffee_Sales_Dataset[[#This Row],[Date]])</f>
        <v>11</v>
      </c>
      <c r="D285" t="s">
        <v>20</v>
      </c>
      <c r="E285" t="s">
        <v>34</v>
      </c>
      <c r="F285" t="s">
        <v>14</v>
      </c>
      <c r="G285">
        <v>5.09</v>
      </c>
      <c r="H285" t="s">
        <v>30</v>
      </c>
      <c r="I285" t="s">
        <v>23</v>
      </c>
      <c r="J285" t="s">
        <v>42</v>
      </c>
      <c r="K285" t="s">
        <v>18</v>
      </c>
      <c r="L285">
        <v>2</v>
      </c>
      <c r="M285" t="s">
        <v>36</v>
      </c>
      <c r="N285">
        <v>4</v>
      </c>
    </row>
    <row r="286" spans="1:14" x14ac:dyDescent="0.35">
      <c r="A286" s="5">
        <v>45643.693055555559</v>
      </c>
      <c r="B286" s="1" t="str">
        <f>TEXT(Coffee_Sales_Dataset[[#This Row],[Date]],"ddd")</f>
        <v>Tue</v>
      </c>
      <c r="C286">
        <f>HOUR(Coffee_Sales_Dataset[[#This Row],[Date]])</f>
        <v>16</v>
      </c>
      <c r="D286" t="s">
        <v>26</v>
      </c>
      <c r="E286" t="s">
        <v>21</v>
      </c>
      <c r="F286" t="s">
        <v>35</v>
      </c>
      <c r="G286">
        <v>4.87</v>
      </c>
      <c r="H286" t="s">
        <v>15</v>
      </c>
      <c r="I286" t="s">
        <v>16</v>
      </c>
      <c r="J286" t="s">
        <v>42</v>
      </c>
      <c r="K286" t="s">
        <v>40</v>
      </c>
      <c r="L286">
        <v>2</v>
      </c>
      <c r="M286" t="s">
        <v>33</v>
      </c>
      <c r="N286">
        <v>3</v>
      </c>
    </row>
    <row r="287" spans="1:14" x14ac:dyDescent="0.35">
      <c r="A287" s="5">
        <v>45651.470138888886</v>
      </c>
      <c r="B287" s="1" t="str">
        <f>TEXT(Coffee_Sales_Dataset[[#This Row],[Date]],"ddd")</f>
        <v>Wed</v>
      </c>
      <c r="C287">
        <f>HOUR(Coffee_Sales_Dataset[[#This Row],[Date]])</f>
        <v>11</v>
      </c>
      <c r="D287" t="s">
        <v>26</v>
      </c>
      <c r="E287" t="s">
        <v>13</v>
      </c>
      <c r="F287" t="s">
        <v>14</v>
      </c>
      <c r="G287">
        <v>4.45</v>
      </c>
      <c r="H287" t="s">
        <v>15</v>
      </c>
      <c r="I287" t="s">
        <v>23</v>
      </c>
      <c r="J287" t="s">
        <v>17</v>
      </c>
      <c r="K287" t="s">
        <v>32</v>
      </c>
      <c r="L287">
        <v>4</v>
      </c>
      <c r="M287" t="s">
        <v>37</v>
      </c>
      <c r="N287">
        <v>1</v>
      </c>
    </row>
    <row r="288" spans="1:14" x14ac:dyDescent="0.35">
      <c r="A288" s="5">
        <v>45642.708333333336</v>
      </c>
      <c r="B288" s="1" t="str">
        <f>TEXT(Coffee_Sales_Dataset[[#This Row],[Date]],"ddd")</f>
        <v>Mon</v>
      </c>
      <c r="C288">
        <f>HOUR(Coffee_Sales_Dataset[[#This Row],[Date]])</f>
        <v>17</v>
      </c>
      <c r="D288" t="s">
        <v>43</v>
      </c>
      <c r="E288" t="s">
        <v>27</v>
      </c>
      <c r="F288" t="s">
        <v>35</v>
      </c>
      <c r="G288">
        <v>3.81</v>
      </c>
      <c r="H288" t="s">
        <v>30</v>
      </c>
      <c r="I288" t="s">
        <v>23</v>
      </c>
      <c r="J288" t="s">
        <v>24</v>
      </c>
      <c r="K288" t="s">
        <v>40</v>
      </c>
      <c r="L288">
        <v>2</v>
      </c>
      <c r="M288" t="s">
        <v>37</v>
      </c>
      <c r="N288">
        <v>4</v>
      </c>
    </row>
    <row r="289" spans="1:14" x14ac:dyDescent="0.35">
      <c r="A289" s="5">
        <v>45641.545138888891</v>
      </c>
      <c r="B289" s="1" t="str">
        <f>TEXT(Coffee_Sales_Dataset[[#This Row],[Date]],"ddd")</f>
        <v>Sun</v>
      </c>
      <c r="C289">
        <f>HOUR(Coffee_Sales_Dataset[[#This Row],[Date]])</f>
        <v>13</v>
      </c>
      <c r="D289" t="s">
        <v>43</v>
      </c>
      <c r="E289" t="s">
        <v>13</v>
      </c>
      <c r="F289" t="s">
        <v>22</v>
      </c>
      <c r="G289">
        <v>6.01</v>
      </c>
      <c r="H289" t="s">
        <v>15</v>
      </c>
      <c r="I289" t="s">
        <v>23</v>
      </c>
      <c r="J289" t="s">
        <v>24</v>
      </c>
      <c r="K289" t="s">
        <v>32</v>
      </c>
      <c r="L289">
        <v>7</v>
      </c>
      <c r="M289" t="s">
        <v>36</v>
      </c>
      <c r="N289">
        <v>1</v>
      </c>
    </row>
    <row r="290" spans="1:14" x14ac:dyDescent="0.35">
      <c r="A290" s="5">
        <v>45646.67083333333</v>
      </c>
      <c r="B290" s="1" t="str">
        <f>TEXT(Coffee_Sales_Dataset[[#This Row],[Date]],"ddd")</f>
        <v>Fri</v>
      </c>
      <c r="C290">
        <f>HOUR(Coffee_Sales_Dataset[[#This Row],[Date]])</f>
        <v>16</v>
      </c>
      <c r="D290" t="s">
        <v>41</v>
      </c>
      <c r="E290" t="s">
        <v>21</v>
      </c>
      <c r="F290" t="s">
        <v>14</v>
      </c>
      <c r="G290">
        <v>3.09</v>
      </c>
      <c r="H290" t="s">
        <v>15</v>
      </c>
      <c r="I290" t="s">
        <v>16</v>
      </c>
      <c r="J290" t="s">
        <v>31</v>
      </c>
      <c r="K290" t="s">
        <v>40</v>
      </c>
      <c r="L290">
        <v>6</v>
      </c>
      <c r="M290" t="s">
        <v>36</v>
      </c>
      <c r="N290">
        <v>2</v>
      </c>
    </row>
    <row r="291" spans="1:14" x14ac:dyDescent="0.35">
      <c r="A291" s="5">
        <v>45651.413888888892</v>
      </c>
      <c r="B291" s="1" t="str">
        <f>TEXT(Coffee_Sales_Dataset[[#This Row],[Date]],"ddd")</f>
        <v>Wed</v>
      </c>
      <c r="C291">
        <f>HOUR(Coffee_Sales_Dataset[[#This Row],[Date]])</f>
        <v>9</v>
      </c>
      <c r="D291" t="s">
        <v>26</v>
      </c>
      <c r="E291" t="s">
        <v>44</v>
      </c>
      <c r="F291" t="s">
        <v>14</v>
      </c>
      <c r="G291">
        <v>6.54</v>
      </c>
      <c r="H291" t="s">
        <v>28</v>
      </c>
      <c r="I291" t="s">
        <v>23</v>
      </c>
      <c r="J291" t="s">
        <v>45</v>
      </c>
      <c r="K291" t="s">
        <v>40</v>
      </c>
      <c r="L291">
        <v>10</v>
      </c>
      <c r="M291" t="s">
        <v>37</v>
      </c>
      <c r="N291">
        <v>5</v>
      </c>
    </row>
    <row r="292" spans="1:14" x14ac:dyDescent="0.35">
      <c r="A292" s="5">
        <v>45651.561111111114</v>
      </c>
      <c r="B292" s="1" t="str">
        <f>TEXT(Coffee_Sales_Dataset[[#This Row],[Date]],"ddd")</f>
        <v>Wed</v>
      </c>
      <c r="C292">
        <f>HOUR(Coffee_Sales_Dataset[[#This Row],[Date]])</f>
        <v>13</v>
      </c>
      <c r="D292" t="s">
        <v>20</v>
      </c>
      <c r="E292" t="s">
        <v>34</v>
      </c>
      <c r="F292" t="s">
        <v>22</v>
      </c>
      <c r="G292">
        <v>4.4400000000000004</v>
      </c>
      <c r="H292" t="s">
        <v>15</v>
      </c>
      <c r="I292" t="s">
        <v>23</v>
      </c>
      <c r="J292" t="s">
        <v>45</v>
      </c>
      <c r="K292" t="s">
        <v>18</v>
      </c>
      <c r="L292">
        <v>8</v>
      </c>
      <c r="M292" t="s">
        <v>36</v>
      </c>
      <c r="N292">
        <v>2</v>
      </c>
    </row>
    <row r="293" spans="1:14" x14ac:dyDescent="0.35">
      <c r="A293" s="5">
        <v>45656.711111111108</v>
      </c>
      <c r="B293" s="1" t="str">
        <f>TEXT(Coffee_Sales_Dataset[[#This Row],[Date]],"ddd")</f>
        <v>Mon</v>
      </c>
      <c r="C293">
        <f>HOUR(Coffee_Sales_Dataset[[#This Row],[Date]])</f>
        <v>17</v>
      </c>
      <c r="D293" t="s">
        <v>20</v>
      </c>
      <c r="E293" t="s">
        <v>38</v>
      </c>
      <c r="F293" t="s">
        <v>35</v>
      </c>
      <c r="G293">
        <v>6.98</v>
      </c>
      <c r="H293" t="s">
        <v>30</v>
      </c>
      <c r="I293" t="s">
        <v>23</v>
      </c>
      <c r="J293" t="s">
        <v>17</v>
      </c>
      <c r="K293" t="s">
        <v>32</v>
      </c>
      <c r="L293">
        <v>10</v>
      </c>
      <c r="M293" t="s">
        <v>33</v>
      </c>
      <c r="N293">
        <v>1</v>
      </c>
    </row>
    <row r="294" spans="1:14" x14ac:dyDescent="0.35">
      <c r="A294" s="5">
        <v>45648.638888888891</v>
      </c>
      <c r="B294" s="1" t="str">
        <f>TEXT(Coffee_Sales_Dataset[[#This Row],[Date]],"ddd")</f>
        <v>Sun</v>
      </c>
      <c r="C294">
        <f>HOUR(Coffee_Sales_Dataset[[#This Row],[Date]])</f>
        <v>15</v>
      </c>
      <c r="D294" t="s">
        <v>20</v>
      </c>
      <c r="E294" t="s">
        <v>34</v>
      </c>
      <c r="F294" t="s">
        <v>14</v>
      </c>
      <c r="G294">
        <v>3.27</v>
      </c>
      <c r="H294" t="s">
        <v>28</v>
      </c>
      <c r="I294" t="s">
        <v>16</v>
      </c>
      <c r="J294" t="s">
        <v>24</v>
      </c>
      <c r="K294" t="s">
        <v>40</v>
      </c>
      <c r="L294">
        <v>3</v>
      </c>
      <c r="M294" t="s">
        <v>36</v>
      </c>
      <c r="N294">
        <v>4</v>
      </c>
    </row>
    <row r="295" spans="1:14" x14ac:dyDescent="0.35">
      <c r="A295" s="5">
        <v>45645.636111111111</v>
      </c>
      <c r="B295" s="1" t="str">
        <f>TEXT(Coffee_Sales_Dataset[[#This Row],[Date]],"ddd")</f>
        <v>Thu</v>
      </c>
      <c r="C295">
        <f>HOUR(Coffee_Sales_Dataset[[#This Row],[Date]])</f>
        <v>15</v>
      </c>
      <c r="D295" t="s">
        <v>12</v>
      </c>
      <c r="E295" t="s">
        <v>44</v>
      </c>
      <c r="F295" t="s">
        <v>14</v>
      </c>
      <c r="G295">
        <v>6.76</v>
      </c>
      <c r="H295" t="s">
        <v>28</v>
      </c>
      <c r="I295" t="s">
        <v>16</v>
      </c>
      <c r="J295" t="s">
        <v>29</v>
      </c>
      <c r="K295" t="s">
        <v>32</v>
      </c>
      <c r="L295">
        <v>6</v>
      </c>
      <c r="M295" t="s">
        <v>25</v>
      </c>
      <c r="N295">
        <v>4</v>
      </c>
    </row>
    <row r="296" spans="1:14" x14ac:dyDescent="0.35">
      <c r="A296" s="5">
        <v>45654.436111111114</v>
      </c>
      <c r="B296" s="1" t="str">
        <f>TEXT(Coffee_Sales_Dataset[[#This Row],[Date]],"ddd")</f>
        <v>Sat</v>
      </c>
      <c r="C296">
        <f>HOUR(Coffee_Sales_Dataset[[#This Row],[Date]])</f>
        <v>10</v>
      </c>
      <c r="D296" t="s">
        <v>43</v>
      </c>
      <c r="E296" t="s">
        <v>38</v>
      </c>
      <c r="F296" t="s">
        <v>35</v>
      </c>
      <c r="G296">
        <v>6.81</v>
      </c>
      <c r="H296" t="s">
        <v>15</v>
      </c>
      <c r="I296" t="s">
        <v>23</v>
      </c>
      <c r="J296" t="s">
        <v>45</v>
      </c>
      <c r="K296" t="s">
        <v>32</v>
      </c>
      <c r="L296">
        <v>10</v>
      </c>
      <c r="M296" t="s">
        <v>25</v>
      </c>
      <c r="N296">
        <v>3</v>
      </c>
    </row>
    <row r="297" spans="1:14" x14ac:dyDescent="0.35">
      <c r="A297" s="5">
        <v>45655.36041666667</v>
      </c>
      <c r="B297" s="1" t="str">
        <f>TEXT(Coffee_Sales_Dataset[[#This Row],[Date]],"ddd")</f>
        <v>Sun</v>
      </c>
      <c r="C297">
        <f>HOUR(Coffee_Sales_Dataset[[#This Row],[Date]])</f>
        <v>8</v>
      </c>
      <c r="D297" t="s">
        <v>26</v>
      </c>
      <c r="E297" t="s">
        <v>44</v>
      </c>
      <c r="F297" t="s">
        <v>14</v>
      </c>
      <c r="G297">
        <v>5.8</v>
      </c>
      <c r="H297" t="s">
        <v>28</v>
      </c>
      <c r="I297" t="s">
        <v>23</v>
      </c>
      <c r="J297" t="s">
        <v>17</v>
      </c>
      <c r="K297" t="s">
        <v>40</v>
      </c>
      <c r="L297">
        <v>6</v>
      </c>
      <c r="M297" t="s">
        <v>25</v>
      </c>
      <c r="N297">
        <v>2</v>
      </c>
    </row>
    <row r="298" spans="1:14" x14ac:dyDescent="0.35">
      <c r="A298" s="5">
        <v>45650.384722222225</v>
      </c>
      <c r="B298" s="1" t="str">
        <f>TEXT(Coffee_Sales_Dataset[[#This Row],[Date]],"ddd")</f>
        <v>Tue</v>
      </c>
      <c r="C298">
        <f>HOUR(Coffee_Sales_Dataset[[#This Row],[Date]])</f>
        <v>9</v>
      </c>
      <c r="D298" t="s">
        <v>12</v>
      </c>
      <c r="E298" t="s">
        <v>21</v>
      </c>
      <c r="F298" t="s">
        <v>22</v>
      </c>
      <c r="G298">
        <v>5.68</v>
      </c>
      <c r="H298" t="s">
        <v>15</v>
      </c>
      <c r="I298" t="s">
        <v>16</v>
      </c>
      <c r="J298" t="s">
        <v>42</v>
      </c>
      <c r="K298" t="s">
        <v>18</v>
      </c>
      <c r="L298">
        <v>10</v>
      </c>
      <c r="M298" t="s">
        <v>33</v>
      </c>
      <c r="N298">
        <v>4</v>
      </c>
    </row>
    <row r="299" spans="1:14" x14ac:dyDescent="0.35">
      <c r="A299" s="5">
        <v>45642.448611111111</v>
      </c>
      <c r="B299" s="1" t="str">
        <f>TEXT(Coffee_Sales_Dataset[[#This Row],[Date]],"ddd")</f>
        <v>Mon</v>
      </c>
      <c r="C299">
        <f>HOUR(Coffee_Sales_Dataset[[#This Row],[Date]])</f>
        <v>10</v>
      </c>
      <c r="D299" t="s">
        <v>26</v>
      </c>
      <c r="E299" t="s">
        <v>46</v>
      </c>
      <c r="F299" t="s">
        <v>22</v>
      </c>
      <c r="G299">
        <v>3.8</v>
      </c>
      <c r="H299" t="s">
        <v>15</v>
      </c>
      <c r="I299" t="s">
        <v>23</v>
      </c>
      <c r="J299" t="s">
        <v>24</v>
      </c>
      <c r="K299" t="s">
        <v>32</v>
      </c>
      <c r="L299">
        <v>9</v>
      </c>
      <c r="M299" t="s">
        <v>36</v>
      </c>
      <c r="N299">
        <v>4</v>
      </c>
    </row>
    <row r="300" spans="1:14" x14ac:dyDescent="0.35">
      <c r="A300" s="5">
        <v>45642.626388888886</v>
      </c>
      <c r="B300" s="1" t="str">
        <f>TEXT(Coffee_Sales_Dataset[[#This Row],[Date]],"ddd")</f>
        <v>Mon</v>
      </c>
      <c r="C300">
        <f>HOUR(Coffee_Sales_Dataset[[#This Row],[Date]])</f>
        <v>15</v>
      </c>
      <c r="D300" t="s">
        <v>41</v>
      </c>
      <c r="E300" t="s">
        <v>27</v>
      </c>
      <c r="F300" t="s">
        <v>22</v>
      </c>
      <c r="G300">
        <v>3.58</v>
      </c>
      <c r="H300" t="s">
        <v>30</v>
      </c>
      <c r="I300" t="s">
        <v>16</v>
      </c>
      <c r="J300" t="s">
        <v>31</v>
      </c>
      <c r="K300" t="s">
        <v>40</v>
      </c>
      <c r="L300">
        <v>8</v>
      </c>
      <c r="M300" t="s">
        <v>39</v>
      </c>
      <c r="N300">
        <v>3</v>
      </c>
    </row>
    <row r="301" spans="1:14" x14ac:dyDescent="0.35">
      <c r="A301" s="5">
        <v>45653.634027777778</v>
      </c>
      <c r="B301" s="1" t="str">
        <f>TEXT(Coffee_Sales_Dataset[[#This Row],[Date]],"ddd")</f>
        <v>Fri</v>
      </c>
      <c r="C301">
        <f>HOUR(Coffee_Sales_Dataset[[#This Row],[Date]])</f>
        <v>15</v>
      </c>
      <c r="D301" t="s">
        <v>26</v>
      </c>
      <c r="E301" t="s">
        <v>27</v>
      </c>
      <c r="F301" t="s">
        <v>14</v>
      </c>
      <c r="G301">
        <v>6.81</v>
      </c>
      <c r="H301" t="s">
        <v>28</v>
      </c>
      <c r="I301" t="s">
        <v>16</v>
      </c>
      <c r="J301" t="s">
        <v>24</v>
      </c>
      <c r="K301" t="s">
        <v>32</v>
      </c>
      <c r="L301">
        <v>4</v>
      </c>
      <c r="M301" t="s">
        <v>39</v>
      </c>
      <c r="N301">
        <v>2</v>
      </c>
    </row>
    <row r="302" spans="1:14" x14ac:dyDescent="0.35">
      <c r="A302" s="5">
        <v>45642.586805555555</v>
      </c>
      <c r="B302" s="1" t="str">
        <f>TEXT(Coffee_Sales_Dataset[[#This Row],[Date]],"ddd")</f>
        <v>Mon</v>
      </c>
      <c r="C302">
        <f>HOUR(Coffee_Sales_Dataset[[#This Row],[Date]])</f>
        <v>14</v>
      </c>
      <c r="D302" t="s">
        <v>43</v>
      </c>
      <c r="E302" t="s">
        <v>21</v>
      </c>
      <c r="F302" t="s">
        <v>35</v>
      </c>
      <c r="G302">
        <v>4.8099999999999996</v>
      </c>
      <c r="H302" t="s">
        <v>15</v>
      </c>
      <c r="I302" t="s">
        <v>23</v>
      </c>
      <c r="J302" t="s">
        <v>45</v>
      </c>
      <c r="K302" t="s">
        <v>32</v>
      </c>
      <c r="L302">
        <v>4</v>
      </c>
      <c r="M302" t="s">
        <v>33</v>
      </c>
      <c r="N302">
        <v>1</v>
      </c>
    </row>
    <row r="303" spans="1:14" x14ac:dyDescent="0.35">
      <c r="A303" s="5">
        <v>45642.597916666666</v>
      </c>
      <c r="B303" s="1" t="str">
        <f>TEXT(Coffee_Sales_Dataset[[#This Row],[Date]],"ddd")</f>
        <v>Mon</v>
      </c>
      <c r="C303">
        <f>HOUR(Coffee_Sales_Dataset[[#This Row],[Date]])</f>
        <v>14</v>
      </c>
      <c r="D303" t="s">
        <v>43</v>
      </c>
      <c r="E303" t="s">
        <v>27</v>
      </c>
      <c r="F303" t="s">
        <v>14</v>
      </c>
      <c r="G303">
        <v>4.4000000000000004</v>
      </c>
      <c r="H303" t="s">
        <v>15</v>
      </c>
      <c r="I303" t="s">
        <v>16</v>
      </c>
      <c r="J303" t="s">
        <v>42</v>
      </c>
      <c r="K303" t="s">
        <v>18</v>
      </c>
      <c r="L303">
        <v>4</v>
      </c>
      <c r="M303" t="s">
        <v>19</v>
      </c>
      <c r="N303">
        <v>4</v>
      </c>
    </row>
    <row r="304" spans="1:14" x14ac:dyDescent="0.35">
      <c r="A304" s="5">
        <v>45646.724999999999</v>
      </c>
      <c r="B304" s="1" t="str">
        <f>TEXT(Coffee_Sales_Dataset[[#This Row],[Date]],"ddd")</f>
        <v>Fri</v>
      </c>
      <c r="C304">
        <f>HOUR(Coffee_Sales_Dataset[[#This Row],[Date]])</f>
        <v>17</v>
      </c>
      <c r="D304" t="s">
        <v>26</v>
      </c>
      <c r="E304" t="s">
        <v>38</v>
      </c>
      <c r="F304" t="s">
        <v>35</v>
      </c>
      <c r="G304">
        <v>3.79</v>
      </c>
      <c r="H304" t="s">
        <v>28</v>
      </c>
      <c r="I304" t="s">
        <v>23</v>
      </c>
      <c r="J304" t="s">
        <v>24</v>
      </c>
      <c r="K304" t="s">
        <v>18</v>
      </c>
      <c r="L304">
        <v>7</v>
      </c>
      <c r="M304" t="s">
        <v>39</v>
      </c>
      <c r="N304">
        <v>2</v>
      </c>
    </row>
    <row r="305" spans="1:14" x14ac:dyDescent="0.35">
      <c r="A305" s="5">
        <v>45655.438194444447</v>
      </c>
      <c r="B305" s="1" t="str">
        <f>TEXT(Coffee_Sales_Dataset[[#This Row],[Date]],"ddd")</f>
        <v>Sun</v>
      </c>
      <c r="C305">
        <f>HOUR(Coffee_Sales_Dataset[[#This Row],[Date]])</f>
        <v>10</v>
      </c>
      <c r="D305" t="s">
        <v>43</v>
      </c>
      <c r="E305" t="s">
        <v>13</v>
      </c>
      <c r="F305" t="s">
        <v>35</v>
      </c>
      <c r="G305">
        <v>4.63</v>
      </c>
      <c r="H305" t="s">
        <v>28</v>
      </c>
      <c r="I305" t="s">
        <v>23</v>
      </c>
      <c r="J305" t="s">
        <v>42</v>
      </c>
      <c r="K305" t="s">
        <v>40</v>
      </c>
      <c r="L305">
        <v>9</v>
      </c>
      <c r="M305" t="s">
        <v>19</v>
      </c>
      <c r="N305">
        <v>5</v>
      </c>
    </row>
    <row r="306" spans="1:14" x14ac:dyDescent="0.35">
      <c r="A306" s="5">
        <v>45642.490972222222</v>
      </c>
      <c r="B306" s="1" t="str">
        <f>TEXT(Coffee_Sales_Dataset[[#This Row],[Date]],"ddd")</f>
        <v>Mon</v>
      </c>
      <c r="C306">
        <f>HOUR(Coffee_Sales_Dataset[[#This Row],[Date]])</f>
        <v>11</v>
      </c>
      <c r="D306" t="s">
        <v>20</v>
      </c>
      <c r="E306" t="s">
        <v>46</v>
      </c>
      <c r="F306" t="s">
        <v>35</v>
      </c>
      <c r="G306">
        <v>5.18</v>
      </c>
      <c r="H306" t="s">
        <v>30</v>
      </c>
      <c r="I306" t="s">
        <v>16</v>
      </c>
      <c r="J306" t="s">
        <v>17</v>
      </c>
      <c r="K306" t="s">
        <v>32</v>
      </c>
      <c r="L306">
        <v>5</v>
      </c>
      <c r="M306" t="s">
        <v>36</v>
      </c>
      <c r="N306">
        <v>5</v>
      </c>
    </row>
    <row r="307" spans="1:14" x14ac:dyDescent="0.35">
      <c r="A307" s="5">
        <v>45656.577777777777</v>
      </c>
      <c r="B307" s="1" t="str">
        <f>TEXT(Coffee_Sales_Dataset[[#This Row],[Date]],"ddd")</f>
        <v>Mon</v>
      </c>
      <c r="C307">
        <f>HOUR(Coffee_Sales_Dataset[[#This Row],[Date]])</f>
        <v>13</v>
      </c>
      <c r="D307" t="s">
        <v>43</v>
      </c>
      <c r="E307" t="s">
        <v>13</v>
      </c>
      <c r="F307" t="s">
        <v>22</v>
      </c>
      <c r="G307">
        <v>6.59</v>
      </c>
      <c r="H307" t="s">
        <v>28</v>
      </c>
      <c r="I307" t="s">
        <v>23</v>
      </c>
      <c r="J307" t="s">
        <v>45</v>
      </c>
      <c r="K307" t="s">
        <v>32</v>
      </c>
      <c r="L307">
        <v>9</v>
      </c>
      <c r="M307" t="s">
        <v>25</v>
      </c>
      <c r="N307">
        <v>4</v>
      </c>
    </row>
    <row r="308" spans="1:14" x14ac:dyDescent="0.35">
      <c r="A308" s="5">
        <v>45646.685416666667</v>
      </c>
      <c r="B308" s="1" t="str">
        <f>TEXT(Coffee_Sales_Dataset[[#This Row],[Date]],"ddd")</f>
        <v>Fri</v>
      </c>
      <c r="C308">
        <f>HOUR(Coffee_Sales_Dataset[[#This Row],[Date]])</f>
        <v>16</v>
      </c>
      <c r="D308" t="s">
        <v>41</v>
      </c>
      <c r="E308" t="s">
        <v>21</v>
      </c>
      <c r="F308" t="s">
        <v>22</v>
      </c>
      <c r="G308">
        <v>3.45</v>
      </c>
      <c r="H308" t="s">
        <v>30</v>
      </c>
      <c r="I308" t="s">
        <v>16</v>
      </c>
      <c r="J308" t="s">
        <v>42</v>
      </c>
      <c r="K308" t="s">
        <v>32</v>
      </c>
      <c r="L308">
        <v>4</v>
      </c>
      <c r="M308" t="s">
        <v>37</v>
      </c>
      <c r="N308">
        <v>5</v>
      </c>
    </row>
    <row r="309" spans="1:14" x14ac:dyDescent="0.35">
      <c r="A309" s="5">
        <v>45643.6</v>
      </c>
      <c r="B309" s="1" t="str">
        <f>TEXT(Coffee_Sales_Dataset[[#This Row],[Date]],"ddd")</f>
        <v>Tue</v>
      </c>
      <c r="C309">
        <f>HOUR(Coffee_Sales_Dataset[[#This Row],[Date]])</f>
        <v>14</v>
      </c>
      <c r="D309" t="s">
        <v>43</v>
      </c>
      <c r="E309" t="s">
        <v>21</v>
      </c>
      <c r="F309" t="s">
        <v>35</v>
      </c>
      <c r="G309">
        <v>5.75</v>
      </c>
      <c r="H309" t="s">
        <v>15</v>
      </c>
      <c r="I309" t="s">
        <v>16</v>
      </c>
      <c r="J309" t="s">
        <v>45</v>
      </c>
      <c r="K309" t="s">
        <v>18</v>
      </c>
      <c r="L309">
        <v>3</v>
      </c>
      <c r="M309" t="s">
        <v>39</v>
      </c>
      <c r="N309">
        <v>1</v>
      </c>
    </row>
    <row r="310" spans="1:14" x14ac:dyDescent="0.35">
      <c r="A310" s="5">
        <v>45642.36041666667</v>
      </c>
      <c r="B310" s="1" t="str">
        <f>TEXT(Coffee_Sales_Dataset[[#This Row],[Date]],"ddd")</f>
        <v>Mon</v>
      </c>
      <c r="C310">
        <f>HOUR(Coffee_Sales_Dataset[[#This Row],[Date]])</f>
        <v>8</v>
      </c>
      <c r="D310" t="s">
        <v>12</v>
      </c>
      <c r="E310" t="s">
        <v>13</v>
      </c>
      <c r="F310" t="s">
        <v>22</v>
      </c>
      <c r="G310">
        <v>6</v>
      </c>
      <c r="H310" t="s">
        <v>28</v>
      </c>
      <c r="I310" t="s">
        <v>23</v>
      </c>
      <c r="J310" t="s">
        <v>45</v>
      </c>
      <c r="K310" t="s">
        <v>32</v>
      </c>
      <c r="L310">
        <v>10</v>
      </c>
      <c r="M310" t="s">
        <v>37</v>
      </c>
      <c r="N310">
        <v>1</v>
      </c>
    </row>
    <row r="311" spans="1:14" x14ac:dyDescent="0.35">
      <c r="A311" s="5">
        <v>45651.592361111114</v>
      </c>
      <c r="B311" s="1" t="str">
        <f>TEXT(Coffee_Sales_Dataset[[#This Row],[Date]],"ddd")</f>
        <v>Wed</v>
      </c>
      <c r="C311">
        <f>HOUR(Coffee_Sales_Dataset[[#This Row],[Date]])</f>
        <v>14</v>
      </c>
      <c r="D311" t="s">
        <v>20</v>
      </c>
      <c r="E311" t="s">
        <v>21</v>
      </c>
      <c r="F311" t="s">
        <v>22</v>
      </c>
      <c r="G311">
        <v>5.21</v>
      </c>
      <c r="H311" t="s">
        <v>30</v>
      </c>
      <c r="I311" t="s">
        <v>23</v>
      </c>
      <c r="J311" t="s">
        <v>42</v>
      </c>
      <c r="K311" t="s">
        <v>40</v>
      </c>
      <c r="L311">
        <v>7</v>
      </c>
      <c r="M311" t="s">
        <v>33</v>
      </c>
      <c r="N311">
        <v>4</v>
      </c>
    </row>
    <row r="312" spans="1:14" x14ac:dyDescent="0.35">
      <c r="A312" s="5">
        <v>45647.583333333336</v>
      </c>
      <c r="B312" s="1" t="str">
        <f>TEXT(Coffee_Sales_Dataset[[#This Row],[Date]],"ddd")</f>
        <v>Sat</v>
      </c>
      <c r="C312">
        <f>HOUR(Coffee_Sales_Dataset[[#This Row],[Date]])</f>
        <v>14</v>
      </c>
      <c r="D312" t="s">
        <v>43</v>
      </c>
      <c r="E312" t="s">
        <v>21</v>
      </c>
      <c r="F312" t="s">
        <v>14</v>
      </c>
      <c r="G312">
        <v>5.03</v>
      </c>
      <c r="H312" t="s">
        <v>15</v>
      </c>
      <c r="I312" t="s">
        <v>16</v>
      </c>
      <c r="J312" t="s">
        <v>24</v>
      </c>
      <c r="K312" t="s">
        <v>32</v>
      </c>
      <c r="L312">
        <v>5</v>
      </c>
      <c r="M312" t="s">
        <v>39</v>
      </c>
      <c r="N312">
        <v>4</v>
      </c>
    </row>
    <row r="313" spans="1:14" x14ac:dyDescent="0.35">
      <c r="A313" s="5">
        <v>45641.339583333334</v>
      </c>
      <c r="B313" s="1" t="str">
        <f>TEXT(Coffee_Sales_Dataset[[#This Row],[Date]],"ddd")</f>
        <v>Sun</v>
      </c>
      <c r="C313">
        <f>HOUR(Coffee_Sales_Dataset[[#This Row],[Date]])</f>
        <v>8</v>
      </c>
      <c r="D313" t="s">
        <v>43</v>
      </c>
      <c r="E313" t="s">
        <v>21</v>
      </c>
      <c r="F313" t="s">
        <v>35</v>
      </c>
      <c r="G313">
        <v>6.28</v>
      </c>
      <c r="H313" t="s">
        <v>28</v>
      </c>
      <c r="I313" t="s">
        <v>16</v>
      </c>
      <c r="J313" t="s">
        <v>24</v>
      </c>
      <c r="K313" t="s">
        <v>40</v>
      </c>
      <c r="L313">
        <v>8</v>
      </c>
      <c r="M313" t="s">
        <v>36</v>
      </c>
      <c r="N313">
        <v>5</v>
      </c>
    </row>
    <row r="314" spans="1:14" x14ac:dyDescent="0.35">
      <c r="A314" s="5">
        <v>45656.48541666667</v>
      </c>
      <c r="B314" s="1" t="str">
        <f>TEXT(Coffee_Sales_Dataset[[#This Row],[Date]],"ddd")</f>
        <v>Mon</v>
      </c>
      <c r="C314">
        <f>HOUR(Coffee_Sales_Dataset[[#This Row],[Date]])</f>
        <v>11</v>
      </c>
      <c r="D314" t="s">
        <v>12</v>
      </c>
      <c r="E314" t="s">
        <v>21</v>
      </c>
      <c r="F314" t="s">
        <v>14</v>
      </c>
      <c r="G314">
        <v>6.21</v>
      </c>
      <c r="H314" t="s">
        <v>28</v>
      </c>
      <c r="I314" t="s">
        <v>16</v>
      </c>
      <c r="J314" t="s">
        <v>17</v>
      </c>
      <c r="K314" t="s">
        <v>18</v>
      </c>
      <c r="L314">
        <v>8</v>
      </c>
      <c r="M314" t="s">
        <v>19</v>
      </c>
      <c r="N314">
        <v>2</v>
      </c>
    </row>
    <row r="315" spans="1:14" x14ac:dyDescent="0.35">
      <c r="A315" s="5">
        <v>45647.564583333333</v>
      </c>
      <c r="B315" s="1" t="str">
        <f>TEXT(Coffee_Sales_Dataset[[#This Row],[Date]],"ddd")</f>
        <v>Sat</v>
      </c>
      <c r="C315">
        <f>HOUR(Coffee_Sales_Dataset[[#This Row],[Date]])</f>
        <v>13</v>
      </c>
      <c r="D315" t="s">
        <v>20</v>
      </c>
      <c r="E315" t="s">
        <v>46</v>
      </c>
      <c r="F315" t="s">
        <v>14</v>
      </c>
      <c r="G315">
        <v>3.4</v>
      </c>
      <c r="H315" t="s">
        <v>30</v>
      </c>
      <c r="I315" t="s">
        <v>23</v>
      </c>
      <c r="J315" t="s">
        <v>45</v>
      </c>
      <c r="K315" t="s">
        <v>18</v>
      </c>
      <c r="L315">
        <v>8</v>
      </c>
      <c r="M315" t="s">
        <v>33</v>
      </c>
      <c r="N315">
        <v>3</v>
      </c>
    </row>
    <row r="316" spans="1:14" x14ac:dyDescent="0.35">
      <c r="A316" s="5">
        <v>45654.430555555555</v>
      </c>
      <c r="B316" s="1" t="str">
        <f>TEXT(Coffee_Sales_Dataset[[#This Row],[Date]],"ddd")</f>
        <v>Sat</v>
      </c>
      <c r="C316">
        <f>HOUR(Coffee_Sales_Dataset[[#This Row],[Date]])</f>
        <v>10</v>
      </c>
      <c r="D316" t="s">
        <v>20</v>
      </c>
      <c r="E316" t="s">
        <v>13</v>
      </c>
      <c r="F316" t="s">
        <v>14</v>
      </c>
      <c r="G316">
        <v>3.1</v>
      </c>
      <c r="H316" t="s">
        <v>30</v>
      </c>
      <c r="I316" t="s">
        <v>23</v>
      </c>
      <c r="J316" t="s">
        <v>29</v>
      </c>
      <c r="K316" t="s">
        <v>18</v>
      </c>
      <c r="L316">
        <v>10</v>
      </c>
      <c r="M316" t="s">
        <v>39</v>
      </c>
      <c r="N316">
        <v>5</v>
      </c>
    </row>
    <row r="317" spans="1:14" x14ac:dyDescent="0.35">
      <c r="A317" s="5">
        <v>45647.436805555553</v>
      </c>
      <c r="B317" s="1" t="str">
        <f>TEXT(Coffee_Sales_Dataset[[#This Row],[Date]],"ddd")</f>
        <v>Sat</v>
      </c>
      <c r="C317">
        <f>HOUR(Coffee_Sales_Dataset[[#This Row],[Date]])</f>
        <v>10</v>
      </c>
      <c r="D317" t="s">
        <v>43</v>
      </c>
      <c r="E317" t="s">
        <v>27</v>
      </c>
      <c r="F317" t="s">
        <v>14</v>
      </c>
      <c r="G317">
        <v>5.61</v>
      </c>
      <c r="H317" t="s">
        <v>30</v>
      </c>
      <c r="I317" t="s">
        <v>16</v>
      </c>
      <c r="J317" t="s">
        <v>17</v>
      </c>
      <c r="K317" t="s">
        <v>18</v>
      </c>
      <c r="L317">
        <v>5</v>
      </c>
      <c r="M317" t="s">
        <v>19</v>
      </c>
      <c r="N317">
        <v>4</v>
      </c>
    </row>
    <row r="318" spans="1:14" x14ac:dyDescent="0.35">
      <c r="A318" s="5">
        <v>45653.345138888886</v>
      </c>
      <c r="B318" s="1" t="str">
        <f>TEXT(Coffee_Sales_Dataset[[#This Row],[Date]],"ddd")</f>
        <v>Fri</v>
      </c>
      <c r="C318">
        <f>HOUR(Coffee_Sales_Dataset[[#This Row],[Date]])</f>
        <v>8</v>
      </c>
      <c r="D318" t="s">
        <v>26</v>
      </c>
      <c r="E318" t="s">
        <v>27</v>
      </c>
      <c r="F318" t="s">
        <v>35</v>
      </c>
      <c r="G318">
        <v>3.09</v>
      </c>
      <c r="H318" t="s">
        <v>28</v>
      </c>
      <c r="I318" t="s">
        <v>23</v>
      </c>
      <c r="J318" t="s">
        <v>29</v>
      </c>
      <c r="K318" t="s">
        <v>32</v>
      </c>
      <c r="L318">
        <v>3</v>
      </c>
      <c r="M318" t="s">
        <v>39</v>
      </c>
      <c r="N318">
        <v>2</v>
      </c>
    </row>
    <row r="319" spans="1:14" x14ac:dyDescent="0.35">
      <c r="A319" s="5">
        <v>45645.420138888891</v>
      </c>
      <c r="B319" s="1" t="str">
        <f>TEXT(Coffee_Sales_Dataset[[#This Row],[Date]],"ddd")</f>
        <v>Thu</v>
      </c>
      <c r="C319">
        <f>HOUR(Coffee_Sales_Dataset[[#This Row],[Date]])</f>
        <v>10</v>
      </c>
      <c r="D319" t="s">
        <v>26</v>
      </c>
      <c r="E319" t="s">
        <v>46</v>
      </c>
      <c r="F319" t="s">
        <v>22</v>
      </c>
      <c r="G319">
        <v>6.65</v>
      </c>
      <c r="H319" t="s">
        <v>30</v>
      </c>
      <c r="I319" t="s">
        <v>16</v>
      </c>
      <c r="J319" t="s">
        <v>29</v>
      </c>
      <c r="K319" t="s">
        <v>32</v>
      </c>
      <c r="L319">
        <v>2</v>
      </c>
      <c r="M319" t="s">
        <v>25</v>
      </c>
      <c r="N319">
        <v>1</v>
      </c>
    </row>
    <row r="320" spans="1:14" x14ac:dyDescent="0.35">
      <c r="A320" s="5">
        <v>45648.384027777778</v>
      </c>
      <c r="B320" s="1" t="str">
        <f>TEXT(Coffee_Sales_Dataset[[#This Row],[Date]],"ddd")</f>
        <v>Sun</v>
      </c>
      <c r="C320">
        <f>HOUR(Coffee_Sales_Dataset[[#This Row],[Date]])</f>
        <v>9</v>
      </c>
      <c r="D320" t="s">
        <v>12</v>
      </c>
      <c r="E320" t="s">
        <v>46</v>
      </c>
      <c r="F320" t="s">
        <v>22</v>
      </c>
      <c r="G320">
        <v>5.53</v>
      </c>
      <c r="H320" t="s">
        <v>15</v>
      </c>
      <c r="I320" t="s">
        <v>23</v>
      </c>
      <c r="J320" t="s">
        <v>17</v>
      </c>
      <c r="K320" t="s">
        <v>32</v>
      </c>
      <c r="L320">
        <v>2</v>
      </c>
      <c r="M320" t="s">
        <v>36</v>
      </c>
      <c r="N320">
        <v>5</v>
      </c>
    </row>
    <row r="321" spans="1:14" x14ac:dyDescent="0.35">
      <c r="A321" s="5">
        <v>45651.338194444441</v>
      </c>
      <c r="B321" s="1" t="str">
        <f>TEXT(Coffee_Sales_Dataset[[#This Row],[Date]],"ddd")</f>
        <v>Wed</v>
      </c>
      <c r="C321">
        <f>HOUR(Coffee_Sales_Dataset[[#This Row],[Date]])</f>
        <v>8</v>
      </c>
      <c r="D321" t="s">
        <v>43</v>
      </c>
      <c r="E321" t="s">
        <v>34</v>
      </c>
      <c r="F321" t="s">
        <v>22</v>
      </c>
      <c r="G321">
        <v>6.98</v>
      </c>
      <c r="H321" t="s">
        <v>28</v>
      </c>
      <c r="I321" t="s">
        <v>23</v>
      </c>
      <c r="J321" t="s">
        <v>17</v>
      </c>
      <c r="K321" t="s">
        <v>18</v>
      </c>
      <c r="L321">
        <v>6</v>
      </c>
      <c r="M321" t="s">
        <v>39</v>
      </c>
      <c r="N321">
        <v>2</v>
      </c>
    </row>
    <row r="322" spans="1:14" x14ac:dyDescent="0.35">
      <c r="A322" s="5">
        <v>45650.667361111111</v>
      </c>
      <c r="B322" s="1" t="str">
        <f>TEXT(Coffee_Sales_Dataset[[#This Row],[Date]],"ddd")</f>
        <v>Tue</v>
      </c>
      <c r="C322">
        <f>HOUR(Coffee_Sales_Dataset[[#This Row],[Date]])</f>
        <v>16</v>
      </c>
      <c r="D322" t="s">
        <v>41</v>
      </c>
      <c r="E322" t="s">
        <v>38</v>
      </c>
      <c r="F322" t="s">
        <v>14</v>
      </c>
      <c r="G322">
        <v>3.87</v>
      </c>
      <c r="H322" t="s">
        <v>15</v>
      </c>
      <c r="I322" t="s">
        <v>23</v>
      </c>
      <c r="J322" t="s">
        <v>17</v>
      </c>
      <c r="K322" t="s">
        <v>40</v>
      </c>
      <c r="L322">
        <v>7</v>
      </c>
      <c r="M322" t="s">
        <v>36</v>
      </c>
      <c r="N322">
        <v>2</v>
      </c>
    </row>
    <row r="323" spans="1:14" x14ac:dyDescent="0.35">
      <c r="A323" s="5">
        <v>45642.428472222222</v>
      </c>
      <c r="B323" s="1" t="str">
        <f>TEXT(Coffee_Sales_Dataset[[#This Row],[Date]],"ddd")</f>
        <v>Mon</v>
      </c>
      <c r="C323">
        <f>HOUR(Coffee_Sales_Dataset[[#This Row],[Date]])</f>
        <v>10</v>
      </c>
      <c r="D323" t="s">
        <v>43</v>
      </c>
      <c r="E323" t="s">
        <v>46</v>
      </c>
      <c r="F323" t="s">
        <v>14</v>
      </c>
      <c r="G323">
        <v>6.81</v>
      </c>
      <c r="H323" t="s">
        <v>15</v>
      </c>
      <c r="I323" t="s">
        <v>16</v>
      </c>
      <c r="J323" t="s">
        <v>42</v>
      </c>
      <c r="K323" t="s">
        <v>18</v>
      </c>
      <c r="L323">
        <v>9</v>
      </c>
      <c r="M323" t="s">
        <v>25</v>
      </c>
      <c r="N323">
        <v>5</v>
      </c>
    </row>
    <row r="324" spans="1:14" x14ac:dyDescent="0.35">
      <c r="A324" s="5">
        <v>45656.469444444447</v>
      </c>
      <c r="B324" s="1" t="str">
        <f>TEXT(Coffee_Sales_Dataset[[#This Row],[Date]],"ddd")</f>
        <v>Mon</v>
      </c>
      <c r="C324">
        <f>HOUR(Coffee_Sales_Dataset[[#This Row],[Date]])</f>
        <v>11</v>
      </c>
      <c r="D324" t="s">
        <v>20</v>
      </c>
      <c r="E324" t="s">
        <v>27</v>
      </c>
      <c r="F324" t="s">
        <v>35</v>
      </c>
      <c r="G324">
        <v>6.38</v>
      </c>
      <c r="H324" t="s">
        <v>28</v>
      </c>
      <c r="I324" t="s">
        <v>16</v>
      </c>
      <c r="J324" t="s">
        <v>42</v>
      </c>
      <c r="K324" t="s">
        <v>40</v>
      </c>
      <c r="L324">
        <v>6</v>
      </c>
      <c r="M324" t="s">
        <v>36</v>
      </c>
      <c r="N324">
        <v>2</v>
      </c>
    </row>
    <row r="325" spans="1:14" x14ac:dyDescent="0.35">
      <c r="A325" s="5">
        <v>45656.643750000003</v>
      </c>
      <c r="B325" s="1" t="str">
        <f>TEXT(Coffee_Sales_Dataset[[#This Row],[Date]],"ddd")</f>
        <v>Mon</v>
      </c>
      <c r="C325">
        <f>HOUR(Coffee_Sales_Dataset[[#This Row],[Date]])</f>
        <v>15</v>
      </c>
      <c r="D325" t="s">
        <v>12</v>
      </c>
      <c r="E325" t="s">
        <v>46</v>
      </c>
      <c r="F325" t="s">
        <v>35</v>
      </c>
      <c r="G325">
        <v>5.99</v>
      </c>
      <c r="H325" t="s">
        <v>15</v>
      </c>
      <c r="I325" t="s">
        <v>23</v>
      </c>
      <c r="J325" t="s">
        <v>31</v>
      </c>
      <c r="K325" t="s">
        <v>32</v>
      </c>
      <c r="L325">
        <v>8</v>
      </c>
      <c r="M325" t="s">
        <v>36</v>
      </c>
      <c r="N325">
        <v>5</v>
      </c>
    </row>
    <row r="326" spans="1:14" x14ac:dyDescent="0.35">
      <c r="A326" s="5">
        <v>45646.394444444442</v>
      </c>
      <c r="B326" s="1" t="str">
        <f>TEXT(Coffee_Sales_Dataset[[#This Row],[Date]],"ddd")</f>
        <v>Fri</v>
      </c>
      <c r="C326">
        <f>HOUR(Coffee_Sales_Dataset[[#This Row],[Date]])</f>
        <v>9</v>
      </c>
      <c r="D326" t="s">
        <v>20</v>
      </c>
      <c r="E326" t="s">
        <v>13</v>
      </c>
      <c r="F326" t="s">
        <v>35</v>
      </c>
      <c r="G326">
        <v>4.01</v>
      </c>
      <c r="H326" t="s">
        <v>15</v>
      </c>
      <c r="I326" t="s">
        <v>16</v>
      </c>
      <c r="J326" t="s">
        <v>31</v>
      </c>
      <c r="K326" t="s">
        <v>18</v>
      </c>
      <c r="L326">
        <v>10</v>
      </c>
      <c r="M326" t="s">
        <v>47</v>
      </c>
      <c r="N326">
        <v>4</v>
      </c>
    </row>
    <row r="327" spans="1:14" x14ac:dyDescent="0.35">
      <c r="A327" s="5">
        <v>45641.45208333333</v>
      </c>
      <c r="B327" s="1" t="str">
        <f>TEXT(Coffee_Sales_Dataset[[#This Row],[Date]],"ddd")</f>
        <v>Sun</v>
      </c>
      <c r="C327">
        <f>HOUR(Coffee_Sales_Dataset[[#This Row],[Date]])</f>
        <v>10</v>
      </c>
      <c r="D327" t="s">
        <v>43</v>
      </c>
      <c r="E327" t="s">
        <v>46</v>
      </c>
      <c r="F327" t="s">
        <v>14</v>
      </c>
      <c r="G327">
        <v>4.43</v>
      </c>
      <c r="H327" t="s">
        <v>30</v>
      </c>
      <c r="I327" t="s">
        <v>23</v>
      </c>
      <c r="J327" t="s">
        <v>45</v>
      </c>
      <c r="K327" t="s">
        <v>32</v>
      </c>
      <c r="L327">
        <v>7</v>
      </c>
      <c r="M327" t="s">
        <v>36</v>
      </c>
      <c r="N327">
        <v>3</v>
      </c>
    </row>
    <row r="328" spans="1:14" x14ac:dyDescent="0.35">
      <c r="A328" s="5">
        <v>45642.572222222225</v>
      </c>
      <c r="B328" s="1" t="str">
        <f>TEXT(Coffee_Sales_Dataset[[#This Row],[Date]],"ddd")</f>
        <v>Mon</v>
      </c>
      <c r="C328">
        <f>HOUR(Coffee_Sales_Dataset[[#This Row],[Date]])</f>
        <v>13</v>
      </c>
      <c r="D328" t="s">
        <v>26</v>
      </c>
      <c r="E328" t="s">
        <v>44</v>
      </c>
      <c r="F328" t="s">
        <v>22</v>
      </c>
      <c r="G328">
        <v>3.86</v>
      </c>
      <c r="H328" t="s">
        <v>28</v>
      </c>
      <c r="I328" t="s">
        <v>16</v>
      </c>
      <c r="J328" t="s">
        <v>17</v>
      </c>
      <c r="K328" t="s">
        <v>18</v>
      </c>
      <c r="L328">
        <v>3</v>
      </c>
      <c r="M328" t="s">
        <v>25</v>
      </c>
      <c r="N328">
        <v>3</v>
      </c>
    </row>
    <row r="329" spans="1:14" x14ac:dyDescent="0.35">
      <c r="A329" s="5">
        <v>45650.675694444442</v>
      </c>
      <c r="B329" s="1" t="str">
        <f>TEXT(Coffee_Sales_Dataset[[#This Row],[Date]],"ddd")</f>
        <v>Tue</v>
      </c>
      <c r="C329">
        <f>HOUR(Coffee_Sales_Dataset[[#This Row],[Date]])</f>
        <v>16</v>
      </c>
      <c r="D329" t="s">
        <v>26</v>
      </c>
      <c r="E329" t="s">
        <v>38</v>
      </c>
      <c r="F329" t="s">
        <v>22</v>
      </c>
      <c r="G329">
        <v>5.87</v>
      </c>
      <c r="H329" t="s">
        <v>28</v>
      </c>
      <c r="I329" t="s">
        <v>23</v>
      </c>
      <c r="J329" t="s">
        <v>31</v>
      </c>
      <c r="K329" t="s">
        <v>18</v>
      </c>
      <c r="L329">
        <v>8</v>
      </c>
      <c r="M329" t="s">
        <v>19</v>
      </c>
      <c r="N329">
        <v>4</v>
      </c>
    </row>
    <row r="330" spans="1:14" x14ac:dyDescent="0.35">
      <c r="A330" s="5">
        <v>45646.55</v>
      </c>
      <c r="B330" s="1" t="str">
        <f>TEXT(Coffee_Sales_Dataset[[#This Row],[Date]],"ddd")</f>
        <v>Fri</v>
      </c>
      <c r="C330">
        <f>HOUR(Coffee_Sales_Dataset[[#This Row],[Date]])</f>
        <v>13</v>
      </c>
      <c r="D330" t="s">
        <v>20</v>
      </c>
      <c r="E330" t="s">
        <v>13</v>
      </c>
      <c r="F330" t="s">
        <v>22</v>
      </c>
      <c r="G330">
        <v>4.99</v>
      </c>
      <c r="H330" t="s">
        <v>15</v>
      </c>
      <c r="I330" t="s">
        <v>16</v>
      </c>
      <c r="J330" t="s">
        <v>29</v>
      </c>
      <c r="K330" t="s">
        <v>40</v>
      </c>
      <c r="L330">
        <v>9</v>
      </c>
      <c r="M330" t="s">
        <v>36</v>
      </c>
      <c r="N330">
        <v>5</v>
      </c>
    </row>
    <row r="331" spans="1:14" x14ac:dyDescent="0.35">
      <c r="A331" s="5">
        <v>45646.59375</v>
      </c>
      <c r="B331" s="1" t="str">
        <f>TEXT(Coffee_Sales_Dataset[[#This Row],[Date]],"ddd")</f>
        <v>Fri</v>
      </c>
      <c r="C331">
        <f>HOUR(Coffee_Sales_Dataset[[#This Row],[Date]])</f>
        <v>14</v>
      </c>
      <c r="D331" t="s">
        <v>41</v>
      </c>
      <c r="E331" t="s">
        <v>13</v>
      </c>
      <c r="F331" t="s">
        <v>22</v>
      </c>
      <c r="G331">
        <v>3.07</v>
      </c>
      <c r="H331" t="s">
        <v>28</v>
      </c>
      <c r="I331" t="s">
        <v>23</v>
      </c>
      <c r="J331" t="s">
        <v>42</v>
      </c>
      <c r="K331" t="s">
        <v>32</v>
      </c>
      <c r="L331">
        <v>4</v>
      </c>
      <c r="M331" t="s">
        <v>33</v>
      </c>
      <c r="N331">
        <v>4</v>
      </c>
    </row>
    <row r="332" spans="1:14" x14ac:dyDescent="0.35">
      <c r="A332" s="5">
        <v>45641.706944444442</v>
      </c>
      <c r="B332" s="1" t="str">
        <f>TEXT(Coffee_Sales_Dataset[[#This Row],[Date]],"ddd")</f>
        <v>Sun</v>
      </c>
      <c r="C332">
        <f>HOUR(Coffee_Sales_Dataset[[#This Row],[Date]])</f>
        <v>16</v>
      </c>
      <c r="D332" t="s">
        <v>41</v>
      </c>
      <c r="E332" t="s">
        <v>13</v>
      </c>
      <c r="F332" t="s">
        <v>22</v>
      </c>
      <c r="G332">
        <v>5.58</v>
      </c>
      <c r="H332" t="s">
        <v>30</v>
      </c>
      <c r="I332" t="s">
        <v>16</v>
      </c>
      <c r="J332" t="s">
        <v>29</v>
      </c>
      <c r="K332" t="s">
        <v>32</v>
      </c>
      <c r="L332">
        <v>6</v>
      </c>
      <c r="M332" t="s">
        <v>47</v>
      </c>
      <c r="N332">
        <v>3</v>
      </c>
    </row>
    <row r="333" spans="1:14" x14ac:dyDescent="0.35">
      <c r="A333" s="5">
        <v>45653.586805555555</v>
      </c>
      <c r="B333" s="1" t="str">
        <f>TEXT(Coffee_Sales_Dataset[[#This Row],[Date]],"ddd")</f>
        <v>Fri</v>
      </c>
      <c r="C333">
        <f>HOUR(Coffee_Sales_Dataset[[#This Row],[Date]])</f>
        <v>14</v>
      </c>
      <c r="D333" t="s">
        <v>41</v>
      </c>
      <c r="E333" t="s">
        <v>21</v>
      </c>
      <c r="F333" t="s">
        <v>22</v>
      </c>
      <c r="G333">
        <v>4.9800000000000004</v>
      </c>
      <c r="H333" t="s">
        <v>30</v>
      </c>
      <c r="I333" t="s">
        <v>16</v>
      </c>
      <c r="J333" t="s">
        <v>24</v>
      </c>
      <c r="K333" t="s">
        <v>18</v>
      </c>
      <c r="L333">
        <v>9</v>
      </c>
      <c r="M333" t="s">
        <v>25</v>
      </c>
      <c r="N333">
        <v>1</v>
      </c>
    </row>
    <row r="334" spans="1:14" x14ac:dyDescent="0.35">
      <c r="A334" s="5">
        <v>45654.712500000001</v>
      </c>
      <c r="B334" s="1" t="str">
        <f>TEXT(Coffee_Sales_Dataset[[#This Row],[Date]],"ddd")</f>
        <v>Sat</v>
      </c>
      <c r="C334">
        <f>HOUR(Coffee_Sales_Dataset[[#This Row],[Date]])</f>
        <v>17</v>
      </c>
      <c r="D334" t="s">
        <v>26</v>
      </c>
      <c r="E334" t="s">
        <v>27</v>
      </c>
      <c r="F334" t="s">
        <v>14</v>
      </c>
      <c r="G334">
        <v>6.3</v>
      </c>
      <c r="H334" t="s">
        <v>30</v>
      </c>
      <c r="I334" t="s">
        <v>23</v>
      </c>
      <c r="J334" t="s">
        <v>24</v>
      </c>
      <c r="K334" t="s">
        <v>18</v>
      </c>
      <c r="L334">
        <v>8</v>
      </c>
      <c r="M334" t="s">
        <v>36</v>
      </c>
      <c r="N334">
        <v>2</v>
      </c>
    </row>
    <row r="335" spans="1:14" x14ac:dyDescent="0.35">
      <c r="A335" s="5">
        <v>45642.577777777777</v>
      </c>
      <c r="B335" s="1" t="str">
        <f>TEXT(Coffee_Sales_Dataset[[#This Row],[Date]],"ddd")</f>
        <v>Mon</v>
      </c>
      <c r="C335">
        <f>HOUR(Coffee_Sales_Dataset[[#This Row],[Date]])</f>
        <v>13</v>
      </c>
      <c r="D335" t="s">
        <v>41</v>
      </c>
      <c r="E335" t="s">
        <v>13</v>
      </c>
      <c r="F335" t="s">
        <v>35</v>
      </c>
      <c r="G335">
        <v>6.47</v>
      </c>
      <c r="H335" t="s">
        <v>15</v>
      </c>
      <c r="I335" t="s">
        <v>23</v>
      </c>
      <c r="J335" t="s">
        <v>29</v>
      </c>
      <c r="K335" t="s">
        <v>40</v>
      </c>
      <c r="L335">
        <v>6</v>
      </c>
      <c r="M335" t="s">
        <v>39</v>
      </c>
      <c r="N335">
        <v>3</v>
      </c>
    </row>
    <row r="336" spans="1:14" x14ac:dyDescent="0.35">
      <c r="A336" s="5">
        <v>45646.743055555555</v>
      </c>
      <c r="B336" s="1" t="str">
        <f>TEXT(Coffee_Sales_Dataset[[#This Row],[Date]],"ddd")</f>
        <v>Fri</v>
      </c>
      <c r="C336">
        <f>HOUR(Coffee_Sales_Dataset[[#This Row],[Date]])</f>
        <v>17</v>
      </c>
      <c r="D336" t="s">
        <v>12</v>
      </c>
      <c r="E336" t="s">
        <v>34</v>
      </c>
      <c r="F336" t="s">
        <v>35</v>
      </c>
      <c r="G336">
        <v>3.68</v>
      </c>
      <c r="H336" t="s">
        <v>30</v>
      </c>
      <c r="I336" t="s">
        <v>16</v>
      </c>
      <c r="J336" t="s">
        <v>29</v>
      </c>
      <c r="K336" t="s">
        <v>40</v>
      </c>
      <c r="L336">
        <v>7</v>
      </c>
      <c r="M336" t="s">
        <v>33</v>
      </c>
      <c r="N336">
        <v>2</v>
      </c>
    </row>
    <row r="337" spans="1:14" x14ac:dyDescent="0.35">
      <c r="A337" s="5">
        <v>45653.611111111109</v>
      </c>
      <c r="B337" s="1" t="str">
        <f>TEXT(Coffee_Sales_Dataset[[#This Row],[Date]],"ddd")</f>
        <v>Fri</v>
      </c>
      <c r="C337">
        <f>HOUR(Coffee_Sales_Dataset[[#This Row],[Date]])</f>
        <v>14</v>
      </c>
      <c r="D337" t="s">
        <v>12</v>
      </c>
      <c r="E337" t="s">
        <v>44</v>
      </c>
      <c r="F337" t="s">
        <v>14</v>
      </c>
      <c r="G337">
        <v>5.09</v>
      </c>
      <c r="H337" t="s">
        <v>30</v>
      </c>
      <c r="I337" t="s">
        <v>16</v>
      </c>
      <c r="J337" t="s">
        <v>45</v>
      </c>
      <c r="K337" t="s">
        <v>32</v>
      </c>
      <c r="L337">
        <v>6</v>
      </c>
      <c r="M337" t="s">
        <v>47</v>
      </c>
      <c r="N337">
        <v>4</v>
      </c>
    </row>
    <row r="338" spans="1:14" x14ac:dyDescent="0.35">
      <c r="A338" s="5">
        <v>45644.53402777778</v>
      </c>
      <c r="B338" s="1" t="str">
        <f>TEXT(Coffee_Sales_Dataset[[#This Row],[Date]],"ddd")</f>
        <v>Wed</v>
      </c>
      <c r="C338">
        <f>HOUR(Coffee_Sales_Dataset[[#This Row],[Date]])</f>
        <v>12</v>
      </c>
      <c r="D338" t="s">
        <v>43</v>
      </c>
      <c r="E338" t="s">
        <v>44</v>
      </c>
      <c r="F338" t="s">
        <v>14</v>
      </c>
      <c r="G338">
        <v>4.41</v>
      </c>
      <c r="H338" t="s">
        <v>30</v>
      </c>
      <c r="I338" t="s">
        <v>23</v>
      </c>
      <c r="J338" t="s">
        <v>45</v>
      </c>
      <c r="K338" t="s">
        <v>40</v>
      </c>
      <c r="L338">
        <v>3</v>
      </c>
      <c r="M338" t="s">
        <v>25</v>
      </c>
      <c r="N338">
        <v>1</v>
      </c>
    </row>
    <row r="339" spans="1:14" x14ac:dyDescent="0.35">
      <c r="A339" s="5">
        <v>45644.478472222225</v>
      </c>
      <c r="B339" s="1" t="str">
        <f>TEXT(Coffee_Sales_Dataset[[#This Row],[Date]],"ddd")</f>
        <v>Wed</v>
      </c>
      <c r="C339">
        <f>HOUR(Coffee_Sales_Dataset[[#This Row],[Date]])</f>
        <v>11</v>
      </c>
      <c r="D339" t="s">
        <v>12</v>
      </c>
      <c r="E339" t="s">
        <v>27</v>
      </c>
      <c r="F339" t="s">
        <v>22</v>
      </c>
      <c r="G339">
        <v>3.42</v>
      </c>
      <c r="H339" t="s">
        <v>30</v>
      </c>
      <c r="I339" t="s">
        <v>16</v>
      </c>
      <c r="J339" t="s">
        <v>24</v>
      </c>
      <c r="K339" t="s">
        <v>18</v>
      </c>
      <c r="L339">
        <v>9</v>
      </c>
      <c r="M339" t="s">
        <v>19</v>
      </c>
      <c r="N339">
        <v>2</v>
      </c>
    </row>
    <row r="340" spans="1:14" x14ac:dyDescent="0.35">
      <c r="A340" s="5">
        <v>45654.415277777778</v>
      </c>
      <c r="B340" s="1" t="str">
        <f>TEXT(Coffee_Sales_Dataset[[#This Row],[Date]],"ddd")</f>
        <v>Sat</v>
      </c>
      <c r="C340">
        <f>HOUR(Coffee_Sales_Dataset[[#This Row],[Date]])</f>
        <v>9</v>
      </c>
      <c r="D340" t="s">
        <v>20</v>
      </c>
      <c r="E340" t="s">
        <v>27</v>
      </c>
      <c r="F340" t="s">
        <v>22</v>
      </c>
      <c r="G340">
        <v>4.54</v>
      </c>
      <c r="H340" t="s">
        <v>15</v>
      </c>
      <c r="I340" t="s">
        <v>23</v>
      </c>
      <c r="J340" t="s">
        <v>42</v>
      </c>
      <c r="K340" t="s">
        <v>40</v>
      </c>
      <c r="L340">
        <v>3</v>
      </c>
      <c r="M340" t="s">
        <v>47</v>
      </c>
      <c r="N340">
        <v>4</v>
      </c>
    </row>
    <row r="341" spans="1:14" x14ac:dyDescent="0.35">
      <c r="A341" s="5">
        <v>45643.538194444445</v>
      </c>
      <c r="B341" s="1" t="str">
        <f>TEXT(Coffee_Sales_Dataset[[#This Row],[Date]],"ddd")</f>
        <v>Tue</v>
      </c>
      <c r="C341">
        <f>HOUR(Coffee_Sales_Dataset[[#This Row],[Date]])</f>
        <v>12</v>
      </c>
      <c r="D341" t="s">
        <v>41</v>
      </c>
      <c r="E341" t="s">
        <v>44</v>
      </c>
      <c r="F341" t="s">
        <v>14</v>
      </c>
      <c r="G341">
        <v>3.59</v>
      </c>
      <c r="H341" t="s">
        <v>30</v>
      </c>
      <c r="I341" t="s">
        <v>23</v>
      </c>
      <c r="J341" t="s">
        <v>17</v>
      </c>
      <c r="K341" t="s">
        <v>40</v>
      </c>
      <c r="L341">
        <v>9</v>
      </c>
      <c r="M341" t="s">
        <v>36</v>
      </c>
      <c r="N341">
        <v>3</v>
      </c>
    </row>
    <row r="342" spans="1:14" x14ac:dyDescent="0.35">
      <c r="A342" s="5">
        <v>45641.686111111114</v>
      </c>
      <c r="B342" s="1" t="str">
        <f>TEXT(Coffee_Sales_Dataset[[#This Row],[Date]],"ddd")</f>
        <v>Sun</v>
      </c>
      <c r="C342">
        <f>HOUR(Coffee_Sales_Dataset[[#This Row],[Date]])</f>
        <v>16</v>
      </c>
      <c r="D342" t="s">
        <v>43</v>
      </c>
      <c r="E342" t="s">
        <v>34</v>
      </c>
      <c r="F342" t="s">
        <v>14</v>
      </c>
      <c r="G342">
        <v>6.71</v>
      </c>
      <c r="H342" t="s">
        <v>30</v>
      </c>
      <c r="I342" t="s">
        <v>16</v>
      </c>
      <c r="J342" t="s">
        <v>42</v>
      </c>
      <c r="K342" t="s">
        <v>40</v>
      </c>
      <c r="L342">
        <v>4</v>
      </c>
      <c r="M342" t="s">
        <v>25</v>
      </c>
      <c r="N342">
        <v>5</v>
      </c>
    </row>
    <row r="343" spans="1:14" x14ac:dyDescent="0.35">
      <c r="A343" s="5">
        <v>45647.543749999997</v>
      </c>
      <c r="B343" s="1" t="str">
        <f>TEXT(Coffee_Sales_Dataset[[#This Row],[Date]],"ddd")</f>
        <v>Sat</v>
      </c>
      <c r="C343">
        <f>HOUR(Coffee_Sales_Dataset[[#This Row],[Date]])</f>
        <v>13</v>
      </c>
      <c r="D343" t="s">
        <v>12</v>
      </c>
      <c r="E343" t="s">
        <v>34</v>
      </c>
      <c r="F343" t="s">
        <v>22</v>
      </c>
      <c r="G343">
        <v>3.39</v>
      </c>
      <c r="H343" t="s">
        <v>28</v>
      </c>
      <c r="I343" t="s">
        <v>16</v>
      </c>
      <c r="J343" t="s">
        <v>45</v>
      </c>
      <c r="K343" t="s">
        <v>32</v>
      </c>
      <c r="L343">
        <v>5</v>
      </c>
      <c r="M343" t="s">
        <v>47</v>
      </c>
      <c r="N343">
        <v>2</v>
      </c>
    </row>
    <row r="344" spans="1:14" x14ac:dyDescent="0.35">
      <c r="A344" s="5">
        <v>45647.720138888886</v>
      </c>
      <c r="B344" s="1" t="str">
        <f>TEXT(Coffee_Sales_Dataset[[#This Row],[Date]],"ddd")</f>
        <v>Sat</v>
      </c>
      <c r="C344">
        <f>HOUR(Coffee_Sales_Dataset[[#This Row],[Date]])</f>
        <v>17</v>
      </c>
      <c r="D344" t="s">
        <v>41</v>
      </c>
      <c r="E344" t="s">
        <v>38</v>
      </c>
      <c r="F344" t="s">
        <v>22</v>
      </c>
      <c r="G344">
        <v>5.07</v>
      </c>
      <c r="H344" t="s">
        <v>30</v>
      </c>
      <c r="I344" t="s">
        <v>23</v>
      </c>
      <c r="J344" t="s">
        <v>45</v>
      </c>
      <c r="K344" t="s">
        <v>40</v>
      </c>
      <c r="L344">
        <v>3</v>
      </c>
      <c r="M344" t="s">
        <v>36</v>
      </c>
      <c r="N344">
        <v>1</v>
      </c>
    </row>
    <row r="345" spans="1:14" x14ac:dyDescent="0.35">
      <c r="A345" s="5">
        <v>45641.35833333333</v>
      </c>
      <c r="B345" s="1" t="str">
        <f>TEXT(Coffee_Sales_Dataset[[#This Row],[Date]],"ddd")</f>
        <v>Sun</v>
      </c>
      <c r="C345">
        <f>HOUR(Coffee_Sales_Dataset[[#This Row],[Date]])</f>
        <v>8</v>
      </c>
      <c r="D345" t="s">
        <v>43</v>
      </c>
      <c r="E345" t="s">
        <v>27</v>
      </c>
      <c r="F345" t="s">
        <v>14</v>
      </c>
      <c r="G345">
        <v>5.13</v>
      </c>
      <c r="H345" t="s">
        <v>15</v>
      </c>
      <c r="I345" t="s">
        <v>23</v>
      </c>
      <c r="J345" t="s">
        <v>31</v>
      </c>
      <c r="K345" t="s">
        <v>18</v>
      </c>
      <c r="L345">
        <v>8</v>
      </c>
      <c r="M345" t="s">
        <v>25</v>
      </c>
      <c r="N345">
        <v>4</v>
      </c>
    </row>
    <row r="346" spans="1:14" x14ac:dyDescent="0.35">
      <c r="A346" s="5">
        <v>45642.521527777775</v>
      </c>
      <c r="B346" s="1" t="str">
        <f>TEXT(Coffee_Sales_Dataset[[#This Row],[Date]],"ddd")</f>
        <v>Mon</v>
      </c>
      <c r="C346">
        <f>HOUR(Coffee_Sales_Dataset[[#This Row],[Date]])</f>
        <v>12</v>
      </c>
      <c r="D346" t="s">
        <v>20</v>
      </c>
      <c r="E346" t="s">
        <v>27</v>
      </c>
      <c r="F346" t="s">
        <v>14</v>
      </c>
      <c r="G346">
        <v>4.3899999999999997</v>
      </c>
      <c r="H346" t="s">
        <v>15</v>
      </c>
      <c r="I346" t="s">
        <v>16</v>
      </c>
      <c r="J346" t="s">
        <v>45</v>
      </c>
      <c r="K346" t="s">
        <v>40</v>
      </c>
      <c r="L346">
        <v>3</v>
      </c>
      <c r="M346" t="s">
        <v>36</v>
      </c>
      <c r="N346">
        <v>5</v>
      </c>
    </row>
    <row r="347" spans="1:14" x14ac:dyDescent="0.35">
      <c r="A347" s="5">
        <v>45655.729166666664</v>
      </c>
      <c r="B347" s="1" t="str">
        <f>TEXT(Coffee_Sales_Dataset[[#This Row],[Date]],"ddd")</f>
        <v>Sun</v>
      </c>
      <c r="C347">
        <f>HOUR(Coffee_Sales_Dataset[[#This Row],[Date]])</f>
        <v>17</v>
      </c>
      <c r="D347" t="s">
        <v>43</v>
      </c>
      <c r="E347" t="s">
        <v>21</v>
      </c>
      <c r="F347" t="s">
        <v>35</v>
      </c>
      <c r="G347">
        <v>3.95</v>
      </c>
      <c r="H347" t="s">
        <v>15</v>
      </c>
      <c r="I347" t="s">
        <v>23</v>
      </c>
      <c r="J347" t="s">
        <v>17</v>
      </c>
      <c r="K347" t="s">
        <v>40</v>
      </c>
      <c r="L347">
        <v>7</v>
      </c>
      <c r="M347" t="s">
        <v>25</v>
      </c>
      <c r="N347">
        <v>2</v>
      </c>
    </row>
    <row r="348" spans="1:14" x14ac:dyDescent="0.35">
      <c r="A348" s="5">
        <v>45656.643750000003</v>
      </c>
      <c r="B348" s="1" t="str">
        <f>TEXT(Coffee_Sales_Dataset[[#This Row],[Date]],"ddd")</f>
        <v>Mon</v>
      </c>
      <c r="C348">
        <f>HOUR(Coffee_Sales_Dataset[[#This Row],[Date]])</f>
        <v>15</v>
      </c>
      <c r="D348" t="s">
        <v>43</v>
      </c>
      <c r="E348" t="s">
        <v>13</v>
      </c>
      <c r="F348" t="s">
        <v>14</v>
      </c>
      <c r="G348">
        <v>6.9</v>
      </c>
      <c r="H348" t="s">
        <v>30</v>
      </c>
      <c r="I348" t="s">
        <v>23</v>
      </c>
      <c r="J348" t="s">
        <v>45</v>
      </c>
      <c r="K348" t="s">
        <v>40</v>
      </c>
      <c r="L348">
        <v>7</v>
      </c>
      <c r="M348" t="s">
        <v>25</v>
      </c>
      <c r="N348">
        <v>5</v>
      </c>
    </row>
    <row r="349" spans="1:14" x14ac:dyDescent="0.35">
      <c r="A349" s="5">
        <v>45641.479166666664</v>
      </c>
      <c r="B349" s="1" t="str">
        <f>TEXT(Coffee_Sales_Dataset[[#This Row],[Date]],"ddd")</f>
        <v>Sun</v>
      </c>
      <c r="C349">
        <f>HOUR(Coffee_Sales_Dataset[[#This Row],[Date]])</f>
        <v>11</v>
      </c>
      <c r="D349" t="s">
        <v>26</v>
      </c>
      <c r="E349" t="s">
        <v>13</v>
      </c>
      <c r="F349" t="s">
        <v>14</v>
      </c>
      <c r="G349">
        <v>5.27</v>
      </c>
      <c r="H349" t="s">
        <v>15</v>
      </c>
      <c r="I349" t="s">
        <v>23</v>
      </c>
      <c r="J349" t="s">
        <v>31</v>
      </c>
      <c r="K349" t="s">
        <v>18</v>
      </c>
      <c r="L349">
        <v>4</v>
      </c>
      <c r="M349" t="s">
        <v>33</v>
      </c>
      <c r="N349">
        <v>2</v>
      </c>
    </row>
    <row r="350" spans="1:14" x14ac:dyDescent="0.35">
      <c r="A350" s="5">
        <v>45653.388194444444</v>
      </c>
      <c r="B350" s="1" t="str">
        <f>TEXT(Coffee_Sales_Dataset[[#This Row],[Date]],"ddd")</f>
        <v>Fri</v>
      </c>
      <c r="C350">
        <f>HOUR(Coffee_Sales_Dataset[[#This Row],[Date]])</f>
        <v>9</v>
      </c>
      <c r="D350" t="s">
        <v>43</v>
      </c>
      <c r="E350" t="s">
        <v>46</v>
      </c>
      <c r="F350" t="s">
        <v>22</v>
      </c>
      <c r="G350">
        <v>5.94</v>
      </c>
      <c r="H350" t="s">
        <v>28</v>
      </c>
      <c r="I350" t="s">
        <v>16</v>
      </c>
      <c r="J350" t="s">
        <v>45</v>
      </c>
      <c r="K350" t="s">
        <v>32</v>
      </c>
      <c r="L350">
        <v>6</v>
      </c>
      <c r="M350" t="s">
        <v>47</v>
      </c>
      <c r="N350">
        <v>4</v>
      </c>
    </row>
    <row r="351" spans="1:14" x14ac:dyDescent="0.35">
      <c r="A351" s="5">
        <v>45641.554861111108</v>
      </c>
      <c r="B351" s="1" t="str">
        <f>TEXT(Coffee_Sales_Dataset[[#This Row],[Date]],"ddd")</f>
        <v>Sun</v>
      </c>
      <c r="C351">
        <f>HOUR(Coffee_Sales_Dataset[[#This Row],[Date]])</f>
        <v>13</v>
      </c>
      <c r="D351" t="s">
        <v>43</v>
      </c>
      <c r="E351" t="s">
        <v>38</v>
      </c>
      <c r="F351" t="s">
        <v>35</v>
      </c>
      <c r="G351">
        <v>6.43</v>
      </c>
      <c r="H351" t="s">
        <v>28</v>
      </c>
      <c r="I351" t="s">
        <v>16</v>
      </c>
      <c r="J351" t="s">
        <v>29</v>
      </c>
      <c r="K351" t="s">
        <v>32</v>
      </c>
      <c r="L351">
        <v>10</v>
      </c>
      <c r="M351" t="s">
        <v>19</v>
      </c>
      <c r="N351">
        <v>1</v>
      </c>
    </row>
    <row r="352" spans="1:14" x14ac:dyDescent="0.35">
      <c r="A352" s="5">
        <v>45643.620833333334</v>
      </c>
      <c r="B352" s="1" t="str">
        <f>TEXT(Coffee_Sales_Dataset[[#This Row],[Date]],"ddd")</f>
        <v>Tue</v>
      </c>
      <c r="C352">
        <f>HOUR(Coffee_Sales_Dataset[[#This Row],[Date]])</f>
        <v>14</v>
      </c>
      <c r="D352" t="s">
        <v>20</v>
      </c>
      <c r="E352" t="s">
        <v>44</v>
      </c>
      <c r="F352" t="s">
        <v>14</v>
      </c>
      <c r="G352">
        <v>4.43</v>
      </c>
      <c r="H352" t="s">
        <v>30</v>
      </c>
      <c r="I352" t="s">
        <v>23</v>
      </c>
      <c r="J352" t="s">
        <v>31</v>
      </c>
      <c r="K352" t="s">
        <v>18</v>
      </c>
      <c r="L352">
        <v>8</v>
      </c>
      <c r="M352" t="s">
        <v>47</v>
      </c>
      <c r="N352">
        <v>2</v>
      </c>
    </row>
    <row r="353" spans="1:14" x14ac:dyDescent="0.35">
      <c r="A353" s="5">
        <v>45652.498611111114</v>
      </c>
      <c r="B353" s="1" t="str">
        <f>TEXT(Coffee_Sales_Dataset[[#This Row],[Date]],"ddd")</f>
        <v>Thu</v>
      </c>
      <c r="C353">
        <f>HOUR(Coffee_Sales_Dataset[[#This Row],[Date]])</f>
        <v>11</v>
      </c>
      <c r="D353" t="s">
        <v>12</v>
      </c>
      <c r="E353" t="s">
        <v>44</v>
      </c>
      <c r="F353" t="s">
        <v>14</v>
      </c>
      <c r="G353">
        <v>6.86</v>
      </c>
      <c r="H353" t="s">
        <v>28</v>
      </c>
      <c r="I353" t="s">
        <v>16</v>
      </c>
      <c r="J353" t="s">
        <v>31</v>
      </c>
      <c r="K353" t="s">
        <v>40</v>
      </c>
      <c r="L353">
        <v>6</v>
      </c>
      <c r="M353" t="s">
        <v>19</v>
      </c>
      <c r="N353">
        <v>3</v>
      </c>
    </row>
    <row r="354" spans="1:14" x14ac:dyDescent="0.35">
      <c r="A354" s="5">
        <v>45655.609027777777</v>
      </c>
      <c r="B354" s="1" t="str">
        <f>TEXT(Coffee_Sales_Dataset[[#This Row],[Date]],"ddd")</f>
        <v>Sun</v>
      </c>
      <c r="C354">
        <f>HOUR(Coffee_Sales_Dataset[[#This Row],[Date]])</f>
        <v>14</v>
      </c>
      <c r="D354" t="s">
        <v>12</v>
      </c>
      <c r="E354" t="s">
        <v>34</v>
      </c>
      <c r="F354" t="s">
        <v>22</v>
      </c>
      <c r="G354">
        <v>3.76</v>
      </c>
      <c r="H354" t="s">
        <v>28</v>
      </c>
      <c r="I354" t="s">
        <v>16</v>
      </c>
      <c r="J354" t="s">
        <v>31</v>
      </c>
      <c r="K354" t="s">
        <v>40</v>
      </c>
      <c r="L354">
        <v>8</v>
      </c>
      <c r="M354" t="s">
        <v>33</v>
      </c>
      <c r="N354">
        <v>4</v>
      </c>
    </row>
    <row r="355" spans="1:14" x14ac:dyDescent="0.35">
      <c r="A355" s="5">
        <v>45650.554166666669</v>
      </c>
      <c r="B355" s="1" t="str">
        <f>TEXT(Coffee_Sales_Dataset[[#This Row],[Date]],"ddd")</f>
        <v>Tue</v>
      </c>
      <c r="C355">
        <f>HOUR(Coffee_Sales_Dataset[[#This Row],[Date]])</f>
        <v>13</v>
      </c>
      <c r="D355" t="s">
        <v>26</v>
      </c>
      <c r="E355" t="s">
        <v>13</v>
      </c>
      <c r="F355" t="s">
        <v>22</v>
      </c>
      <c r="G355">
        <v>6.71</v>
      </c>
      <c r="H355" t="s">
        <v>30</v>
      </c>
      <c r="I355" t="s">
        <v>16</v>
      </c>
      <c r="J355" t="s">
        <v>45</v>
      </c>
      <c r="K355" t="s">
        <v>40</v>
      </c>
      <c r="L355">
        <v>10</v>
      </c>
      <c r="M355" t="s">
        <v>47</v>
      </c>
      <c r="N355">
        <v>5</v>
      </c>
    </row>
    <row r="356" spans="1:14" x14ac:dyDescent="0.35">
      <c r="A356" s="5">
        <v>45649.429861111108</v>
      </c>
      <c r="B356" s="1" t="str">
        <f>TEXT(Coffee_Sales_Dataset[[#This Row],[Date]],"ddd")</f>
        <v>Mon</v>
      </c>
      <c r="C356">
        <f>HOUR(Coffee_Sales_Dataset[[#This Row],[Date]])</f>
        <v>10</v>
      </c>
      <c r="D356" t="s">
        <v>12</v>
      </c>
      <c r="E356" t="s">
        <v>34</v>
      </c>
      <c r="F356" t="s">
        <v>14</v>
      </c>
      <c r="G356">
        <v>6.2</v>
      </c>
      <c r="H356" t="s">
        <v>30</v>
      </c>
      <c r="I356" t="s">
        <v>16</v>
      </c>
      <c r="J356" t="s">
        <v>29</v>
      </c>
      <c r="K356" t="s">
        <v>40</v>
      </c>
      <c r="L356">
        <v>6</v>
      </c>
      <c r="M356" t="s">
        <v>33</v>
      </c>
      <c r="N356">
        <v>5</v>
      </c>
    </row>
    <row r="357" spans="1:14" x14ac:dyDescent="0.35">
      <c r="A357" s="5">
        <v>45642.638194444444</v>
      </c>
      <c r="B357" s="1" t="str">
        <f>TEXT(Coffee_Sales_Dataset[[#This Row],[Date]],"ddd")</f>
        <v>Mon</v>
      </c>
      <c r="C357">
        <f>HOUR(Coffee_Sales_Dataset[[#This Row],[Date]])</f>
        <v>15</v>
      </c>
      <c r="D357" t="s">
        <v>26</v>
      </c>
      <c r="E357" t="s">
        <v>46</v>
      </c>
      <c r="F357" t="s">
        <v>22</v>
      </c>
      <c r="G357">
        <v>5.64</v>
      </c>
      <c r="H357" t="s">
        <v>30</v>
      </c>
      <c r="I357" t="s">
        <v>23</v>
      </c>
      <c r="J357" t="s">
        <v>24</v>
      </c>
      <c r="K357" t="s">
        <v>40</v>
      </c>
      <c r="L357">
        <v>7</v>
      </c>
      <c r="M357" t="s">
        <v>47</v>
      </c>
      <c r="N357">
        <v>5</v>
      </c>
    </row>
    <row r="358" spans="1:14" x14ac:dyDescent="0.35">
      <c r="A358" s="5">
        <v>45651.67291666667</v>
      </c>
      <c r="B358" s="1" t="str">
        <f>TEXT(Coffee_Sales_Dataset[[#This Row],[Date]],"ddd")</f>
        <v>Wed</v>
      </c>
      <c r="C358">
        <f>HOUR(Coffee_Sales_Dataset[[#This Row],[Date]])</f>
        <v>16</v>
      </c>
      <c r="D358" t="s">
        <v>26</v>
      </c>
      <c r="E358" t="s">
        <v>44</v>
      </c>
      <c r="F358" t="s">
        <v>22</v>
      </c>
      <c r="G358">
        <v>3.57</v>
      </c>
      <c r="H358" t="s">
        <v>28</v>
      </c>
      <c r="I358" t="s">
        <v>23</v>
      </c>
      <c r="J358" t="s">
        <v>42</v>
      </c>
      <c r="K358" t="s">
        <v>18</v>
      </c>
      <c r="L358">
        <v>3</v>
      </c>
      <c r="M358" t="s">
        <v>47</v>
      </c>
      <c r="N358">
        <v>2</v>
      </c>
    </row>
    <row r="359" spans="1:14" x14ac:dyDescent="0.35">
      <c r="A359" s="5">
        <v>45641.552083333336</v>
      </c>
      <c r="B359" s="1" t="str">
        <f>TEXT(Coffee_Sales_Dataset[[#This Row],[Date]],"ddd")</f>
        <v>Sun</v>
      </c>
      <c r="C359">
        <f>HOUR(Coffee_Sales_Dataset[[#This Row],[Date]])</f>
        <v>13</v>
      </c>
      <c r="D359" t="s">
        <v>12</v>
      </c>
      <c r="E359" t="s">
        <v>46</v>
      </c>
      <c r="F359" t="s">
        <v>22</v>
      </c>
      <c r="G359">
        <v>6.87</v>
      </c>
      <c r="H359" t="s">
        <v>30</v>
      </c>
      <c r="I359" t="s">
        <v>16</v>
      </c>
      <c r="J359" t="s">
        <v>24</v>
      </c>
      <c r="K359" t="s">
        <v>18</v>
      </c>
      <c r="L359">
        <v>6</v>
      </c>
      <c r="M359" t="s">
        <v>36</v>
      </c>
      <c r="N359">
        <v>5</v>
      </c>
    </row>
    <row r="360" spans="1:14" x14ac:dyDescent="0.35">
      <c r="A360" s="5">
        <v>45647.57708333333</v>
      </c>
      <c r="B360" s="1" t="str">
        <f>TEXT(Coffee_Sales_Dataset[[#This Row],[Date]],"ddd")</f>
        <v>Sat</v>
      </c>
      <c r="C360">
        <f>HOUR(Coffee_Sales_Dataset[[#This Row],[Date]])</f>
        <v>13</v>
      </c>
      <c r="D360" t="s">
        <v>41</v>
      </c>
      <c r="E360" t="s">
        <v>27</v>
      </c>
      <c r="F360" t="s">
        <v>35</v>
      </c>
      <c r="G360">
        <v>6.07</v>
      </c>
      <c r="H360" t="s">
        <v>15</v>
      </c>
      <c r="I360" t="s">
        <v>23</v>
      </c>
      <c r="J360" t="s">
        <v>42</v>
      </c>
      <c r="K360" t="s">
        <v>18</v>
      </c>
      <c r="L360">
        <v>5</v>
      </c>
      <c r="M360" t="s">
        <v>47</v>
      </c>
      <c r="N360">
        <v>3</v>
      </c>
    </row>
    <row r="361" spans="1:14" x14ac:dyDescent="0.35">
      <c r="A361" s="5">
        <v>45642.749305555553</v>
      </c>
      <c r="B361" s="1" t="str">
        <f>TEXT(Coffee_Sales_Dataset[[#This Row],[Date]],"ddd")</f>
        <v>Mon</v>
      </c>
      <c r="C361">
        <f>HOUR(Coffee_Sales_Dataset[[#This Row],[Date]])</f>
        <v>17</v>
      </c>
      <c r="D361" t="s">
        <v>12</v>
      </c>
      <c r="E361" t="s">
        <v>38</v>
      </c>
      <c r="F361" t="s">
        <v>14</v>
      </c>
      <c r="G361">
        <v>4.5</v>
      </c>
      <c r="H361" t="s">
        <v>15</v>
      </c>
      <c r="I361" t="s">
        <v>23</v>
      </c>
      <c r="J361" t="s">
        <v>17</v>
      </c>
      <c r="K361" t="s">
        <v>18</v>
      </c>
      <c r="L361">
        <v>9</v>
      </c>
      <c r="M361" t="s">
        <v>19</v>
      </c>
      <c r="N361">
        <v>3</v>
      </c>
    </row>
    <row r="362" spans="1:14" x14ac:dyDescent="0.35">
      <c r="A362" s="5">
        <v>45649.561805555553</v>
      </c>
      <c r="B362" s="1" t="str">
        <f>TEXT(Coffee_Sales_Dataset[[#This Row],[Date]],"ddd")</f>
        <v>Mon</v>
      </c>
      <c r="C362">
        <f>HOUR(Coffee_Sales_Dataset[[#This Row],[Date]])</f>
        <v>13</v>
      </c>
      <c r="D362" t="s">
        <v>43</v>
      </c>
      <c r="E362" t="s">
        <v>46</v>
      </c>
      <c r="F362" t="s">
        <v>22</v>
      </c>
      <c r="G362">
        <v>4.68</v>
      </c>
      <c r="H362" t="s">
        <v>15</v>
      </c>
      <c r="I362" t="s">
        <v>16</v>
      </c>
      <c r="J362" t="s">
        <v>29</v>
      </c>
      <c r="K362" t="s">
        <v>18</v>
      </c>
      <c r="L362">
        <v>2</v>
      </c>
      <c r="M362" t="s">
        <v>33</v>
      </c>
      <c r="N362">
        <v>4</v>
      </c>
    </row>
    <row r="363" spans="1:14" x14ac:dyDescent="0.35">
      <c r="A363" s="5">
        <v>45642.443749999999</v>
      </c>
      <c r="B363" s="1" t="str">
        <f>TEXT(Coffee_Sales_Dataset[[#This Row],[Date]],"ddd")</f>
        <v>Mon</v>
      </c>
      <c r="C363">
        <f>HOUR(Coffee_Sales_Dataset[[#This Row],[Date]])</f>
        <v>10</v>
      </c>
      <c r="D363" t="s">
        <v>43</v>
      </c>
      <c r="E363" t="s">
        <v>21</v>
      </c>
      <c r="F363" t="s">
        <v>14</v>
      </c>
      <c r="G363">
        <v>5.32</v>
      </c>
      <c r="H363" t="s">
        <v>15</v>
      </c>
      <c r="I363" t="s">
        <v>23</v>
      </c>
      <c r="J363" t="s">
        <v>31</v>
      </c>
      <c r="K363" t="s">
        <v>18</v>
      </c>
      <c r="L363">
        <v>6</v>
      </c>
      <c r="M363" t="s">
        <v>39</v>
      </c>
      <c r="N363">
        <v>4</v>
      </c>
    </row>
    <row r="364" spans="1:14" x14ac:dyDescent="0.35">
      <c r="A364" s="5">
        <v>45643.353472222225</v>
      </c>
      <c r="B364" s="1" t="str">
        <f>TEXT(Coffee_Sales_Dataset[[#This Row],[Date]],"ddd")</f>
        <v>Tue</v>
      </c>
      <c r="C364">
        <f>HOUR(Coffee_Sales_Dataset[[#This Row],[Date]])</f>
        <v>8</v>
      </c>
      <c r="D364" t="s">
        <v>41</v>
      </c>
      <c r="E364" t="s">
        <v>46</v>
      </c>
      <c r="F364" t="s">
        <v>14</v>
      </c>
      <c r="G364">
        <v>3.34</v>
      </c>
      <c r="H364" t="s">
        <v>15</v>
      </c>
      <c r="I364" t="s">
        <v>23</v>
      </c>
      <c r="J364" t="s">
        <v>24</v>
      </c>
      <c r="K364" t="s">
        <v>18</v>
      </c>
      <c r="L364">
        <v>3</v>
      </c>
      <c r="M364" t="s">
        <v>33</v>
      </c>
      <c r="N364">
        <v>3</v>
      </c>
    </row>
    <row r="365" spans="1:14" x14ac:dyDescent="0.35">
      <c r="A365" s="5">
        <v>45650.579861111109</v>
      </c>
      <c r="B365" s="1" t="str">
        <f>TEXT(Coffee_Sales_Dataset[[#This Row],[Date]],"ddd")</f>
        <v>Tue</v>
      </c>
      <c r="C365">
        <f>HOUR(Coffee_Sales_Dataset[[#This Row],[Date]])</f>
        <v>13</v>
      </c>
      <c r="D365" t="s">
        <v>26</v>
      </c>
      <c r="E365" t="s">
        <v>13</v>
      </c>
      <c r="F365" t="s">
        <v>35</v>
      </c>
      <c r="G365">
        <v>5.34</v>
      </c>
      <c r="H365" t="s">
        <v>28</v>
      </c>
      <c r="I365" t="s">
        <v>23</v>
      </c>
      <c r="J365" t="s">
        <v>45</v>
      </c>
      <c r="K365" t="s">
        <v>40</v>
      </c>
      <c r="L365">
        <v>10</v>
      </c>
      <c r="M365" t="s">
        <v>36</v>
      </c>
      <c r="N365">
        <v>5</v>
      </c>
    </row>
    <row r="366" spans="1:14" x14ac:dyDescent="0.35">
      <c r="A366" s="5">
        <v>45652.630555555559</v>
      </c>
      <c r="B366" s="1" t="str">
        <f>TEXT(Coffee_Sales_Dataset[[#This Row],[Date]],"ddd")</f>
        <v>Thu</v>
      </c>
      <c r="C366">
        <f>HOUR(Coffee_Sales_Dataset[[#This Row],[Date]])</f>
        <v>15</v>
      </c>
      <c r="D366" t="s">
        <v>20</v>
      </c>
      <c r="E366" t="s">
        <v>44</v>
      </c>
      <c r="F366" t="s">
        <v>35</v>
      </c>
      <c r="G366">
        <v>6.41</v>
      </c>
      <c r="H366" t="s">
        <v>15</v>
      </c>
      <c r="I366" t="s">
        <v>16</v>
      </c>
      <c r="J366" t="s">
        <v>45</v>
      </c>
      <c r="K366" t="s">
        <v>40</v>
      </c>
      <c r="L366">
        <v>9</v>
      </c>
      <c r="M366" t="s">
        <v>37</v>
      </c>
      <c r="N366">
        <v>2</v>
      </c>
    </row>
    <row r="367" spans="1:14" x14ac:dyDescent="0.35">
      <c r="A367" s="5">
        <v>45642.339583333334</v>
      </c>
      <c r="B367" s="1" t="str">
        <f>TEXT(Coffee_Sales_Dataset[[#This Row],[Date]],"ddd")</f>
        <v>Mon</v>
      </c>
      <c r="C367">
        <f>HOUR(Coffee_Sales_Dataset[[#This Row],[Date]])</f>
        <v>8</v>
      </c>
      <c r="D367" t="s">
        <v>41</v>
      </c>
      <c r="E367" t="s">
        <v>13</v>
      </c>
      <c r="F367" t="s">
        <v>35</v>
      </c>
      <c r="G367">
        <v>3.39</v>
      </c>
      <c r="H367" t="s">
        <v>30</v>
      </c>
      <c r="I367" t="s">
        <v>23</v>
      </c>
      <c r="J367" t="s">
        <v>42</v>
      </c>
      <c r="K367" t="s">
        <v>40</v>
      </c>
      <c r="L367">
        <v>10</v>
      </c>
      <c r="M367" t="s">
        <v>25</v>
      </c>
      <c r="N367">
        <v>4</v>
      </c>
    </row>
    <row r="368" spans="1:14" x14ac:dyDescent="0.35">
      <c r="A368" s="5">
        <v>45641.388194444444</v>
      </c>
      <c r="B368" s="1" t="str">
        <f>TEXT(Coffee_Sales_Dataset[[#This Row],[Date]],"ddd")</f>
        <v>Sun</v>
      </c>
      <c r="C368">
        <f>HOUR(Coffee_Sales_Dataset[[#This Row],[Date]])</f>
        <v>9</v>
      </c>
      <c r="D368" t="s">
        <v>12</v>
      </c>
      <c r="E368" t="s">
        <v>46</v>
      </c>
      <c r="F368" t="s">
        <v>14</v>
      </c>
      <c r="G368">
        <v>6.28</v>
      </c>
      <c r="H368" t="s">
        <v>28</v>
      </c>
      <c r="I368" t="s">
        <v>16</v>
      </c>
      <c r="J368" t="s">
        <v>31</v>
      </c>
      <c r="K368" t="s">
        <v>18</v>
      </c>
      <c r="L368">
        <v>9</v>
      </c>
      <c r="M368" t="s">
        <v>33</v>
      </c>
      <c r="N368">
        <v>5</v>
      </c>
    </row>
    <row r="369" spans="1:14" x14ac:dyDescent="0.35">
      <c r="A369" s="5">
        <v>45642.444444444445</v>
      </c>
      <c r="B369" s="1" t="str">
        <f>TEXT(Coffee_Sales_Dataset[[#This Row],[Date]],"ddd")</f>
        <v>Mon</v>
      </c>
      <c r="C369">
        <f>HOUR(Coffee_Sales_Dataset[[#This Row],[Date]])</f>
        <v>10</v>
      </c>
      <c r="D369" t="s">
        <v>26</v>
      </c>
      <c r="E369" t="s">
        <v>27</v>
      </c>
      <c r="F369" t="s">
        <v>14</v>
      </c>
      <c r="G369">
        <v>6.27</v>
      </c>
      <c r="H369" t="s">
        <v>28</v>
      </c>
      <c r="I369" t="s">
        <v>23</v>
      </c>
      <c r="J369" t="s">
        <v>17</v>
      </c>
      <c r="K369" t="s">
        <v>18</v>
      </c>
      <c r="L369">
        <v>10</v>
      </c>
      <c r="M369" t="s">
        <v>36</v>
      </c>
      <c r="N369">
        <v>4</v>
      </c>
    </row>
    <row r="370" spans="1:14" x14ac:dyDescent="0.35">
      <c r="A370" s="5">
        <v>45648.529166666667</v>
      </c>
      <c r="B370" s="1" t="str">
        <f>TEXT(Coffee_Sales_Dataset[[#This Row],[Date]],"ddd")</f>
        <v>Sun</v>
      </c>
      <c r="C370">
        <f>HOUR(Coffee_Sales_Dataset[[#This Row],[Date]])</f>
        <v>12</v>
      </c>
      <c r="D370" t="s">
        <v>26</v>
      </c>
      <c r="E370" t="s">
        <v>38</v>
      </c>
      <c r="F370" t="s">
        <v>22</v>
      </c>
      <c r="G370">
        <v>4.47</v>
      </c>
      <c r="H370" t="s">
        <v>15</v>
      </c>
      <c r="I370" t="s">
        <v>16</v>
      </c>
      <c r="J370" t="s">
        <v>42</v>
      </c>
      <c r="K370" t="s">
        <v>18</v>
      </c>
      <c r="L370">
        <v>3</v>
      </c>
      <c r="M370" t="s">
        <v>25</v>
      </c>
      <c r="N370">
        <v>4</v>
      </c>
    </row>
    <row r="371" spans="1:14" x14ac:dyDescent="0.35">
      <c r="A371" s="5">
        <v>45654.417361111111</v>
      </c>
      <c r="B371" s="1" t="str">
        <f>TEXT(Coffee_Sales_Dataset[[#This Row],[Date]],"ddd")</f>
        <v>Sat</v>
      </c>
      <c r="C371">
        <f>HOUR(Coffee_Sales_Dataset[[#This Row],[Date]])</f>
        <v>10</v>
      </c>
      <c r="D371" t="s">
        <v>43</v>
      </c>
      <c r="E371" t="s">
        <v>46</v>
      </c>
      <c r="F371" t="s">
        <v>14</v>
      </c>
      <c r="G371">
        <v>5.26</v>
      </c>
      <c r="H371" t="s">
        <v>30</v>
      </c>
      <c r="I371" t="s">
        <v>16</v>
      </c>
      <c r="J371" t="s">
        <v>29</v>
      </c>
      <c r="K371" t="s">
        <v>18</v>
      </c>
      <c r="L371">
        <v>9</v>
      </c>
      <c r="M371" t="s">
        <v>39</v>
      </c>
      <c r="N371">
        <v>3</v>
      </c>
    </row>
    <row r="372" spans="1:14" x14ac:dyDescent="0.35">
      <c r="A372" s="5">
        <v>45656.663888888892</v>
      </c>
      <c r="B372" s="1" t="str">
        <f>TEXT(Coffee_Sales_Dataset[[#This Row],[Date]],"ddd")</f>
        <v>Mon</v>
      </c>
      <c r="C372">
        <f>HOUR(Coffee_Sales_Dataset[[#This Row],[Date]])</f>
        <v>15</v>
      </c>
      <c r="D372" t="s">
        <v>12</v>
      </c>
      <c r="E372" t="s">
        <v>34</v>
      </c>
      <c r="F372" t="s">
        <v>14</v>
      </c>
      <c r="G372">
        <v>6.93</v>
      </c>
      <c r="H372" t="s">
        <v>15</v>
      </c>
      <c r="I372" t="s">
        <v>23</v>
      </c>
      <c r="J372" t="s">
        <v>24</v>
      </c>
      <c r="K372" t="s">
        <v>18</v>
      </c>
      <c r="L372">
        <v>10</v>
      </c>
      <c r="M372" t="s">
        <v>25</v>
      </c>
      <c r="N372">
        <v>5</v>
      </c>
    </row>
    <row r="373" spans="1:14" x14ac:dyDescent="0.35">
      <c r="A373" s="5">
        <v>45642.431944444441</v>
      </c>
      <c r="B373" s="1" t="str">
        <f>TEXT(Coffee_Sales_Dataset[[#This Row],[Date]],"ddd")</f>
        <v>Mon</v>
      </c>
      <c r="C373">
        <f>HOUR(Coffee_Sales_Dataset[[#This Row],[Date]])</f>
        <v>10</v>
      </c>
      <c r="D373" t="s">
        <v>41</v>
      </c>
      <c r="E373" t="s">
        <v>34</v>
      </c>
      <c r="F373" t="s">
        <v>22</v>
      </c>
      <c r="G373">
        <v>5.86</v>
      </c>
      <c r="H373" t="s">
        <v>30</v>
      </c>
      <c r="I373" t="s">
        <v>16</v>
      </c>
      <c r="J373" t="s">
        <v>45</v>
      </c>
      <c r="K373" t="s">
        <v>32</v>
      </c>
      <c r="L373">
        <v>8</v>
      </c>
      <c r="M373" t="s">
        <v>39</v>
      </c>
      <c r="N373">
        <v>4</v>
      </c>
    </row>
    <row r="374" spans="1:14" x14ac:dyDescent="0.35">
      <c r="A374" s="5">
        <v>45647.651388888888</v>
      </c>
      <c r="B374" s="1" t="str">
        <f>TEXT(Coffee_Sales_Dataset[[#This Row],[Date]],"ddd")</f>
        <v>Sat</v>
      </c>
      <c r="C374">
        <f>HOUR(Coffee_Sales_Dataset[[#This Row],[Date]])</f>
        <v>15</v>
      </c>
      <c r="D374" t="s">
        <v>20</v>
      </c>
      <c r="E374" t="s">
        <v>38</v>
      </c>
      <c r="F374" t="s">
        <v>35</v>
      </c>
      <c r="G374">
        <v>6.71</v>
      </c>
      <c r="H374" t="s">
        <v>28</v>
      </c>
      <c r="I374" t="s">
        <v>16</v>
      </c>
      <c r="J374" t="s">
        <v>17</v>
      </c>
      <c r="K374" t="s">
        <v>18</v>
      </c>
      <c r="L374">
        <v>7</v>
      </c>
      <c r="M374" t="s">
        <v>37</v>
      </c>
      <c r="N374">
        <v>5</v>
      </c>
    </row>
    <row r="375" spans="1:14" x14ac:dyDescent="0.35">
      <c r="A375" s="5">
        <v>45646.745138888888</v>
      </c>
      <c r="B375" s="1" t="str">
        <f>TEXT(Coffee_Sales_Dataset[[#This Row],[Date]],"ddd")</f>
        <v>Fri</v>
      </c>
      <c r="C375">
        <f>HOUR(Coffee_Sales_Dataset[[#This Row],[Date]])</f>
        <v>17</v>
      </c>
      <c r="D375" t="s">
        <v>12</v>
      </c>
      <c r="E375" t="s">
        <v>13</v>
      </c>
      <c r="F375" t="s">
        <v>14</v>
      </c>
      <c r="G375">
        <v>3.12</v>
      </c>
      <c r="H375" t="s">
        <v>28</v>
      </c>
      <c r="I375" t="s">
        <v>23</v>
      </c>
      <c r="J375" t="s">
        <v>17</v>
      </c>
      <c r="K375" t="s">
        <v>40</v>
      </c>
      <c r="L375">
        <v>3</v>
      </c>
      <c r="M375" t="s">
        <v>25</v>
      </c>
      <c r="N375">
        <v>4</v>
      </c>
    </row>
    <row r="376" spans="1:14" x14ac:dyDescent="0.35">
      <c r="A376" s="5">
        <v>45646.492361111108</v>
      </c>
      <c r="B376" s="1" t="str">
        <f>TEXT(Coffee_Sales_Dataset[[#This Row],[Date]],"ddd")</f>
        <v>Fri</v>
      </c>
      <c r="C376">
        <f>HOUR(Coffee_Sales_Dataset[[#This Row],[Date]])</f>
        <v>11</v>
      </c>
      <c r="D376" t="s">
        <v>20</v>
      </c>
      <c r="E376" t="s">
        <v>13</v>
      </c>
      <c r="F376" t="s">
        <v>14</v>
      </c>
      <c r="G376">
        <v>5.91</v>
      </c>
      <c r="H376" t="s">
        <v>15</v>
      </c>
      <c r="I376" t="s">
        <v>16</v>
      </c>
      <c r="J376" t="s">
        <v>29</v>
      </c>
      <c r="K376" t="s">
        <v>40</v>
      </c>
      <c r="L376">
        <v>6</v>
      </c>
      <c r="M376" t="s">
        <v>39</v>
      </c>
      <c r="N376">
        <v>1</v>
      </c>
    </row>
    <row r="377" spans="1:14" x14ac:dyDescent="0.35">
      <c r="A377" s="5">
        <v>45654.394444444442</v>
      </c>
      <c r="B377" s="1" t="str">
        <f>TEXT(Coffee_Sales_Dataset[[#This Row],[Date]],"ddd")</f>
        <v>Sat</v>
      </c>
      <c r="C377">
        <f>HOUR(Coffee_Sales_Dataset[[#This Row],[Date]])</f>
        <v>9</v>
      </c>
      <c r="D377" t="s">
        <v>43</v>
      </c>
      <c r="E377" t="s">
        <v>38</v>
      </c>
      <c r="F377" t="s">
        <v>35</v>
      </c>
      <c r="G377">
        <v>6.36</v>
      </c>
      <c r="H377" t="s">
        <v>30</v>
      </c>
      <c r="I377" t="s">
        <v>16</v>
      </c>
      <c r="J377" t="s">
        <v>29</v>
      </c>
      <c r="K377" t="s">
        <v>18</v>
      </c>
      <c r="L377">
        <v>9</v>
      </c>
      <c r="M377" t="s">
        <v>25</v>
      </c>
      <c r="N377">
        <v>2</v>
      </c>
    </row>
    <row r="378" spans="1:14" x14ac:dyDescent="0.35">
      <c r="A378" s="5">
        <v>45656.732638888891</v>
      </c>
      <c r="B378" s="1" t="str">
        <f>TEXT(Coffee_Sales_Dataset[[#This Row],[Date]],"ddd")</f>
        <v>Mon</v>
      </c>
      <c r="C378">
        <f>HOUR(Coffee_Sales_Dataset[[#This Row],[Date]])</f>
        <v>17</v>
      </c>
      <c r="D378" t="s">
        <v>20</v>
      </c>
      <c r="E378" t="s">
        <v>27</v>
      </c>
      <c r="F378" t="s">
        <v>22</v>
      </c>
      <c r="G378">
        <v>4.96</v>
      </c>
      <c r="H378" t="s">
        <v>28</v>
      </c>
      <c r="I378" t="s">
        <v>16</v>
      </c>
      <c r="J378" t="s">
        <v>17</v>
      </c>
      <c r="K378" t="s">
        <v>40</v>
      </c>
      <c r="L378">
        <v>4</v>
      </c>
      <c r="M378" t="s">
        <v>25</v>
      </c>
      <c r="N378">
        <v>5</v>
      </c>
    </row>
    <row r="379" spans="1:14" x14ac:dyDescent="0.35">
      <c r="A379" s="5">
        <v>45653.461805555555</v>
      </c>
      <c r="B379" s="1" t="str">
        <f>TEXT(Coffee_Sales_Dataset[[#This Row],[Date]],"ddd")</f>
        <v>Fri</v>
      </c>
      <c r="C379">
        <f>HOUR(Coffee_Sales_Dataset[[#This Row],[Date]])</f>
        <v>11</v>
      </c>
      <c r="D379" t="s">
        <v>41</v>
      </c>
      <c r="E379" t="s">
        <v>13</v>
      </c>
      <c r="F379" t="s">
        <v>35</v>
      </c>
      <c r="G379">
        <v>6.84</v>
      </c>
      <c r="H379" t="s">
        <v>30</v>
      </c>
      <c r="I379" t="s">
        <v>23</v>
      </c>
      <c r="J379" t="s">
        <v>29</v>
      </c>
      <c r="K379" t="s">
        <v>40</v>
      </c>
      <c r="L379">
        <v>2</v>
      </c>
      <c r="M379" t="s">
        <v>47</v>
      </c>
      <c r="N379">
        <v>4</v>
      </c>
    </row>
    <row r="380" spans="1:14" x14ac:dyDescent="0.35">
      <c r="A380" s="5">
        <v>45650.38958333333</v>
      </c>
      <c r="B380" s="1" t="str">
        <f>TEXT(Coffee_Sales_Dataset[[#This Row],[Date]],"ddd")</f>
        <v>Tue</v>
      </c>
      <c r="C380">
        <f>HOUR(Coffee_Sales_Dataset[[#This Row],[Date]])</f>
        <v>9</v>
      </c>
      <c r="D380" t="s">
        <v>20</v>
      </c>
      <c r="E380" t="s">
        <v>44</v>
      </c>
      <c r="F380" t="s">
        <v>35</v>
      </c>
      <c r="G380">
        <v>6.83</v>
      </c>
      <c r="H380" t="s">
        <v>28</v>
      </c>
      <c r="I380" t="s">
        <v>16</v>
      </c>
      <c r="J380" t="s">
        <v>17</v>
      </c>
      <c r="K380" t="s">
        <v>40</v>
      </c>
      <c r="L380">
        <v>9</v>
      </c>
      <c r="M380" t="s">
        <v>37</v>
      </c>
      <c r="N380">
        <v>3</v>
      </c>
    </row>
    <row r="381" spans="1:14" x14ac:dyDescent="0.35">
      <c r="A381" s="5">
        <v>45646.70416666667</v>
      </c>
      <c r="B381" s="1" t="str">
        <f>TEXT(Coffee_Sales_Dataset[[#This Row],[Date]],"ddd")</f>
        <v>Fri</v>
      </c>
      <c r="C381">
        <f>HOUR(Coffee_Sales_Dataset[[#This Row],[Date]])</f>
        <v>16</v>
      </c>
      <c r="D381" t="s">
        <v>20</v>
      </c>
      <c r="E381" t="s">
        <v>21</v>
      </c>
      <c r="F381" t="s">
        <v>14</v>
      </c>
      <c r="G381">
        <v>4.76</v>
      </c>
      <c r="H381" t="s">
        <v>28</v>
      </c>
      <c r="I381" t="s">
        <v>16</v>
      </c>
      <c r="J381" t="s">
        <v>29</v>
      </c>
      <c r="K381" t="s">
        <v>18</v>
      </c>
      <c r="L381">
        <v>3</v>
      </c>
      <c r="M381" t="s">
        <v>36</v>
      </c>
      <c r="N381">
        <v>5</v>
      </c>
    </row>
    <row r="382" spans="1:14" x14ac:dyDescent="0.35">
      <c r="A382" s="5">
        <v>45645.396527777775</v>
      </c>
      <c r="B382" s="1" t="str">
        <f>TEXT(Coffee_Sales_Dataset[[#This Row],[Date]],"ddd")</f>
        <v>Thu</v>
      </c>
      <c r="C382">
        <f>HOUR(Coffee_Sales_Dataset[[#This Row],[Date]])</f>
        <v>9</v>
      </c>
      <c r="D382" t="s">
        <v>20</v>
      </c>
      <c r="E382" t="s">
        <v>13</v>
      </c>
      <c r="F382" t="s">
        <v>35</v>
      </c>
      <c r="G382">
        <v>5.16</v>
      </c>
      <c r="H382" t="s">
        <v>30</v>
      </c>
      <c r="I382" t="s">
        <v>23</v>
      </c>
      <c r="J382" t="s">
        <v>24</v>
      </c>
      <c r="K382" t="s">
        <v>32</v>
      </c>
      <c r="L382">
        <v>8</v>
      </c>
      <c r="M382" t="s">
        <v>19</v>
      </c>
      <c r="N382">
        <v>3</v>
      </c>
    </row>
    <row r="383" spans="1:14" x14ac:dyDescent="0.35">
      <c r="A383" s="5">
        <v>45642.429166666669</v>
      </c>
      <c r="B383" s="1" t="str">
        <f>TEXT(Coffee_Sales_Dataset[[#This Row],[Date]],"ddd")</f>
        <v>Mon</v>
      </c>
      <c r="C383">
        <f>HOUR(Coffee_Sales_Dataset[[#This Row],[Date]])</f>
        <v>10</v>
      </c>
      <c r="D383" t="s">
        <v>26</v>
      </c>
      <c r="E383" t="s">
        <v>38</v>
      </c>
      <c r="F383" t="s">
        <v>35</v>
      </c>
      <c r="G383">
        <v>3.97</v>
      </c>
      <c r="H383" t="s">
        <v>28</v>
      </c>
      <c r="I383" t="s">
        <v>16</v>
      </c>
      <c r="J383" t="s">
        <v>42</v>
      </c>
      <c r="K383" t="s">
        <v>18</v>
      </c>
      <c r="L383">
        <v>2</v>
      </c>
      <c r="M383" t="s">
        <v>37</v>
      </c>
      <c r="N383">
        <v>1</v>
      </c>
    </row>
    <row r="384" spans="1:14" x14ac:dyDescent="0.35">
      <c r="A384" s="5">
        <v>45650.52847222222</v>
      </c>
      <c r="B384" s="1" t="str">
        <f>TEXT(Coffee_Sales_Dataset[[#This Row],[Date]],"ddd")</f>
        <v>Tue</v>
      </c>
      <c r="C384">
        <f>HOUR(Coffee_Sales_Dataset[[#This Row],[Date]])</f>
        <v>12</v>
      </c>
      <c r="D384" t="s">
        <v>26</v>
      </c>
      <c r="E384" t="s">
        <v>13</v>
      </c>
      <c r="F384" t="s">
        <v>22</v>
      </c>
      <c r="G384">
        <v>4.6900000000000004</v>
      </c>
      <c r="H384" t="s">
        <v>30</v>
      </c>
      <c r="I384" t="s">
        <v>16</v>
      </c>
      <c r="J384" t="s">
        <v>29</v>
      </c>
      <c r="K384" t="s">
        <v>40</v>
      </c>
      <c r="L384">
        <v>5</v>
      </c>
      <c r="M384" t="s">
        <v>37</v>
      </c>
      <c r="N384">
        <v>3</v>
      </c>
    </row>
    <row r="385" spans="1:14" x14ac:dyDescent="0.35">
      <c r="A385" s="5">
        <v>45655.34375</v>
      </c>
      <c r="B385" s="1" t="str">
        <f>TEXT(Coffee_Sales_Dataset[[#This Row],[Date]],"ddd")</f>
        <v>Sun</v>
      </c>
      <c r="C385">
        <f>HOUR(Coffee_Sales_Dataset[[#This Row],[Date]])</f>
        <v>8</v>
      </c>
      <c r="D385" t="s">
        <v>12</v>
      </c>
      <c r="E385" t="s">
        <v>13</v>
      </c>
      <c r="F385" t="s">
        <v>35</v>
      </c>
      <c r="G385">
        <v>6.62</v>
      </c>
      <c r="H385" t="s">
        <v>28</v>
      </c>
      <c r="I385" t="s">
        <v>23</v>
      </c>
      <c r="J385" t="s">
        <v>24</v>
      </c>
      <c r="K385" t="s">
        <v>40</v>
      </c>
      <c r="L385">
        <v>8</v>
      </c>
      <c r="M385" t="s">
        <v>37</v>
      </c>
      <c r="N385">
        <v>5</v>
      </c>
    </row>
    <row r="386" spans="1:14" x14ac:dyDescent="0.35">
      <c r="A386" s="5">
        <v>45655.6875</v>
      </c>
      <c r="B386" s="1" t="str">
        <f>TEXT(Coffee_Sales_Dataset[[#This Row],[Date]],"ddd")</f>
        <v>Sun</v>
      </c>
      <c r="C386">
        <f>HOUR(Coffee_Sales_Dataset[[#This Row],[Date]])</f>
        <v>16</v>
      </c>
      <c r="D386" t="s">
        <v>20</v>
      </c>
      <c r="E386" t="s">
        <v>34</v>
      </c>
      <c r="F386" t="s">
        <v>35</v>
      </c>
      <c r="G386">
        <v>3.17</v>
      </c>
      <c r="H386" t="s">
        <v>30</v>
      </c>
      <c r="I386" t="s">
        <v>16</v>
      </c>
      <c r="J386" t="s">
        <v>31</v>
      </c>
      <c r="K386" t="s">
        <v>40</v>
      </c>
      <c r="L386">
        <v>7</v>
      </c>
      <c r="M386" t="s">
        <v>25</v>
      </c>
      <c r="N386">
        <v>4</v>
      </c>
    </row>
    <row r="387" spans="1:14" x14ac:dyDescent="0.35">
      <c r="A387" s="5">
        <v>45645.459027777775</v>
      </c>
      <c r="B387" s="1" t="str">
        <f>TEXT(Coffee_Sales_Dataset[[#This Row],[Date]],"ddd")</f>
        <v>Thu</v>
      </c>
      <c r="C387">
        <f>HOUR(Coffee_Sales_Dataset[[#This Row],[Date]])</f>
        <v>11</v>
      </c>
      <c r="D387" t="s">
        <v>26</v>
      </c>
      <c r="E387" t="s">
        <v>13</v>
      </c>
      <c r="F387" t="s">
        <v>14</v>
      </c>
      <c r="G387">
        <v>5.14</v>
      </c>
      <c r="H387" t="s">
        <v>15</v>
      </c>
      <c r="I387" t="s">
        <v>23</v>
      </c>
      <c r="J387" t="s">
        <v>31</v>
      </c>
      <c r="K387" t="s">
        <v>32</v>
      </c>
      <c r="L387">
        <v>2</v>
      </c>
      <c r="M387" t="s">
        <v>25</v>
      </c>
      <c r="N387">
        <v>4</v>
      </c>
    </row>
    <row r="388" spans="1:14" x14ac:dyDescent="0.35">
      <c r="A388" s="5">
        <v>45652.613888888889</v>
      </c>
      <c r="B388" s="1" t="str">
        <f>TEXT(Coffee_Sales_Dataset[[#This Row],[Date]],"ddd")</f>
        <v>Thu</v>
      </c>
      <c r="C388">
        <f>HOUR(Coffee_Sales_Dataset[[#This Row],[Date]])</f>
        <v>14</v>
      </c>
      <c r="D388" t="s">
        <v>12</v>
      </c>
      <c r="E388" t="s">
        <v>38</v>
      </c>
      <c r="F388" t="s">
        <v>14</v>
      </c>
      <c r="G388">
        <v>3.46</v>
      </c>
      <c r="H388" t="s">
        <v>30</v>
      </c>
      <c r="I388" t="s">
        <v>16</v>
      </c>
      <c r="J388" t="s">
        <v>24</v>
      </c>
      <c r="K388" t="s">
        <v>40</v>
      </c>
      <c r="L388">
        <v>7</v>
      </c>
      <c r="M388" t="s">
        <v>25</v>
      </c>
      <c r="N388">
        <v>1</v>
      </c>
    </row>
    <row r="389" spans="1:14" x14ac:dyDescent="0.35">
      <c r="A389" s="5">
        <v>45644.400694444441</v>
      </c>
      <c r="B389" s="1" t="str">
        <f>TEXT(Coffee_Sales_Dataset[[#This Row],[Date]],"ddd")</f>
        <v>Wed</v>
      </c>
      <c r="C389">
        <f>HOUR(Coffee_Sales_Dataset[[#This Row],[Date]])</f>
        <v>9</v>
      </c>
      <c r="D389" t="s">
        <v>26</v>
      </c>
      <c r="E389" t="s">
        <v>27</v>
      </c>
      <c r="F389" t="s">
        <v>22</v>
      </c>
      <c r="G389">
        <v>5.99</v>
      </c>
      <c r="H389" t="s">
        <v>28</v>
      </c>
      <c r="I389" t="s">
        <v>23</v>
      </c>
      <c r="J389" t="s">
        <v>29</v>
      </c>
      <c r="K389" t="s">
        <v>18</v>
      </c>
      <c r="L389">
        <v>5</v>
      </c>
      <c r="M389" t="s">
        <v>33</v>
      </c>
      <c r="N389">
        <v>1</v>
      </c>
    </row>
    <row r="390" spans="1:14" x14ac:dyDescent="0.35">
      <c r="A390" s="5">
        <v>45642.436111111114</v>
      </c>
      <c r="B390" s="1" t="str">
        <f>TEXT(Coffee_Sales_Dataset[[#This Row],[Date]],"ddd")</f>
        <v>Mon</v>
      </c>
      <c r="C390">
        <f>HOUR(Coffee_Sales_Dataset[[#This Row],[Date]])</f>
        <v>10</v>
      </c>
      <c r="D390" t="s">
        <v>20</v>
      </c>
      <c r="E390" t="s">
        <v>34</v>
      </c>
      <c r="F390" t="s">
        <v>14</v>
      </c>
      <c r="G390">
        <v>4.26</v>
      </c>
      <c r="H390" t="s">
        <v>28</v>
      </c>
      <c r="I390" t="s">
        <v>23</v>
      </c>
      <c r="J390" t="s">
        <v>24</v>
      </c>
      <c r="K390" t="s">
        <v>40</v>
      </c>
      <c r="L390">
        <v>8</v>
      </c>
      <c r="M390" t="s">
        <v>25</v>
      </c>
      <c r="N390">
        <v>1</v>
      </c>
    </row>
    <row r="391" spans="1:14" x14ac:dyDescent="0.35">
      <c r="A391" s="5">
        <v>45651.386111111111</v>
      </c>
      <c r="B391" s="1" t="str">
        <f>TEXT(Coffee_Sales_Dataset[[#This Row],[Date]],"ddd")</f>
        <v>Wed</v>
      </c>
      <c r="C391">
        <f>HOUR(Coffee_Sales_Dataset[[#This Row],[Date]])</f>
        <v>9</v>
      </c>
      <c r="D391" t="s">
        <v>41</v>
      </c>
      <c r="E391" t="s">
        <v>27</v>
      </c>
      <c r="F391" t="s">
        <v>22</v>
      </c>
      <c r="G391">
        <v>5.82</v>
      </c>
      <c r="H391" t="s">
        <v>15</v>
      </c>
      <c r="I391" t="s">
        <v>23</v>
      </c>
      <c r="J391" t="s">
        <v>42</v>
      </c>
      <c r="K391" t="s">
        <v>18</v>
      </c>
      <c r="L391">
        <v>6</v>
      </c>
      <c r="M391" t="s">
        <v>47</v>
      </c>
      <c r="N391">
        <v>5</v>
      </c>
    </row>
    <row r="392" spans="1:14" x14ac:dyDescent="0.35">
      <c r="A392" s="5">
        <v>45645.481249999997</v>
      </c>
      <c r="B392" s="1" t="str">
        <f>TEXT(Coffee_Sales_Dataset[[#This Row],[Date]],"ddd")</f>
        <v>Thu</v>
      </c>
      <c r="C392">
        <f>HOUR(Coffee_Sales_Dataset[[#This Row],[Date]])</f>
        <v>11</v>
      </c>
      <c r="D392" t="s">
        <v>43</v>
      </c>
      <c r="E392" t="s">
        <v>34</v>
      </c>
      <c r="F392" t="s">
        <v>35</v>
      </c>
      <c r="G392">
        <v>5.17</v>
      </c>
      <c r="H392" t="s">
        <v>30</v>
      </c>
      <c r="I392" t="s">
        <v>23</v>
      </c>
      <c r="J392" t="s">
        <v>24</v>
      </c>
      <c r="K392" t="s">
        <v>32</v>
      </c>
      <c r="L392">
        <v>9</v>
      </c>
      <c r="M392" t="s">
        <v>47</v>
      </c>
      <c r="N392">
        <v>1</v>
      </c>
    </row>
    <row r="393" spans="1:14" x14ac:dyDescent="0.35">
      <c r="A393" s="5">
        <v>45644.453472222223</v>
      </c>
      <c r="B393" s="1" t="str">
        <f>TEXT(Coffee_Sales_Dataset[[#This Row],[Date]],"ddd")</f>
        <v>Wed</v>
      </c>
      <c r="C393">
        <f>HOUR(Coffee_Sales_Dataset[[#This Row],[Date]])</f>
        <v>10</v>
      </c>
      <c r="D393" t="s">
        <v>41</v>
      </c>
      <c r="E393" t="s">
        <v>27</v>
      </c>
      <c r="F393" t="s">
        <v>22</v>
      </c>
      <c r="G393">
        <v>5.97</v>
      </c>
      <c r="H393" t="s">
        <v>30</v>
      </c>
      <c r="I393" t="s">
        <v>23</v>
      </c>
      <c r="J393" t="s">
        <v>24</v>
      </c>
      <c r="K393" t="s">
        <v>18</v>
      </c>
      <c r="L393">
        <v>4</v>
      </c>
      <c r="M393" t="s">
        <v>39</v>
      </c>
      <c r="N393">
        <v>2</v>
      </c>
    </row>
    <row r="394" spans="1:14" x14ac:dyDescent="0.35">
      <c r="A394" s="5">
        <v>45652.629861111112</v>
      </c>
      <c r="B394" s="1" t="str">
        <f>TEXT(Coffee_Sales_Dataset[[#This Row],[Date]],"ddd")</f>
        <v>Thu</v>
      </c>
      <c r="C394">
        <f>HOUR(Coffee_Sales_Dataset[[#This Row],[Date]])</f>
        <v>15</v>
      </c>
      <c r="D394" t="s">
        <v>26</v>
      </c>
      <c r="E394" t="s">
        <v>46</v>
      </c>
      <c r="F394" t="s">
        <v>14</v>
      </c>
      <c r="G394">
        <v>4.08</v>
      </c>
      <c r="H394" t="s">
        <v>28</v>
      </c>
      <c r="I394" t="s">
        <v>16</v>
      </c>
      <c r="J394" t="s">
        <v>24</v>
      </c>
      <c r="K394" t="s">
        <v>40</v>
      </c>
      <c r="L394">
        <v>2</v>
      </c>
      <c r="M394" t="s">
        <v>47</v>
      </c>
      <c r="N394">
        <v>5</v>
      </c>
    </row>
    <row r="395" spans="1:14" x14ac:dyDescent="0.35">
      <c r="A395" s="5">
        <v>45647.371527777781</v>
      </c>
      <c r="B395" s="1" t="str">
        <f>TEXT(Coffee_Sales_Dataset[[#This Row],[Date]],"ddd")</f>
        <v>Sat</v>
      </c>
      <c r="C395">
        <f>HOUR(Coffee_Sales_Dataset[[#This Row],[Date]])</f>
        <v>8</v>
      </c>
      <c r="D395" t="s">
        <v>12</v>
      </c>
      <c r="E395" t="s">
        <v>46</v>
      </c>
      <c r="F395" t="s">
        <v>22</v>
      </c>
      <c r="G395">
        <v>3.18</v>
      </c>
      <c r="H395" t="s">
        <v>30</v>
      </c>
      <c r="I395" t="s">
        <v>16</v>
      </c>
      <c r="J395" t="s">
        <v>17</v>
      </c>
      <c r="K395" t="s">
        <v>18</v>
      </c>
      <c r="L395">
        <v>8</v>
      </c>
      <c r="M395" t="s">
        <v>37</v>
      </c>
      <c r="N395">
        <v>1</v>
      </c>
    </row>
    <row r="396" spans="1:14" x14ac:dyDescent="0.35">
      <c r="A396" s="5">
        <v>45651.356944444444</v>
      </c>
      <c r="B396" s="1" t="str">
        <f>TEXT(Coffee_Sales_Dataset[[#This Row],[Date]],"ddd")</f>
        <v>Wed</v>
      </c>
      <c r="C396">
        <f>HOUR(Coffee_Sales_Dataset[[#This Row],[Date]])</f>
        <v>8</v>
      </c>
      <c r="D396" t="s">
        <v>43</v>
      </c>
      <c r="E396" t="s">
        <v>13</v>
      </c>
      <c r="F396" t="s">
        <v>35</v>
      </c>
      <c r="G396">
        <v>6.02</v>
      </c>
      <c r="H396" t="s">
        <v>15</v>
      </c>
      <c r="I396" t="s">
        <v>16</v>
      </c>
      <c r="J396" t="s">
        <v>31</v>
      </c>
      <c r="K396" t="s">
        <v>40</v>
      </c>
      <c r="L396">
        <v>2</v>
      </c>
      <c r="M396" t="s">
        <v>47</v>
      </c>
      <c r="N396">
        <v>5</v>
      </c>
    </row>
    <row r="397" spans="1:14" x14ac:dyDescent="0.35">
      <c r="A397" s="5">
        <v>45647.618055555555</v>
      </c>
      <c r="B397" s="1" t="str">
        <f>TEXT(Coffee_Sales_Dataset[[#This Row],[Date]],"ddd")</f>
        <v>Sat</v>
      </c>
      <c r="C397">
        <f>HOUR(Coffee_Sales_Dataset[[#This Row],[Date]])</f>
        <v>14</v>
      </c>
      <c r="D397" t="s">
        <v>26</v>
      </c>
      <c r="E397" t="s">
        <v>21</v>
      </c>
      <c r="F397" t="s">
        <v>14</v>
      </c>
      <c r="G397">
        <v>5.21</v>
      </c>
      <c r="H397" t="s">
        <v>28</v>
      </c>
      <c r="I397" t="s">
        <v>16</v>
      </c>
      <c r="J397" t="s">
        <v>31</v>
      </c>
      <c r="K397" t="s">
        <v>32</v>
      </c>
      <c r="L397">
        <v>8</v>
      </c>
      <c r="M397" t="s">
        <v>37</v>
      </c>
      <c r="N397">
        <v>5</v>
      </c>
    </row>
    <row r="398" spans="1:14" x14ac:dyDescent="0.35">
      <c r="A398" s="5">
        <v>45653.506944444445</v>
      </c>
      <c r="B398" s="1" t="str">
        <f>TEXT(Coffee_Sales_Dataset[[#This Row],[Date]],"ddd")</f>
        <v>Fri</v>
      </c>
      <c r="C398">
        <f>HOUR(Coffee_Sales_Dataset[[#This Row],[Date]])</f>
        <v>12</v>
      </c>
      <c r="D398" t="s">
        <v>12</v>
      </c>
      <c r="E398" t="s">
        <v>46</v>
      </c>
      <c r="F398" t="s">
        <v>35</v>
      </c>
      <c r="G398">
        <v>6.97</v>
      </c>
      <c r="H398" t="s">
        <v>30</v>
      </c>
      <c r="I398" t="s">
        <v>23</v>
      </c>
      <c r="J398" t="s">
        <v>29</v>
      </c>
      <c r="K398" t="s">
        <v>32</v>
      </c>
      <c r="L398">
        <v>6</v>
      </c>
      <c r="M398" t="s">
        <v>39</v>
      </c>
      <c r="N398">
        <v>2</v>
      </c>
    </row>
    <row r="399" spans="1:14" x14ac:dyDescent="0.35">
      <c r="A399" s="5">
        <v>45653.51458333333</v>
      </c>
      <c r="B399" s="1" t="str">
        <f>TEXT(Coffee_Sales_Dataset[[#This Row],[Date]],"ddd")</f>
        <v>Fri</v>
      </c>
      <c r="C399">
        <f>HOUR(Coffee_Sales_Dataset[[#This Row],[Date]])</f>
        <v>12</v>
      </c>
      <c r="D399" t="s">
        <v>41</v>
      </c>
      <c r="E399" t="s">
        <v>46</v>
      </c>
      <c r="F399" t="s">
        <v>14</v>
      </c>
      <c r="G399">
        <v>5.46</v>
      </c>
      <c r="H399" t="s">
        <v>15</v>
      </c>
      <c r="I399" t="s">
        <v>16</v>
      </c>
      <c r="J399" t="s">
        <v>45</v>
      </c>
      <c r="K399" t="s">
        <v>32</v>
      </c>
      <c r="L399">
        <v>2</v>
      </c>
      <c r="M399" t="s">
        <v>39</v>
      </c>
      <c r="N399">
        <v>3</v>
      </c>
    </row>
    <row r="400" spans="1:14" x14ac:dyDescent="0.35">
      <c r="A400" s="5">
        <v>45650.578472222223</v>
      </c>
      <c r="B400" s="1" t="str">
        <f>TEXT(Coffee_Sales_Dataset[[#This Row],[Date]],"ddd")</f>
        <v>Tue</v>
      </c>
      <c r="C400">
        <f>HOUR(Coffee_Sales_Dataset[[#This Row],[Date]])</f>
        <v>13</v>
      </c>
      <c r="D400" t="s">
        <v>43</v>
      </c>
      <c r="E400" t="s">
        <v>21</v>
      </c>
      <c r="F400" t="s">
        <v>14</v>
      </c>
      <c r="G400">
        <v>4.78</v>
      </c>
      <c r="H400" t="s">
        <v>30</v>
      </c>
      <c r="I400" t="s">
        <v>16</v>
      </c>
      <c r="J400" t="s">
        <v>29</v>
      </c>
      <c r="K400" t="s">
        <v>32</v>
      </c>
      <c r="L400">
        <v>2</v>
      </c>
      <c r="M400" t="s">
        <v>47</v>
      </c>
      <c r="N400">
        <v>4</v>
      </c>
    </row>
    <row r="401" spans="1:14" x14ac:dyDescent="0.35">
      <c r="A401" s="5">
        <v>45651.675694444442</v>
      </c>
      <c r="B401" s="1" t="str">
        <f>TEXT(Coffee_Sales_Dataset[[#This Row],[Date]],"ddd")</f>
        <v>Wed</v>
      </c>
      <c r="C401">
        <f>HOUR(Coffee_Sales_Dataset[[#This Row],[Date]])</f>
        <v>16</v>
      </c>
      <c r="D401" t="s">
        <v>12</v>
      </c>
      <c r="E401" t="s">
        <v>13</v>
      </c>
      <c r="F401" t="s">
        <v>35</v>
      </c>
      <c r="G401">
        <v>6.76</v>
      </c>
      <c r="H401" t="s">
        <v>15</v>
      </c>
      <c r="I401" t="s">
        <v>16</v>
      </c>
      <c r="J401" t="s">
        <v>29</v>
      </c>
      <c r="K401" t="s">
        <v>32</v>
      </c>
      <c r="L401">
        <v>4</v>
      </c>
      <c r="M401" t="s">
        <v>47</v>
      </c>
      <c r="N401">
        <v>3</v>
      </c>
    </row>
    <row r="402" spans="1:14" x14ac:dyDescent="0.35">
      <c r="A402" s="5">
        <v>45645.630555555559</v>
      </c>
      <c r="B402" s="1" t="str">
        <f>TEXT(Coffee_Sales_Dataset[[#This Row],[Date]],"ddd")</f>
        <v>Thu</v>
      </c>
      <c r="C402">
        <f>HOUR(Coffee_Sales_Dataset[[#This Row],[Date]])</f>
        <v>15</v>
      </c>
      <c r="D402" t="s">
        <v>20</v>
      </c>
      <c r="E402" t="s">
        <v>44</v>
      </c>
      <c r="F402" t="s">
        <v>14</v>
      </c>
      <c r="G402">
        <v>3.59</v>
      </c>
      <c r="H402" t="s">
        <v>28</v>
      </c>
      <c r="I402" t="s">
        <v>23</v>
      </c>
      <c r="J402" t="s">
        <v>17</v>
      </c>
      <c r="K402" t="s">
        <v>40</v>
      </c>
      <c r="L402">
        <v>2</v>
      </c>
      <c r="M402" t="s">
        <v>36</v>
      </c>
      <c r="N402">
        <v>5</v>
      </c>
    </row>
    <row r="403" spans="1:14" x14ac:dyDescent="0.35">
      <c r="A403" s="5">
        <v>45654.722222222219</v>
      </c>
      <c r="B403" s="1" t="str">
        <f>TEXT(Coffee_Sales_Dataset[[#This Row],[Date]],"ddd")</f>
        <v>Sat</v>
      </c>
      <c r="C403">
        <f>HOUR(Coffee_Sales_Dataset[[#This Row],[Date]])</f>
        <v>17</v>
      </c>
      <c r="D403" t="s">
        <v>26</v>
      </c>
      <c r="E403" t="s">
        <v>38</v>
      </c>
      <c r="F403" t="s">
        <v>35</v>
      </c>
      <c r="G403">
        <v>3.91</v>
      </c>
      <c r="H403" t="s">
        <v>28</v>
      </c>
      <c r="I403" t="s">
        <v>16</v>
      </c>
      <c r="J403" t="s">
        <v>24</v>
      </c>
      <c r="K403" t="s">
        <v>40</v>
      </c>
      <c r="L403">
        <v>7</v>
      </c>
      <c r="M403" t="s">
        <v>37</v>
      </c>
      <c r="N403">
        <v>1</v>
      </c>
    </row>
    <row r="404" spans="1:14" x14ac:dyDescent="0.35">
      <c r="A404" s="5">
        <v>45650.54583333333</v>
      </c>
      <c r="B404" s="1" t="str">
        <f>TEXT(Coffee_Sales_Dataset[[#This Row],[Date]],"ddd")</f>
        <v>Tue</v>
      </c>
      <c r="C404">
        <f>HOUR(Coffee_Sales_Dataset[[#This Row],[Date]])</f>
        <v>13</v>
      </c>
      <c r="D404" t="s">
        <v>26</v>
      </c>
      <c r="E404" t="s">
        <v>38</v>
      </c>
      <c r="F404" t="s">
        <v>22</v>
      </c>
      <c r="G404">
        <v>3.45</v>
      </c>
      <c r="H404" t="s">
        <v>30</v>
      </c>
      <c r="I404" t="s">
        <v>23</v>
      </c>
      <c r="J404" t="s">
        <v>17</v>
      </c>
      <c r="K404" t="s">
        <v>32</v>
      </c>
      <c r="L404">
        <v>7</v>
      </c>
      <c r="M404" t="s">
        <v>33</v>
      </c>
      <c r="N404">
        <v>4</v>
      </c>
    </row>
    <row r="405" spans="1:14" x14ac:dyDescent="0.35">
      <c r="A405" s="5">
        <v>45642.62222222222</v>
      </c>
      <c r="B405" s="1" t="str">
        <f>TEXT(Coffee_Sales_Dataset[[#This Row],[Date]],"ddd")</f>
        <v>Mon</v>
      </c>
      <c r="C405">
        <f>HOUR(Coffee_Sales_Dataset[[#This Row],[Date]])</f>
        <v>14</v>
      </c>
      <c r="D405" t="s">
        <v>43</v>
      </c>
      <c r="E405" t="s">
        <v>27</v>
      </c>
      <c r="F405" t="s">
        <v>14</v>
      </c>
      <c r="G405">
        <v>4.3099999999999996</v>
      </c>
      <c r="H405" t="s">
        <v>15</v>
      </c>
      <c r="I405" t="s">
        <v>16</v>
      </c>
      <c r="J405" t="s">
        <v>42</v>
      </c>
      <c r="K405" t="s">
        <v>18</v>
      </c>
      <c r="L405">
        <v>7</v>
      </c>
      <c r="M405" t="s">
        <v>25</v>
      </c>
      <c r="N405">
        <v>3</v>
      </c>
    </row>
    <row r="406" spans="1:14" x14ac:dyDescent="0.35">
      <c r="A406" s="5">
        <v>45650.432638888888</v>
      </c>
      <c r="B406" s="1" t="str">
        <f>TEXT(Coffee_Sales_Dataset[[#This Row],[Date]],"ddd")</f>
        <v>Tue</v>
      </c>
      <c r="C406">
        <f>HOUR(Coffee_Sales_Dataset[[#This Row],[Date]])</f>
        <v>10</v>
      </c>
      <c r="D406" t="s">
        <v>26</v>
      </c>
      <c r="E406" t="s">
        <v>34</v>
      </c>
      <c r="F406" t="s">
        <v>14</v>
      </c>
      <c r="G406">
        <v>6.65</v>
      </c>
      <c r="H406" t="s">
        <v>30</v>
      </c>
      <c r="I406" t="s">
        <v>23</v>
      </c>
      <c r="J406" t="s">
        <v>31</v>
      </c>
      <c r="K406" t="s">
        <v>40</v>
      </c>
      <c r="L406">
        <v>7</v>
      </c>
      <c r="M406" t="s">
        <v>37</v>
      </c>
      <c r="N406">
        <v>5</v>
      </c>
    </row>
    <row r="407" spans="1:14" x14ac:dyDescent="0.35">
      <c r="A407" s="5">
        <v>45653.550694444442</v>
      </c>
      <c r="B407" s="1" t="str">
        <f>TEXT(Coffee_Sales_Dataset[[#This Row],[Date]],"ddd")</f>
        <v>Fri</v>
      </c>
      <c r="C407">
        <f>HOUR(Coffee_Sales_Dataset[[#This Row],[Date]])</f>
        <v>13</v>
      </c>
      <c r="D407" t="s">
        <v>12</v>
      </c>
      <c r="E407" t="s">
        <v>21</v>
      </c>
      <c r="F407" t="s">
        <v>35</v>
      </c>
      <c r="G407">
        <v>3.13</v>
      </c>
      <c r="H407" t="s">
        <v>28</v>
      </c>
      <c r="I407" t="s">
        <v>23</v>
      </c>
      <c r="J407" t="s">
        <v>42</v>
      </c>
      <c r="K407" t="s">
        <v>18</v>
      </c>
      <c r="L407">
        <v>3</v>
      </c>
      <c r="M407" t="s">
        <v>39</v>
      </c>
      <c r="N407">
        <v>2</v>
      </c>
    </row>
    <row r="408" spans="1:14" x14ac:dyDescent="0.35">
      <c r="A408" s="5">
        <v>45650.736111111109</v>
      </c>
      <c r="B408" s="1" t="str">
        <f>TEXT(Coffee_Sales_Dataset[[#This Row],[Date]],"ddd")</f>
        <v>Tue</v>
      </c>
      <c r="C408">
        <f>HOUR(Coffee_Sales_Dataset[[#This Row],[Date]])</f>
        <v>17</v>
      </c>
      <c r="D408" t="s">
        <v>41</v>
      </c>
      <c r="E408" t="s">
        <v>44</v>
      </c>
      <c r="F408" t="s">
        <v>22</v>
      </c>
      <c r="G408">
        <v>5.16</v>
      </c>
      <c r="H408" t="s">
        <v>30</v>
      </c>
      <c r="I408" t="s">
        <v>23</v>
      </c>
      <c r="J408" t="s">
        <v>31</v>
      </c>
      <c r="K408" t="s">
        <v>32</v>
      </c>
      <c r="L408">
        <v>10</v>
      </c>
      <c r="M408" t="s">
        <v>37</v>
      </c>
      <c r="N408">
        <v>4</v>
      </c>
    </row>
    <row r="409" spans="1:14" x14ac:dyDescent="0.35">
      <c r="A409" s="5">
        <v>45646.495138888888</v>
      </c>
      <c r="B409" s="1" t="str">
        <f>TEXT(Coffee_Sales_Dataset[[#This Row],[Date]],"ddd")</f>
        <v>Fri</v>
      </c>
      <c r="C409">
        <f>HOUR(Coffee_Sales_Dataset[[#This Row],[Date]])</f>
        <v>11</v>
      </c>
      <c r="D409" t="s">
        <v>41</v>
      </c>
      <c r="E409" t="s">
        <v>34</v>
      </c>
      <c r="F409" t="s">
        <v>14</v>
      </c>
      <c r="G409">
        <v>4.3099999999999996</v>
      </c>
      <c r="H409" t="s">
        <v>15</v>
      </c>
      <c r="I409" t="s">
        <v>23</v>
      </c>
      <c r="J409" t="s">
        <v>42</v>
      </c>
      <c r="K409" t="s">
        <v>32</v>
      </c>
      <c r="L409">
        <v>3</v>
      </c>
      <c r="M409" t="s">
        <v>19</v>
      </c>
      <c r="N409">
        <v>2</v>
      </c>
    </row>
    <row r="410" spans="1:14" x14ac:dyDescent="0.35">
      <c r="A410" s="5">
        <v>45648.599305555559</v>
      </c>
      <c r="B410" s="1" t="str">
        <f>TEXT(Coffee_Sales_Dataset[[#This Row],[Date]],"ddd")</f>
        <v>Sun</v>
      </c>
      <c r="C410">
        <f>HOUR(Coffee_Sales_Dataset[[#This Row],[Date]])</f>
        <v>14</v>
      </c>
      <c r="D410" t="s">
        <v>26</v>
      </c>
      <c r="E410" t="s">
        <v>34</v>
      </c>
      <c r="F410" t="s">
        <v>35</v>
      </c>
      <c r="G410">
        <v>5.0199999999999996</v>
      </c>
      <c r="H410" t="s">
        <v>15</v>
      </c>
      <c r="I410" t="s">
        <v>16</v>
      </c>
      <c r="J410" t="s">
        <v>31</v>
      </c>
      <c r="K410" t="s">
        <v>40</v>
      </c>
      <c r="L410">
        <v>9</v>
      </c>
      <c r="M410" t="s">
        <v>33</v>
      </c>
      <c r="N410">
        <v>4</v>
      </c>
    </row>
    <row r="411" spans="1:14" x14ac:dyDescent="0.35">
      <c r="A411" s="5">
        <v>45644.457638888889</v>
      </c>
      <c r="B411" s="1" t="str">
        <f>TEXT(Coffee_Sales_Dataset[[#This Row],[Date]],"ddd")</f>
        <v>Wed</v>
      </c>
      <c r="C411">
        <f>HOUR(Coffee_Sales_Dataset[[#This Row],[Date]])</f>
        <v>10</v>
      </c>
      <c r="D411" t="s">
        <v>41</v>
      </c>
      <c r="E411" t="s">
        <v>27</v>
      </c>
      <c r="F411" t="s">
        <v>22</v>
      </c>
      <c r="G411">
        <v>5.7</v>
      </c>
      <c r="H411" t="s">
        <v>28</v>
      </c>
      <c r="I411" t="s">
        <v>23</v>
      </c>
      <c r="J411" t="s">
        <v>31</v>
      </c>
      <c r="K411" t="s">
        <v>32</v>
      </c>
      <c r="L411">
        <v>6</v>
      </c>
      <c r="M411" t="s">
        <v>47</v>
      </c>
      <c r="N411">
        <v>3</v>
      </c>
    </row>
    <row r="412" spans="1:14" x14ac:dyDescent="0.35">
      <c r="A412" s="5">
        <v>45642.601388888892</v>
      </c>
      <c r="B412" s="1" t="str">
        <f>TEXT(Coffee_Sales_Dataset[[#This Row],[Date]],"ddd")</f>
        <v>Mon</v>
      </c>
      <c r="C412">
        <f>HOUR(Coffee_Sales_Dataset[[#This Row],[Date]])</f>
        <v>14</v>
      </c>
      <c r="D412" t="s">
        <v>41</v>
      </c>
      <c r="E412" t="s">
        <v>27</v>
      </c>
      <c r="F412" t="s">
        <v>35</v>
      </c>
      <c r="G412">
        <v>4.9800000000000004</v>
      </c>
      <c r="H412" t="s">
        <v>30</v>
      </c>
      <c r="I412" t="s">
        <v>23</v>
      </c>
      <c r="J412" t="s">
        <v>42</v>
      </c>
      <c r="K412" t="s">
        <v>40</v>
      </c>
      <c r="L412">
        <v>4</v>
      </c>
      <c r="M412" t="s">
        <v>39</v>
      </c>
      <c r="N412">
        <v>4</v>
      </c>
    </row>
    <row r="413" spans="1:14" x14ac:dyDescent="0.35">
      <c r="A413" s="5">
        <v>45645.697916666664</v>
      </c>
      <c r="B413" s="1" t="str">
        <f>TEXT(Coffee_Sales_Dataset[[#This Row],[Date]],"ddd")</f>
        <v>Thu</v>
      </c>
      <c r="C413">
        <f>HOUR(Coffee_Sales_Dataset[[#This Row],[Date]])</f>
        <v>16</v>
      </c>
      <c r="D413" t="s">
        <v>12</v>
      </c>
      <c r="E413" t="s">
        <v>44</v>
      </c>
      <c r="F413" t="s">
        <v>14</v>
      </c>
      <c r="G413">
        <v>3.51</v>
      </c>
      <c r="H413" t="s">
        <v>30</v>
      </c>
      <c r="I413" t="s">
        <v>16</v>
      </c>
      <c r="J413" t="s">
        <v>29</v>
      </c>
      <c r="K413" t="s">
        <v>18</v>
      </c>
      <c r="L413">
        <v>4</v>
      </c>
      <c r="M413" t="s">
        <v>39</v>
      </c>
      <c r="N413">
        <v>2</v>
      </c>
    </row>
    <row r="414" spans="1:14" x14ac:dyDescent="0.35">
      <c r="A414" s="5">
        <v>45649.706944444442</v>
      </c>
      <c r="B414" s="1" t="str">
        <f>TEXT(Coffee_Sales_Dataset[[#This Row],[Date]],"ddd")</f>
        <v>Mon</v>
      </c>
      <c r="C414">
        <f>HOUR(Coffee_Sales_Dataset[[#This Row],[Date]])</f>
        <v>16</v>
      </c>
      <c r="D414" t="s">
        <v>12</v>
      </c>
      <c r="E414" t="s">
        <v>46</v>
      </c>
      <c r="F414" t="s">
        <v>22</v>
      </c>
      <c r="G414">
        <v>3.51</v>
      </c>
      <c r="H414" t="s">
        <v>28</v>
      </c>
      <c r="I414" t="s">
        <v>23</v>
      </c>
      <c r="J414" t="s">
        <v>45</v>
      </c>
      <c r="K414" t="s">
        <v>32</v>
      </c>
      <c r="L414">
        <v>3</v>
      </c>
      <c r="M414" t="s">
        <v>47</v>
      </c>
      <c r="N414">
        <v>3</v>
      </c>
    </row>
    <row r="415" spans="1:14" x14ac:dyDescent="0.35">
      <c r="A415" s="5">
        <v>45650.712500000001</v>
      </c>
      <c r="B415" s="1" t="str">
        <f>TEXT(Coffee_Sales_Dataset[[#This Row],[Date]],"ddd")</f>
        <v>Tue</v>
      </c>
      <c r="C415">
        <f>HOUR(Coffee_Sales_Dataset[[#This Row],[Date]])</f>
        <v>17</v>
      </c>
      <c r="D415" t="s">
        <v>26</v>
      </c>
      <c r="E415" t="s">
        <v>13</v>
      </c>
      <c r="F415" t="s">
        <v>35</v>
      </c>
      <c r="G415">
        <v>6.68</v>
      </c>
      <c r="H415" t="s">
        <v>15</v>
      </c>
      <c r="I415" t="s">
        <v>16</v>
      </c>
      <c r="J415" t="s">
        <v>45</v>
      </c>
      <c r="K415" t="s">
        <v>32</v>
      </c>
      <c r="L415">
        <v>8</v>
      </c>
      <c r="M415" t="s">
        <v>47</v>
      </c>
      <c r="N415">
        <v>4</v>
      </c>
    </row>
    <row r="416" spans="1:14" x14ac:dyDescent="0.35">
      <c r="A416" s="5">
        <v>45652.448611111111</v>
      </c>
      <c r="B416" s="1" t="str">
        <f>TEXT(Coffee_Sales_Dataset[[#This Row],[Date]],"ddd")</f>
        <v>Thu</v>
      </c>
      <c r="C416">
        <f>HOUR(Coffee_Sales_Dataset[[#This Row],[Date]])</f>
        <v>10</v>
      </c>
      <c r="D416" t="s">
        <v>41</v>
      </c>
      <c r="E416" t="s">
        <v>21</v>
      </c>
      <c r="F416" t="s">
        <v>35</v>
      </c>
      <c r="G416">
        <v>3.34</v>
      </c>
      <c r="H416" t="s">
        <v>30</v>
      </c>
      <c r="I416" t="s">
        <v>16</v>
      </c>
      <c r="J416" t="s">
        <v>45</v>
      </c>
      <c r="K416" t="s">
        <v>18</v>
      </c>
      <c r="L416">
        <v>9</v>
      </c>
      <c r="M416" t="s">
        <v>25</v>
      </c>
      <c r="N416">
        <v>3</v>
      </c>
    </row>
    <row r="417" spans="1:14" x14ac:dyDescent="0.35">
      <c r="A417" s="5">
        <v>45648.698611111111</v>
      </c>
      <c r="B417" s="1" t="str">
        <f>TEXT(Coffee_Sales_Dataset[[#This Row],[Date]],"ddd")</f>
        <v>Sun</v>
      </c>
      <c r="C417">
        <f>HOUR(Coffee_Sales_Dataset[[#This Row],[Date]])</f>
        <v>16</v>
      </c>
      <c r="D417" t="s">
        <v>41</v>
      </c>
      <c r="E417" t="s">
        <v>34</v>
      </c>
      <c r="F417" t="s">
        <v>14</v>
      </c>
      <c r="G417">
        <v>3.93</v>
      </c>
      <c r="H417" t="s">
        <v>15</v>
      </c>
      <c r="I417" t="s">
        <v>16</v>
      </c>
      <c r="J417" t="s">
        <v>29</v>
      </c>
      <c r="K417" t="s">
        <v>18</v>
      </c>
      <c r="L417">
        <v>10</v>
      </c>
      <c r="M417" t="s">
        <v>37</v>
      </c>
      <c r="N417">
        <v>5</v>
      </c>
    </row>
    <row r="418" spans="1:14" x14ac:dyDescent="0.35">
      <c r="A418" s="5">
        <v>45649.595833333333</v>
      </c>
      <c r="B418" s="1" t="str">
        <f>TEXT(Coffee_Sales_Dataset[[#This Row],[Date]],"ddd")</f>
        <v>Mon</v>
      </c>
      <c r="C418">
        <f>HOUR(Coffee_Sales_Dataset[[#This Row],[Date]])</f>
        <v>14</v>
      </c>
      <c r="D418" t="s">
        <v>43</v>
      </c>
      <c r="E418" t="s">
        <v>46</v>
      </c>
      <c r="F418" t="s">
        <v>22</v>
      </c>
      <c r="G418">
        <v>6.03</v>
      </c>
      <c r="H418" t="s">
        <v>30</v>
      </c>
      <c r="I418" t="s">
        <v>23</v>
      </c>
      <c r="J418" t="s">
        <v>45</v>
      </c>
      <c r="K418" t="s">
        <v>18</v>
      </c>
      <c r="L418">
        <v>5</v>
      </c>
      <c r="M418" t="s">
        <v>25</v>
      </c>
      <c r="N418">
        <v>5</v>
      </c>
    </row>
    <row r="419" spans="1:14" x14ac:dyDescent="0.35">
      <c r="A419" s="5">
        <v>45645.722222222219</v>
      </c>
      <c r="B419" s="1" t="str">
        <f>TEXT(Coffee_Sales_Dataset[[#This Row],[Date]],"ddd")</f>
        <v>Thu</v>
      </c>
      <c r="C419">
        <f>HOUR(Coffee_Sales_Dataset[[#This Row],[Date]])</f>
        <v>17</v>
      </c>
      <c r="D419" t="s">
        <v>26</v>
      </c>
      <c r="E419" t="s">
        <v>34</v>
      </c>
      <c r="F419" t="s">
        <v>22</v>
      </c>
      <c r="G419">
        <v>3.66</v>
      </c>
      <c r="H419" t="s">
        <v>15</v>
      </c>
      <c r="I419" t="s">
        <v>16</v>
      </c>
      <c r="J419" t="s">
        <v>42</v>
      </c>
      <c r="K419" t="s">
        <v>32</v>
      </c>
      <c r="L419">
        <v>5</v>
      </c>
      <c r="M419" t="s">
        <v>36</v>
      </c>
      <c r="N419">
        <v>3</v>
      </c>
    </row>
    <row r="420" spans="1:14" x14ac:dyDescent="0.35">
      <c r="A420" s="5">
        <v>45656.526388888888</v>
      </c>
      <c r="B420" s="1" t="str">
        <f>TEXT(Coffee_Sales_Dataset[[#This Row],[Date]],"ddd")</f>
        <v>Mon</v>
      </c>
      <c r="C420">
        <f>HOUR(Coffee_Sales_Dataset[[#This Row],[Date]])</f>
        <v>12</v>
      </c>
      <c r="D420" t="s">
        <v>26</v>
      </c>
      <c r="E420" t="s">
        <v>27</v>
      </c>
      <c r="F420" t="s">
        <v>35</v>
      </c>
      <c r="G420">
        <v>4.1100000000000003</v>
      </c>
      <c r="H420" t="s">
        <v>30</v>
      </c>
      <c r="I420" t="s">
        <v>23</v>
      </c>
      <c r="J420" t="s">
        <v>31</v>
      </c>
      <c r="K420" t="s">
        <v>18</v>
      </c>
      <c r="L420">
        <v>4</v>
      </c>
      <c r="M420" t="s">
        <v>39</v>
      </c>
      <c r="N420">
        <v>5</v>
      </c>
    </row>
    <row r="421" spans="1:14" x14ac:dyDescent="0.35">
      <c r="A421" s="5">
        <v>45655.69027777778</v>
      </c>
      <c r="B421" s="1" t="str">
        <f>TEXT(Coffee_Sales_Dataset[[#This Row],[Date]],"ddd")</f>
        <v>Sun</v>
      </c>
      <c r="C421">
        <f>HOUR(Coffee_Sales_Dataset[[#This Row],[Date]])</f>
        <v>16</v>
      </c>
      <c r="D421" t="s">
        <v>20</v>
      </c>
      <c r="E421" t="s">
        <v>13</v>
      </c>
      <c r="F421" t="s">
        <v>22</v>
      </c>
      <c r="G421">
        <v>6.33</v>
      </c>
      <c r="H421" t="s">
        <v>30</v>
      </c>
      <c r="I421" t="s">
        <v>16</v>
      </c>
      <c r="J421" t="s">
        <v>17</v>
      </c>
      <c r="K421" t="s">
        <v>32</v>
      </c>
      <c r="L421">
        <v>8</v>
      </c>
      <c r="M421" t="s">
        <v>19</v>
      </c>
      <c r="N421">
        <v>4</v>
      </c>
    </row>
    <row r="422" spans="1:14" x14ac:dyDescent="0.35">
      <c r="A422" s="5">
        <v>45649.637499999997</v>
      </c>
      <c r="B422" s="1" t="str">
        <f>TEXT(Coffee_Sales_Dataset[[#This Row],[Date]],"ddd")</f>
        <v>Mon</v>
      </c>
      <c r="C422">
        <f>HOUR(Coffee_Sales_Dataset[[#This Row],[Date]])</f>
        <v>15</v>
      </c>
      <c r="D422" t="s">
        <v>26</v>
      </c>
      <c r="E422" t="s">
        <v>44</v>
      </c>
      <c r="F422" t="s">
        <v>35</v>
      </c>
      <c r="G422">
        <v>6.68</v>
      </c>
      <c r="H422" t="s">
        <v>30</v>
      </c>
      <c r="I422" t="s">
        <v>16</v>
      </c>
      <c r="J422" t="s">
        <v>42</v>
      </c>
      <c r="K422" t="s">
        <v>32</v>
      </c>
      <c r="L422">
        <v>6</v>
      </c>
      <c r="M422" t="s">
        <v>39</v>
      </c>
      <c r="N422">
        <v>2</v>
      </c>
    </row>
    <row r="423" spans="1:14" x14ac:dyDescent="0.35">
      <c r="A423" s="5">
        <v>45656.390277777777</v>
      </c>
      <c r="B423" s="1" t="str">
        <f>TEXT(Coffee_Sales_Dataset[[#This Row],[Date]],"ddd")</f>
        <v>Mon</v>
      </c>
      <c r="C423">
        <f>HOUR(Coffee_Sales_Dataset[[#This Row],[Date]])</f>
        <v>9</v>
      </c>
      <c r="D423" t="s">
        <v>26</v>
      </c>
      <c r="E423" t="s">
        <v>44</v>
      </c>
      <c r="F423" t="s">
        <v>14</v>
      </c>
      <c r="G423">
        <v>5.91</v>
      </c>
      <c r="H423" t="s">
        <v>15</v>
      </c>
      <c r="I423" t="s">
        <v>23</v>
      </c>
      <c r="J423" t="s">
        <v>31</v>
      </c>
      <c r="K423" t="s">
        <v>32</v>
      </c>
      <c r="L423">
        <v>6</v>
      </c>
      <c r="M423" t="s">
        <v>25</v>
      </c>
      <c r="N423">
        <v>5</v>
      </c>
    </row>
    <row r="424" spans="1:14" x14ac:dyDescent="0.35">
      <c r="A424" s="5">
        <v>45651.40625</v>
      </c>
      <c r="B424" s="1" t="str">
        <f>TEXT(Coffee_Sales_Dataset[[#This Row],[Date]],"ddd")</f>
        <v>Wed</v>
      </c>
      <c r="C424">
        <f>HOUR(Coffee_Sales_Dataset[[#This Row],[Date]])</f>
        <v>9</v>
      </c>
      <c r="D424" t="s">
        <v>43</v>
      </c>
      <c r="E424" t="s">
        <v>13</v>
      </c>
      <c r="F424" t="s">
        <v>22</v>
      </c>
      <c r="G424">
        <v>3.4</v>
      </c>
      <c r="H424" t="s">
        <v>28</v>
      </c>
      <c r="I424" t="s">
        <v>16</v>
      </c>
      <c r="J424" t="s">
        <v>17</v>
      </c>
      <c r="K424" t="s">
        <v>18</v>
      </c>
      <c r="L424">
        <v>2</v>
      </c>
      <c r="M424" t="s">
        <v>19</v>
      </c>
      <c r="N424">
        <v>1</v>
      </c>
    </row>
    <row r="425" spans="1:14" x14ac:dyDescent="0.35">
      <c r="A425" s="5">
        <v>45644.724999999999</v>
      </c>
      <c r="B425" s="1" t="str">
        <f>TEXT(Coffee_Sales_Dataset[[#This Row],[Date]],"ddd")</f>
        <v>Wed</v>
      </c>
      <c r="C425">
        <f>HOUR(Coffee_Sales_Dataset[[#This Row],[Date]])</f>
        <v>17</v>
      </c>
      <c r="D425" t="s">
        <v>20</v>
      </c>
      <c r="E425" t="s">
        <v>44</v>
      </c>
      <c r="F425" t="s">
        <v>14</v>
      </c>
      <c r="G425">
        <v>4.0599999999999996</v>
      </c>
      <c r="H425" t="s">
        <v>30</v>
      </c>
      <c r="I425" t="s">
        <v>16</v>
      </c>
      <c r="J425" t="s">
        <v>17</v>
      </c>
      <c r="K425" t="s">
        <v>18</v>
      </c>
      <c r="L425">
        <v>9</v>
      </c>
      <c r="M425" t="s">
        <v>47</v>
      </c>
      <c r="N425">
        <v>2</v>
      </c>
    </row>
    <row r="426" spans="1:14" x14ac:dyDescent="0.35">
      <c r="A426" s="5">
        <v>45644.397916666669</v>
      </c>
      <c r="B426" s="1" t="str">
        <f>TEXT(Coffee_Sales_Dataset[[#This Row],[Date]],"ddd")</f>
        <v>Wed</v>
      </c>
      <c r="C426">
        <f>HOUR(Coffee_Sales_Dataset[[#This Row],[Date]])</f>
        <v>9</v>
      </c>
      <c r="D426" t="s">
        <v>20</v>
      </c>
      <c r="E426" t="s">
        <v>13</v>
      </c>
      <c r="F426" t="s">
        <v>22</v>
      </c>
      <c r="G426">
        <v>3.27</v>
      </c>
      <c r="H426" t="s">
        <v>28</v>
      </c>
      <c r="I426" t="s">
        <v>23</v>
      </c>
      <c r="J426" t="s">
        <v>45</v>
      </c>
      <c r="K426" t="s">
        <v>40</v>
      </c>
      <c r="L426">
        <v>2</v>
      </c>
      <c r="M426" t="s">
        <v>25</v>
      </c>
      <c r="N426">
        <v>3</v>
      </c>
    </row>
    <row r="427" spans="1:14" x14ac:dyDescent="0.35">
      <c r="A427" s="5">
        <v>45650.71875</v>
      </c>
      <c r="B427" s="1" t="str">
        <f>TEXT(Coffee_Sales_Dataset[[#This Row],[Date]],"ddd")</f>
        <v>Tue</v>
      </c>
      <c r="C427">
        <f>HOUR(Coffee_Sales_Dataset[[#This Row],[Date]])</f>
        <v>17</v>
      </c>
      <c r="D427" t="s">
        <v>43</v>
      </c>
      <c r="E427" t="s">
        <v>46</v>
      </c>
      <c r="F427" t="s">
        <v>35</v>
      </c>
      <c r="G427">
        <v>5.63</v>
      </c>
      <c r="H427" t="s">
        <v>30</v>
      </c>
      <c r="I427" t="s">
        <v>16</v>
      </c>
      <c r="J427" t="s">
        <v>17</v>
      </c>
      <c r="K427" t="s">
        <v>32</v>
      </c>
      <c r="L427">
        <v>9</v>
      </c>
      <c r="M427" t="s">
        <v>25</v>
      </c>
      <c r="N427">
        <v>4</v>
      </c>
    </row>
    <row r="428" spans="1:14" x14ac:dyDescent="0.35">
      <c r="A428" s="5">
        <v>45650.6875</v>
      </c>
      <c r="B428" s="1" t="str">
        <f>TEXT(Coffee_Sales_Dataset[[#This Row],[Date]],"ddd")</f>
        <v>Tue</v>
      </c>
      <c r="C428">
        <f>HOUR(Coffee_Sales_Dataset[[#This Row],[Date]])</f>
        <v>16</v>
      </c>
      <c r="D428" t="s">
        <v>43</v>
      </c>
      <c r="E428" t="s">
        <v>13</v>
      </c>
      <c r="F428" t="s">
        <v>14</v>
      </c>
      <c r="G428">
        <v>3.45</v>
      </c>
      <c r="H428" t="s">
        <v>15</v>
      </c>
      <c r="I428" t="s">
        <v>16</v>
      </c>
      <c r="J428" t="s">
        <v>42</v>
      </c>
      <c r="K428" t="s">
        <v>32</v>
      </c>
      <c r="L428">
        <v>5</v>
      </c>
      <c r="M428" t="s">
        <v>19</v>
      </c>
      <c r="N428">
        <v>4</v>
      </c>
    </row>
    <row r="429" spans="1:14" x14ac:dyDescent="0.35">
      <c r="A429" s="5">
        <v>45642.638888888891</v>
      </c>
      <c r="B429" s="1" t="str">
        <f>TEXT(Coffee_Sales_Dataset[[#This Row],[Date]],"ddd")</f>
        <v>Mon</v>
      </c>
      <c r="C429">
        <f>HOUR(Coffee_Sales_Dataset[[#This Row],[Date]])</f>
        <v>15</v>
      </c>
      <c r="D429" t="s">
        <v>26</v>
      </c>
      <c r="E429" t="s">
        <v>34</v>
      </c>
      <c r="F429" t="s">
        <v>35</v>
      </c>
      <c r="G429">
        <v>4.59</v>
      </c>
      <c r="H429" t="s">
        <v>30</v>
      </c>
      <c r="I429" t="s">
        <v>16</v>
      </c>
      <c r="J429" t="s">
        <v>42</v>
      </c>
      <c r="K429" t="s">
        <v>18</v>
      </c>
      <c r="L429">
        <v>8</v>
      </c>
      <c r="M429" t="s">
        <v>19</v>
      </c>
      <c r="N429">
        <v>2</v>
      </c>
    </row>
    <row r="430" spans="1:14" x14ac:dyDescent="0.35">
      <c r="A430" s="5">
        <v>45641.522222222222</v>
      </c>
      <c r="B430" s="1" t="str">
        <f>TEXT(Coffee_Sales_Dataset[[#This Row],[Date]],"ddd")</f>
        <v>Sun</v>
      </c>
      <c r="C430">
        <f>HOUR(Coffee_Sales_Dataset[[#This Row],[Date]])</f>
        <v>12</v>
      </c>
      <c r="D430" t="s">
        <v>20</v>
      </c>
      <c r="E430" t="s">
        <v>21</v>
      </c>
      <c r="F430" t="s">
        <v>22</v>
      </c>
      <c r="G430">
        <v>3.24</v>
      </c>
      <c r="H430" t="s">
        <v>15</v>
      </c>
      <c r="I430" t="s">
        <v>16</v>
      </c>
      <c r="J430" t="s">
        <v>45</v>
      </c>
      <c r="K430" t="s">
        <v>32</v>
      </c>
      <c r="L430">
        <v>8</v>
      </c>
      <c r="M430" t="s">
        <v>25</v>
      </c>
      <c r="N430">
        <v>4</v>
      </c>
    </row>
    <row r="431" spans="1:14" x14ac:dyDescent="0.35">
      <c r="A431" s="5">
        <v>45647.540277777778</v>
      </c>
      <c r="B431" s="1" t="str">
        <f>TEXT(Coffee_Sales_Dataset[[#This Row],[Date]],"ddd")</f>
        <v>Sat</v>
      </c>
      <c r="C431">
        <f>HOUR(Coffee_Sales_Dataset[[#This Row],[Date]])</f>
        <v>12</v>
      </c>
      <c r="D431" t="s">
        <v>26</v>
      </c>
      <c r="E431" t="s">
        <v>34</v>
      </c>
      <c r="F431" t="s">
        <v>22</v>
      </c>
      <c r="G431">
        <v>5.91</v>
      </c>
      <c r="H431" t="s">
        <v>15</v>
      </c>
      <c r="I431" t="s">
        <v>23</v>
      </c>
      <c r="J431" t="s">
        <v>24</v>
      </c>
      <c r="K431" t="s">
        <v>32</v>
      </c>
      <c r="L431">
        <v>8</v>
      </c>
      <c r="M431" t="s">
        <v>36</v>
      </c>
      <c r="N431">
        <v>5</v>
      </c>
    </row>
    <row r="432" spans="1:14" x14ac:dyDescent="0.35">
      <c r="A432" s="5">
        <v>45655.675694444442</v>
      </c>
      <c r="B432" s="1" t="str">
        <f>TEXT(Coffee_Sales_Dataset[[#This Row],[Date]],"ddd")</f>
        <v>Sun</v>
      </c>
      <c r="C432">
        <f>HOUR(Coffee_Sales_Dataset[[#This Row],[Date]])</f>
        <v>16</v>
      </c>
      <c r="D432" t="s">
        <v>26</v>
      </c>
      <c r="E432" t="s">
        <v>38</v>
      </c>
      <c r="F432" t="s">
        <v>35</v>
      </c>
      <c r="G432">
        <v>4.32</v>
      </c>
      <c r="H432" t="s">
        <v>28</v>
      </c>
      <c r="I432" t="s">
        <v>23</v>
      </c>
      <c r="J432" t="s">
        <v>45</v>
      </c>
      <c r="K432" t="s">
        <v>40</v>
      </c>
      <c r="L432">
        <v>8</v>
      </c>
      <c r="M432" t="s">
        <v>39</v>
      </c>
      <c r="N432">
        <v>3</v>
      </c>
    </row>
    <row r="433" spans="1:14" x14ac:dyDescent="0.35">
      <c r="A433" s="5">
        <v>45655.669444444444</v>
      </c>
      <c r="B433" s="1" t="str">
        <f>TEXT(Coffee_Sales_Dataset[[#This Row],[Date]],"ddd")</f>
        <v>Sun</v>
      </c>
      <c r="C433">
        <f>HOUR(Coffee_Sales_Dataset[[#This Row],[Date]])</f>
        <v>16</v>
      </c>
      <c r="D433" t="s">
        <v>26</v>
      </c>
      <c r="E433" t="s">
        <v>38</v>
      </c>
      <c r="F433" t="s">
        <v>14</v>
      </c>
      <c r="G433">
        <v>4.45</v>
      </c>
      <c r="H433" t="s">
        <v>30</v>
      </c>
      <c r="I433" t="s">
        <v>23</v>
      </c>
      <c r="J433" t="s">
        <v>31</v>
      </c>
      <c r="K433" t="s">
        <v>32</v>
      </c>
      <c r="L433">
        <v>5</v>
      </c>
      <c r="M433" t="s">
        <v>47</v>
      </c>
      <c r="N433">
        <v>2</v>
      </c>
    </row>
    <row r="434" spans="1:14" x14ac:dyDescent="0.35">
      <c r="A434" s="5">
        <v>45655.55972222222</v>
      </c>
      <c r="B434" s="1" t="str">
        <f>TEXT(Coffee_Sales_Dataset[[#This Row],[Date]],"ddd")</f>
        <v>Sun</v>
      </c>
      <c r="C434">
        <f>HOUR(Coffee_Sales_Dataset[[#This Row],[Date]])</f>
        <v>13</v>
      </c>
      <c r="D434" t="s">
        <v>20</v>
      </c>
      <c r="E434" t="s">
        <v>38</v>
      </c>
      <c r="F434" t="s">
        <v>35</v>
      </c>
      <c r="G434">
        <v>3.99</v>
      </c>
      <c r="H434" t="s">
        <v>30</v>
      </c>
      <c r="I434" t="s">
        <v>23</v>
      </c>
      <c r="J434" t="s">
        <v>29</v>
      </c>
      <c r="K434" t="s">
        <v>18</v>
      </c>
      <c r="L434">
        <v>3</v>
      </c>
      <c r="M434" t="s">
        <v>37</v>
      </c>
      <c r="N434">
        <v>4</v>
      </c>
    </row>
    <row r="435" spans="1:14" x14ac:dyDescent="0.35">
      <c r="A435" s="5">
        <v>45653.340277777781</v>
      </c>
      <c r="B435" s="1" t="str">
        <f>TEXT(Coffee_Sales_Dataset[[#This Row],[Date]],"ddd")</f>
        <v>Fri</v>
      </c>
      <c r="C435">
        <f>HOUR(Coffee_Sales_Dataset[[#This Row],[Date]])</f>
        <v>8</v>
      </c>
      <c r="D435" t="s">
        <v>43</v>
      </c>
      <c r="E435" t="s">
        <v>34</v>
      </c>
      <c r="F435" t="s">
        <v>14</v>
      </c>
      <c r="G435">
        <v>3.92</v>
      </c>
      <c r="H435" t="s">
        <v>28</v>
      </c>
      <c r="I435" t="s">
        <v>23</v>
      </c>
      <c r="J435" t="s">
        <v>29</v>
      </c>
      <c r="K435" t="s">
        <v>32</v>
      </c>
      <c r="L435">
        <v>3</v>
      </c>
      <c r="M435" t="s">
        <v>33</v>
      </c>
      <c r="N435">
        <v>4</v>
      </c>
    </row>
    <row r="436" spans="1:14" x14ac:dyDescent="0.35">
      <c r="A436" s="5">
        <v>45651.452777777777</v>
      </c>
      <c r="B436" s="1" t="str">
        <f>TEXT(Coffee_Sales_Dataset[[#This Row],[Date]],"ddd")</f>
        <v>Wed</v>
      </c>
      <c r="C436">
        <f>HOUR(Coffee_Sales_Dataset[[#This Row],[Date]])</f>
        <v>10</v>
      </c>
      <c r="D436" t="s">
        <v>43</v>
      </c>
      <c r="E436" t="s">
        <v>21</v>
      </c>
      <c r="F436" t="s">
        <v>14</v>
      </c>
      <c r="G436">
        <v>3.31</v>
      </c>
      <c r="H436" t="s">
        <v>28</v>
      </c>
      <c r="I436" t="s">
        <v>16</v>
      </c>
      <c r="J436" t="s">
        <v>29</v>
      </c>
      <c r="K436" t="s">
        <v>40</v>
      </c>
      <c r="L436">
        <v>10</v>
      </c>
      <c r="M436" t="s">
        <v>37</v>
      </c>
      <c r="N436">
        <v>2</v>
      </c>
    </row>
    <row r="437" spans="1:14" x14ac:dyDescent="0.35">
      <c r="A437" s="5">
        <v>45642.743055555555</v>
      </c>
      <c r="B437" s="1" t="str">
        <f>TEXT(Coffee_Sales_Dataset[[#This Row],[Date]],"ddd")</f>
        <v>Mon</v>
      </c>
      <c r="C437">
        <f>HOUR(Coffee_Sales_Dataset[[#This Row],[Date]])</f>
        <v>17</v>
      </c>
      <c r="D437" t="s">
        <v>12</v>
      </c>
      <c r="E437" t="s">
        <v>27</v>
      </c>
      <c r="F437" t="s">
        <v>35</v>
      </c>
      <c r="G437">
        <v>6.44</v>
      </c>
      <c r="H437" t="s">
        <v>15</v>
      </c>
      <c r="I437" t="s">
        <v>16</v>
      </c>
      <c r="J437" t="s">
        <v>31</v>
      </c>
      <c r="K437" t="s">
        <v>18</v>
      </c>
      <c r="L437">
        <v>2</v>
      </c>
      <c r="M437" t="s">
        <v>47</v>
      </c>
      <c r="N437">
        <v>3</v>
      </c>
    </row>
    <row r="438" spans="1:14" x14ac:dyDescent="0.35">
      <c r="A438" s="5">
        <v>45648.386111111111</v>
      </c>
      <c r="B438" s="1" t="str">
        <f>TEXT(Coffee_Sales_Dataset[[#This Row],[Date]],"ddd")</f>
        <v>Sun</v>
      </c>
      <c r="C438">
        <f>HOUR(Coffee_Sales_Dataset[[#This Row],[Date]])</f>
        <v>9</v>
      </c>
      <c r="D438" t="s">
        <v>41</v>
      </c>
      <c r="E438" t="s">
        <v>46</v>
      </c>
      <c r="F438" t="s">
        <v>22</v>
      </c>
      <c r="G438">
        <v>4.16</v>
      </c>
      <c r="H438" t="s">
        <v>30</v>
      </c>
      <c r="I438" t="s">
        <v>23</v>
      </c>
      <c r="J438" t="s">
        <v>42</v>
      </c>
      <c r="K438" t="s">
        <v>18</v>
      </c>
      <c r="L438">
        <v>6</v>
      </c>
      <c r="M438" t="s">
        <v>25</v>
      </c>
      <c r="N438">
        <v>3</v>
      </c>
    </row>
    <row r="439" spans="1:14" x14ac:dyDescent="0.35">
      <c r="A439" s="5">
        <v>45655.688888888886</v>
      </c>
      <c r="B439" s="1" t="str">
        <f>TEXT(Coffee_Sales_Dataset[[#This Row],[Date]],"ddd")</f>
        <v>Sun</v>
      </c>
      <c r="C439">
        <f>HOUR(Coffee_Sales_Dataset[[#This Row],[Date]])</f>
        <v>16</v>
      </c>
      <c r="D439" t="s">
        <v>20</v>
      </c>
      <c r="E439" t="s">
        <v>46</v>
      </c>
      <c r="F439" t="s">
        <v>14</v>
      </c>
      <c r="G439">
        <v>6.97</v>
      </c>
      <c r="H439" t="s">
        <v>28</v>
      </c>
      <c r="I439" t="s">
        <v>16</v>
      </c>
      <c r="J439" t="s">
        <v>24</v>
      </c>
      <c r="K439" t="s">
        <v>18</v>
      </c>
      <c r="L439">
        <v>3</v>
      </c>
      <c r="M439" t="s">
        <v>25</v>
      </c>
      <c r="N439">
        <v>2</v>
      </c>
    </row>
    <row r="440" spans="1:14" x14ac:dyDescent="0.35">
      <c r="A440" s="5">
        <v>45650.350694444445</v>
      </c>
      <c r="B440" s="1" t="str">
        <f>TEXT(Coffee_Sales_Dataset[[#This Row],[Date]],"ddd")</f>
        <v>Tue</v>
      </c>
      <c r="C440">
        <f>HOUR(Coffee_Sales_Dataset[[#This Row],[Date]])</f>
        <v>8</v>
      </c>
      <c r="D440" t="s">
        <v>20</v>
      </c>
      <c r="E440" t="s">
        <v>46</v>
      </c>
      <c r="F440" t="s">
        <v>22</v>
      </c>
      <c r="G440">
        <v>4.91</v>
      </c>
      <c r="H440" t="s">
        <v>30</v>
      </c>
      <c r="I440" t="s">
        <v>16</v>
      </c>
      <c r="J440" t="s">
        <v>24</v>
      </c>
      <c r="K440" t="s">
        <v>40</v>
      </c>
      <c r="L440">
        <v>3</v>
      </c>
      <c r="M440" t="s">
        <v>39</v>
      </c>
      <c r="N440">
        <v>5</v>
      </c>
    </row>
    <row r="441" spans="1:14" x14ac:dyDescent="0.35">
      <c r="A441" s="5">
        <v>45643.650694444441</v>
      </c>
      <c r="B441" s="1" t="str">
        <f>TEXT(Coffee_Sales_Dataset[[#This Row],[Date]],"ddd")</f>
        <v>Tue</v>
      </c>
      <c r="C441">
        <f>HOUR(Coffee_Sales_Dataset[[#This Row],[Date]])</f>
        <v>15</v>
      </c>
      <c r="D441" t="s">
        <v>20</v>
      </c>
      <c r="E441" t="s">
        <v>13</v>
      </c>
      <c r="F441" t="s">
        <v>14</v>
      </c>
      <c r="G441">
        <v>4.6100000000000003</v>
      </c>
      <c r="H441" t="s">
        <v>15</v>
      </c>
      <c r="I441" t="s">
        <v>23</v>
      </c>
      <c r="J441" t="s">
        <v>29</v>
      </c>
      <c r="K441" t="s">
        <v>32</v>
      </c>
      <c r="L441">
        <v>6</v>
      </c>
      <c r="M441" t="s">
        <v>25</v>
      </c>
      <c r="N441">
        <v>3</v>
      </c>
    </row>
    <row r="442" spans="1:14" x14ac:dyDescent="0.35">
      <c r="A442" s="5">
        <v>45652.418055555558</v>
      </c>
      <c r="B442" s="1" t="str">
        <f>TEXT(Coffee_Sales_Dataset[[#This Row],[Date]],"ddd")</f>
        <v>Thu</v>
      </c>
      <c r="C442">
        <f>HOUR(Coffee_Sales_Dataset[[#This Row],[Date]])</f>
        <v>10</v>
      </c>
      <c r="D442" t="s">
        <v>43</v>
      </c>
      <c r="E442" t="s">
        <v>44</v>
      </c>
      <c r="F442" t="s">
        <v>35</v>
      </c>
      <c r="G442">
        <v>5.39</v>
      </c>
      <c r="H442" t="s">
        <v>30</v>
      </c>
      <c r="I442" t="s">
        <v>16</v>
      </c>
      <c r="J442" t="s">
        <v>45</v>
      </c>
      <c r="K442" t="s">
        <v>40</v>
      </c>
      <c r="L442">
        <v>10</v>
      </c>
      <c r="M442" t="s">
        <v>33</v>
      </c>
      <c r="N442">
        <v>4</v>
      </c>
    </row>
    <row r="443" spans="1:14" x14ac:dyDescent="0.35">
      <c r="A443" s="5">
        <v>45649.570138888892</v>
      </c>
      <c r="B443" s="1" t="str">
        <f>TEXT(Coffee_Sales_Dataset[[#This Row],[Date]],"ddd")</f>
        <v>Mon</v>
      </c>
      <c r="C443">
        <f>HOUR(Coffee_Sales_Dataset[[#This Row],[Date]])</f>
        <v>13</v>
      </c>
      <c r="D443" t="s">
        <v>20</v>
      </c>
      <c r="E443" t="s">
        <v>34</v>
      </c>
      <c r="F443" t="s">
        <v>22</v>
      </c>
      <c r="G443">
        <v>5.84</v>
      </c>
      <c r="H443" t="s">
        <v>28</v>
      </c>
      <c r="I443" t="s">
        <v>23</v>
      </c>
      <c r="J443" t="s">
        <v>29</v>
      </c>
      <c r="K443" t="s">
        <v>32</v>
      </c>
      <c r="L443">
        <v>3</v>
      </c>
      <c r="M443" t="s">
        <v>25</v>
      </c>
      <c r="N443">
        <v>2</v>
      </c>
    </row>
    <row r="444" spans="1:14" x14ac:dyDescent="0.35">
      <c r="A444" s="5">
        <v>45653.439583333333</v>
      </c>
      <c r="B444" s="1" t="str">
        <f>TEXT(Coffee_Sales_Dataset[[#This Row],[Date]],"ddd")</f>
        <v>Fri</v>
      </c>
      <c r="C444">
        <f>HOUR(Coffee_Sales_Dataset[[#This Row],[Date]])</f>
        <v>10</v>
      </c>
      <c r="D444" t="s">
        <v>26</v>
      </c>
      <c r="E444" t="s">
        <v>27</v>
      </c>
      <c r="F444" t="s">
        <v>14</v>
      </c>
      <c r="G444">
        <v>4.75</v>
      </c>
      <c r="H444" t="s">
        <v>30</v>
      </c>
      <c r="I444" t="s">
        <v>23</v>
      </c>
      <c r="J444" t="s">
        <v>42</v>
      </c>
      <c r="K444" t="s">
        <v>32</v>
      </c>
      <c r="L444">
        <v>4</v>
      </c>
      <c r="M444" t="s">
        <v>19</v>
      </c>
      <c r="N444">
        <v>5</v>
      </c>
    </row>
    <row r="445" spans="1:14" x14ac:dyDescent="0.35">
      <c r="A445" s="5">
        <v>45648.68472222222</v>
      </c>
      <c r="B445" s="1" t="str">
        <f>TEXT(Coffee_Sales_Dataset[[#This Row],[Date]],"ddd")</f>
        <v>Sun</v>
      </c>
      <c r="C445">
        <f>HOUR(Coffee_Sales_Dataset[[#This Row],[Date]])</f>
        <v>16</v>
      </c>
      <c r="D445" t="s">
        <v>12</v>
      </c>
      <c r="E445" t="s">
        <v>13</v>
      </c>
      <c r="F445" t="s">
        <v>22</v>
      </c>
      <c r="G445">
        <v>3.47</v>
      </c>
      <c r="H445" t="s">
        <v>15</v>
      </c>
      <c r="I445" t="s">
        <v>16</v>
      </c>
      <c r="J445" t="s">
        <v>31</v>
      </c>
      <c r="K445" t="s">
        <v>32</v>
      </c>
      <c r="L445">
        <v>7</v>
      </c>
      <c r="M445" t="s">
        <v>37</v>
      </c>
      <c r="N445">
        <v>2</v>
      </c>
    </row>
    <row r="446" spans="1:14" x14ac:dyDescent="0.35">
      <c r="A446" s="5">
        <v>45643.696527777778</v>
      </c>
      <c r="B446" s="1" t="str">
        <f>TEXT(Coffee_Sales_Dataset[[#This Row],[Date]],"ddd")</f>
        <v>Tue</v>
      </c>
      <c r="C446">
        <f>HOUR(Coffee_Sales_Dataset[[#This Row],[Date]])</f>
        <v>16</v>
      </c>
      <c r="D446" t="s">
        <v>20</v>
      </c>
      <c r="E446" t="s">
        <v>21</v>
      </c>
      <c r="F446" t="s">
        <v>35</v>
      </c>
      <c r="G446">
        <v>6.81</v>
      </c>
      <c r="H446" t="s">
        <v>15</v>
      </c>
      <c r="I446" t="s">
        <v>16</v>
      </c>
      <c r="J446" t="s">
        <v>42</v>
      </c>
      <c r="K446" t="s">
        <v>32</v>
      </c>
      <c r="L446">
        <v>5</v>
      </c>
      <c r="M446" t="s">
        <v>47</v>
      </c>
      <c r="N446">
        <v>2</v>
      </c>
    </row>
    <row r="447" spans="1:14" x14ac:dyDescent="0.35">
      <c r="A447" s="5">
        <v>45643.625</v>
      </c>
      <c r="B447" s="1" t="str">
        <f>TEXT(Coffee_Sales_Dataset[[#This Row],[Date]],"ddd")</f>
        <v>Tue</v>
      </c>
      <c r="C447">
        <f>HOUR(Coffee_Sales_Dataset[[#This Row],[Date]])</f>
        <v>15</v>
      </c>
      <c r="D447" t="s">
        <v>43</v>
      </c>
      <c r="E447" t="s">
        <v>46</v>
      </c>
      <c r="F447" t="s">
        <v>14</v>
      </c>
      <c r="G447">
        <v>3.6</v>
      </c>
      <c r="H447" t="s">
        <v>30</v>
      </c>
      <c r="I447" t="s">
        <v>23</v>
      </c>
      <c r="J447" t="s">
        <v>24</v>
      </c>
      <c r="K447" t="s">
        <v>18</v>
      </c>
      <c r="L447">
        <v>5</v>
      </c>
      <c r="M447" t="s">
        <v>36</v>
      </c>
      <c r="N447">
        <v>1</v>
      </c>
    </row>
    <row r="448" spans="1:14" x14ac:dyDescent="0.35">
      <c r="A448" s="5">
        <v>45649.54583333333</v>
      </c>
      <c r="B448" s="1" t="str">
        <f>TEXT(Coffee_Sales_Dataset[[#This Row],[Date]],"ddd")</f>
        <v>Mon</v>
      </c>
      <c r="C448">
        <f>HOUR(Coffee_Sales_Dataset[[#This Row],[Date]])</f>
        <v>13</v>
      </c>
      <c r="D448" t="s">
        <v>26</v>
      </c>
      <c r="E448" t="s">
        <v>38</v>
      </c>
      <c r="F448" t="s">
        <v>22</v>
      </c>
      <c r="G448">
        <v>5.38</v>
      </c>
      <c r="H448" t="s">
        <v>30</v>
      </c>
      <c r="I448" t="s">
        <v>16</v>
      </c>
      <c r="J448" t="s">
        <v>45</v>
      </c>
      <c r="K448" t="s">
        <v>18</v>
      </c>
      <c r="L448">
        <v>5</v>
      </c>
      <c r="M448" t="s">
        <v>47</v>
      </c>
      <c r="N448">
        <v>1</v>
      </c>
    </row>
    <row r="449" spans="1:14" x14ac:dyDescent="0.35">
      <c r="A449" s="5">
        <v>45655.512499999997</v>
      </c>
      <c r="B449" s="1" t="str">
        <f>TEXT(Coffee_Sales_Dataset[[#This Row],[Date]],"ddd")</f>
        <v>Sun</v>
      </c>
      <c r="C449">
        <f>HOUR(Coffee_Sales_Dataset[[#This Row],[Date]])</f>
        <v>12</v>
      </c>
      <c r="D449" t="s">
        <v>12</v>
      </c>
      <c r="E449" t="s">
        <v>38</v>
      </c>
      <c r="F449" t="s">
        <v>35</v>
      </c>
      <c r="G449">
        <v>4.22</v>
      </c>
      <c r="H449" t="s">
        <v>28</v>
      </c>
      <c r="I449" t="s">
        <v>16</v>
      </c>
      <c r="J449" t="s">
        <v>24</v>
      </c>
      <c r="K449" t="s">
        <v>18</v>
      </c>
      <c r="L449">
        <v>10</v>
      </c>
      <c r="M449" t="s">
        <v>19</v>
      </c>
      <c r="N449">
        <v>2</v>
      </c>
    </row>
    <row r="450" spans="1:14" x14ac:dyDescent="0.35">
      <c r="A450" s="5">
        <v>45642.42083333333</v>
      </c>
      <c r="B450" s="1" t="str">
        <f>TEXT(Coffee_Sales_Dataset[[#This Row],[Date]],"ddd")</f>
        <v>Mon</v>
      </c>
      <c r="C450">
        <f>HOUR(Coffee_Sales_Dataset[[#This Row],[Date]])</f>
        <v>10</v>
      </c>
      <c r="D450" t="s">
        <v>20</v>
      </c>
      <c r="E450" t="s">
        <v>34</v>
      </c>
      <c r="F450" t="s">
        <v>14</v>
      </c>
      <c r="G450">
        <v>4.05</v>
      </c>
      <c r="H450" t="s">
        <v>30</v>
      </c>
      <c r="I450" t="s">
        <v>23</v>
      </c>
      <c r="J450" t="s">
        <v>31</v>
      </c>
      <c r="K450" t="s">
        <v>18</v>
      </c>
      <c r="L450">
        <v>8</v>
      </c>
      <c r="M450" t="s">
        <v>47</v>
      </c>
      <c r="N450">
        <v>5</v>
      </c>
    </row>
    <row r="451" spans="1:14" x14ac:dyDescent="0.35">
      <c r="A451" s="5">
        <v>45653.734722222223</v>
      </c>
      <c r="B451" s="1" t="str">
        <f>TEXT(Coffee_Sales_Dataset[[#This Row],[Date]],"ddd")</f>
        <v>Fri</v>
      </c>
      <c r="C451">
        <f>HOUR(Coffee_Sales_Dataset[[#This Row],[Date]])</f>
        <v>17</v>
      </c>
      <c r="D451" t="s">
        <v>43</v>
      </c>
      <c r="E451" t="s">
        <v>21</v>
      </c>
      <c r="F451" t="s">
        <v>35</v>
      </c>
      <c r="G451">
        <v>6.49</v>
      </c>
      <c r="H451" t="s">
        <v>28</v>
      </c>
      <c r="I451" t="s">
        <v>16</v>
      </c>
      <c r="J451" t="s">
        <v>17</v>
      </c>
      <c r="K451" t="s">
        <v>40</v>
      </c>
      <c r="L451">
        <v>2</v>
      </c>
      <c r="M451" t="s">
        <v>33</v>
      </c>
      <c r="N451">
        <v>2</v>
      </c>
    </row>
    <row r="452" spans="1:14" x14ac:dyDescent="0.35">
      <c r="A452" s="5">
        <v>45656.415972222225</v>
      </c>
      <c r="B452" s="1" t="str">
        <f>TEXT(Coffee_Sales_Dataset[[#This Row],[Date]],"ddd")</f>
        <v>Mon</v>
      </c>
      <c r="C452">
        <f>HOUR(Coffee_Sales_Dataset[[#This Row],[Date]])</f>
        <v>9</v>
      </c>
      <c r="D452" t="s">
        <v>41</v>
      </c>
      <c r="E452" t="s">
        <v>27</v>
      </c>
      <c r="F452" t="s">
        <v>14</v>
      </c>
      <c r="G452">
        <v>3.66</v>
      </c>
      <c r="H452" t="s">
        <v>30</v>
      </c>
      <c r="I452" t="s">
        <v>16</v>
      </c>
      <c r="J452" t="s">
        <v>29</v>
      </c>
      <c r="K452" t="s">
        <v>40</v>
      </c>
      <c r="L452">
        <v>4</v>
      </c>
      <c r="M452" t="s">
        <v>37</v>
      </c>
      <c r="N452">
        <v>4</v>
      </c>
    </row>
    <row r="453" spans="1:14" x14ac:dyDescent="0.35">
      <c r="A453" s="5">
        <v>45647.638888888891</v>
      </c>
      <c r="B453" s="1" t="str">
        <f>TEXT(Coffee_Sales_Dataset[[#This Row],[Date]],"ddd")</f>
        <v>Sat</v>
      </c>
      <c r="C453">
        <f>HOUR(Coffee_Sales_Dataset[[#This Row],[Date]])</f>
        <v>15</v>
      </c>
      <c r="D453" t="s">
        <v>43</v>
      </c>
      <c r="E453" t="s">
        <v>38</v>
      </c>
      <c r="F453" t="s">
        <v>14</v>
      </c>
      <c r="G453">
        <v>3.96</v>
      </c>
      <c r="H453" t="s">
        <v>15</v>
      </c>
      <c r="I453" t="s">
        <v>16</v>
      </c>
      <c r="J453" t="s">
        <v>42</v>
      </c>
      <c r="K453" t="s">
        <v>18</v>
      </c>
      <c r="L453">
        <v>9</v>
      </c>
      <c r="M453" t="s">
        <v>47</v>
      </c>
      <c r="N453">
        <v>3</v>
      </c>
    </row>
    <row r="454" spans="1:14" x14ac:dyDescent="0.35">
      <c r="A454" s="5">
        <v>45654.564583333333</v>
      </c>
      <c r="B454" s="1" t="str">
        <f>TEXT(Coffee_Sales_Dataset[[#This Row],[Date]],"ddd")</f>
        <v>Sat</v>
      </c>
      <c r="C454">
        <f>HOUR(Coffee_Sales_Dataset[[#This Row],[Date]])</f>
        <v>13</v>
      </c>
      <c r="D454" t="s">
        <v>26</v>
      </c>
      <c r="E454" t="s">
        <v>38</v>
      </c>
      <c r="F454" t="s">
        <v>14</v>
      </c>
      <c r="G454">
        <v>6.82</v>
      </c>
      <c r="H454" t="s">
        <v>28</v>
      </c>
      <c r="I454" t="s">
        <v>16</v>
      </c>
      <c r="J454" t="s">
        <v>45</v>
      </c>
      <c r="K454" t="s">
        <v>40</v>
      </c>
      <c r="L454">
        <v>8</v>
      </c>
      <c r="M454" t="s">
        <v>37</v>
      </c>
      <c r="N454">
        <v>4</v>
      </c>
    </row>
    <row r="455" spans="1:14" x14ac:dyDescent="0.35">
      <c r="A455" s="5">
        <v>45648.529861111114</v>
      </c>
      <c r="B455" s="1" t="str">
        <f>TEXT(Coffee_Sales_Dataset[[#This Row],[Date]],"ddd")</f>
        <v>Sun</v>
      </c>
      <c r="C455">
        <f>HOUR(Coffee_Sales_Dataset[[#This Row],[Date]])</f>
        <v>12</v>
      </c>
      <c r="D455" t="s">
        <v>26</v>
      </c>
      <c r="E455" t="s">
        <v>38</v>
      </c>
      <c r="F455" t="s">
        <v>22</v>
      </c>
      <c r="G455">
        <v>5.61</v>
      </c>
      <c r="H455" t="s">
        <v>30</v>
      </c>
      <c r="I455" t="s">
        <v>23</v>
      </c>
      <c r="J455" t="s">
        <v>24</v>
      </c>
      <c r="K455" t="s">
        <v>32</v>
      </c>
      <c r="L455">
        <v>7</v>
      </c>
      <c r="M455" t="s">
        <v>19</v>
      </c>
      <c r="N455">
        <v>4</v>
      </c>
    </row>
    <row r="456" spans="1:14" x14ac:dyDescent="0.35">
      <c r="A456" s="5">
        <v>45644.705555555556</v>
      </c>
      <c r="B456" s="1" t="str">
        <f>TEXT(Coffee_Sales_Dataset[[#This Row],[Date]],"ddd")</f>
        <v>Wed</v>
      </c>
      <c r="C456">
        <f>HOUR(Coffee_Sales_Dataset[[#This Row],[Date]])</f>
        <v>16</v>
      </c>
      <c r="D456" t="s">
        <v>20</v>
      </c>
      <c r="E456" t="s">
        <v>46</v>
      </c>
      <c r="F456" t="s">
        <v>22</v>
      </c>
      <c r="G456">
        <v>3.72</v>
      </c>
      <c r="H456" t="s">
        <v>28</v>
      </c>
      <c r="I456" t="s">
        <v>23</v>
      </c>
      <c r="J456" t="s">
        <v>17</v>
      </c>
      <c r="K456" t="s">
        <v>32</v>
      </c>
      <c r="L456">
        <v>7</v>
      </c>
      <c r="M456" t="s">
        <v>37</v>
      </c>
      <c r="N456">
        <v>2</v>
      </c>
    </row>
    <row r="457" spans="1:14" x14ac:dyDescent="0.35">
      <c r="A457" s="5">
        <v>45641.51458333333</v>
      </c>
      <c r="B457" s="1" t="str">
        <f>TEXT(Coffee_Sales_Dataset[[#This Row],[Date]],"ddd")</f>
        <v>Sun</v>
      </c>
      <c r="C457">
        <f>HOUR(Coffee_Sales_Dataset[[#This Row],[Date]])</f>
        <v>12</v>
      </c>
      <c r="D457" t="s">
        <v>26</v>
      </c>
      <c r="E457" t="s">
        <v>34</v>
      </c>
      <c r="F457" t="s">
        <v>22</v>
      </c>
      <c r="G457">
        <v>5.01</v>
      </c>
      <c r="H457" t="s">
        <v>30</v>
      </c>
      <c r="I457" t="s">
        <v>16</v>
      </c>
      <c r="J457" t="s">
        <v>29</v>
      </c>
      <c r="K457" t="s">
        <v>18</v>
      </c>
      <c r="L457">
        <v>6</v>
      </c>
      <c r="M457" t="s">
        <v>19</v>
      </c>
      <c r="N457">
        <v>4</v>
      </c>
    </row>
    <row r="458" spans="1:14" x14ac:dyDescent="0.35">
      <c r="A458" s="5">
        <v>45647.511805555558</v>
      </c>
      <c r="B458" s="1" t="str">
        <f>TEXT(Coffee_Sales_Dataset[[#This Row],[Date]],"ddd")</f>
        <v>Sat</v>
      </c>
      <c r="C458">
        <f>HOUR(Coffee_Sales_Dataset[[#This Row],[Date]])</f>
        <v>12</v>
      </c>
      <c r="D458" t="s">
        <v>26</v>
      </c>
      <c r="E458" t="s">
        <v>38</v>
      </c>
      <c r="F458" t="s">
        <v>14</v>
      </c>
      <c r="G458">
        <v>6.45</v>
      </c>
      <c r="H458" t="s">
        <v>15</v>
      </c>
      <c r="I458" t="s">
        <v>16</v>
      </c>
      <c r="J458" t="s">
        <v>42</v>
      </c>
      <c r="K458" t="s">
        <v>40</v>
      </c>
      <c r="L458">
        <v>9</v>
      </c>
      <c r="M458" t="s">
        <v>19</v>
      </c>
      <c r="N458">
        <v>5</v>
      </c>
    </row>
    <row r="459" spans="1:14" x14ac:dyDescent="0.35">
      <c r="A459" s="5">
        <v>45653.349305555559</v>
      </c>
      <c r="B459" s="1" t="str">
        <f>TEXT(Coffee_Sales_Dataset[[#This Row],[Date]],"ddd")</f>
        <v>Fri</v>
      </c>
      <c r="C459">
        <f>HOUR(Coffee_Sales_Dataset[[#This Row],[Date]])</f>
        <v>8</v>
      </c>
      <c r="D459" t="s">
        <v>26</v>
      </c>
      <c r="E459" t="s">
        <v>38</v>
      </c>
      <c r="F459" t="s">
        <v>35</v>
      </c>
      <c r="G459">
        <v>3.61</v>
      </c>
      <c r="H459" t="s">
        <v>28</v>
      </c>
      <c r="I459" t="s">
        <v>23</v>
      </c>
      <c r="J459" t="s">
        <v>17</v>
      </c>
      <c r="K459" t="s">
        <v>40</v>
      </c>
      <c r="L459">
        <v>8</v>
      </c>
      <c r="M459" t="s">
        <v>33</v>
      </c>
      <c r="N459">
        <v>1</v>
      </c>
    </row>
    <row r="460" spans="1:14" x14ac:dyDescent="0.35">
      <c r="A460" s="5">
        <v>45641.347222222219</v>
      </c>
      <c r="B460" s="1" t="str">
        <f>TEXT(Coffee_Sales_Dataset[[#This Row],[Date]],"ddd")</f>
        <v>Sun</v>
      </c>
      <c r="C460">
        <f>HOUR(Coffee_Sales_Dataset[[#This Row],[Date]])</f>
        <v>8</v>
      </c>
      <c r="D460" t="s">
        <v>26</v>
      </c>
      <c r="E460" t="s">
        <v>21</v>
      </c>
      <c r="F460" t="s">
        <v>35</v>
      </c>
      <c r="G460">
        <v>4.1100000000000003</v>
      </c>
      <c r="H460" t="s">
        <v>30</v>
      </c>
      <c r="I460" t="s">
        <v>23</v>
      </c>
      <c r="J460" t="s">
        <v>24</v>
      </c>
      <c r="K460" t="s">
        <v>18</v>
      </c>
      <c r="L460">
        <v>7</v>
      </c>
      <c r="M460" t="s">
        <v>19</v>
      </c>
      <c r="N460">
        <v>2</v>
      </c>
    </row>
    <row r="461" spans="1:14" x14ac:dyDescent="0.35">
      <c r="A461" s="5">
        <v>45655.740277777775</v>
      </c>
      <c r="B461" s="1" t="str">
        <f>TEXT(Coffee_Sales_Dataset[[#This Row],[Date]],"ddd")</f>
        <v>Sun</v>
      </c>
      <c r="C461">
        <f>HOUR(Coffee_Sales_Dataset[[#This Row],[Date]])</f>
        <v>17</v>
      </c>
      <c r="D461" t="s">
        <v>43</v>
      </c>
      <c r="E461" t="s">
        <v>38</v>
      </c>
      <c r="F461" t="s">
        <v>14</v>
      </c>
      <c r="G461">
        <v>6.76</v>
      </c>
      <c r="H461" t="s">
        <v>15</v>
      </c>
      <c r="I461" t="s">
        <v>16</v>
      </c>
      <c r="J461" t="s">
        <v>45</v>
      </c>
      <c r="K461" t="s">
        <v>18</v>
      </c>
      <c r="L461">
        <v>2</v>
      </c>
      <c r="M461" t="s">
        <v>39</v>
      </c>
      <c r="N461">
        <v>2</v>
      </c>
    </row>
    <row r="462" spans="1:14" x14ac:dyDescent="0.35">
      <c r="A462" s="5">
        <v>45654.67291666667</v>
      </c>
      <c r="B462" s="1" t="str">
        <f>TEXT(Coffee_Sales_Dataset[[#This Row],[Date]],"ddd")</f>
        <v>Sat</v>
      </c>
      <c r="C462">
        <f>HOUR(Coffee_Sales_Dataset[[#This Row],[Date]])</f>
        <v>16</v>
      </c>
      <c r="D462" t="s">
        <v>43</v>
      </c>
      <c r="E462" t="s">
        <v>13</v>
      </c>
      <c r="F462" t="s">
        <v>14</v>
      </c>
      <c r="G462">
        <v>4.7699999999999996</v>
      </c>
      <c r="H462" t="s">
        <v>15</v>
      </c>
      <c r="I462" t="s">
        <v>23</v>
      </c>
      <c r="J462" t="s">
        <v>45</v>
      </c>
      <c r="K462" t="s">
        <v>18</v>
      </c>
      <c r="L462">
        <v>8</v>
      </c>
      <c r="M462" t="s">
        <v>36</v>
      </c>
      <c r="N462">
        <v>1</v>
      </c>
    </row>
    <row r="463" spans="1:14" x14ac:dyDescent="0.35">
      <c r="A463" s="5">
        <v>45645.681944444441</v>
      </c>
      <c r="B463" s="1" t="str">
        <f>TEXT(Coffee_Sales_Dataset[[#This Row],[Date]],"ddd")</f>
        <v>Thu</v>
      </c>
      <c r="C463">
        <f>HOUR(Coffee_Sales_Dataset[[#This Row],[Date]])</f>
        <v>16</v>
      </c>
      <c r="D463" t="s">
        <v>26</v>
      </c>
      <c r="E463" t="s">
        <v>34</v>
      </c>
      <c r="F463" t="s">
        <v>22</v>
      </c>
      <c r="G463">
        <v>5.27</v>
      </c>
      <c r="H463" t="s">
        <v>28</v>
      </c>
      <c r="I463" t="s">
        <v>23</v>
      </c>
      <c r="J463" t="s">
        <v>31</v>
      </c>
      <c r="K463" t="s">
        <v>32</v>
      </c>
      <c r="L463">
        <v>3</v>
      </c>
      <c r="M463" t="s">
        <v>39</v>
      </c>
      <c r="N463">
        <v>1</v>
      </c>
    </row>
    <row r="464" spans="1:14" x14ac:dyDescent="0.35">
      <c r="A464" s="5">
        <v>45643.382638888892</v>
      </c>
      <c r="B464" s="1" t="str">
        <f>TEXT(Coffee_Sales_Dataset[[#This Row],[Date]],"ddd")</f>
        <v>Tue</v>
      </c>
      <c r="C464">
        <f>HOUR(Coffee_Sales_Dataset[[#This Row],[Date]])</f>
        <v>9</v>
      </c>
      <c r="D464" t="s">
        <v>43</v>
      </c>
      <c r="E464" t="s">
        <v>38</v>
      </c>
      <c r="F464" t="s">
        <v>35</v>
      </c>
      <c r="G464">
        <v>6.86</v>
      </c>
      <c r="H464" t="s">
        <v>30</v>
      </c>
      <c r="I464" t="s">
        <v>23</v>
      </c>
      <c r="J464" t="s">
        <v>17</v>
      </c>
      <c r="K464" t="s">
        <v>18</v>
      </c>
      <c r="L464">
        <v>7</v>
      </c>
      <c r="M464" t="s">
        <v>25</v>
      </c>
      <c r="N464">
        <v>1</v>
      </c>
    </row>
    <row r="465" spans="1:14" x14ac:dyDescent="0.35">
      <c r="A465" s="5">
        <v>45655.47152777778</v>
      </c>
      <c r="B465" s="1" t="str">
        <f>TEXT(Coffee_Sales_Dataset[[#This Row],[Date]],"ddd")</f>
        <v>Sun</v>
      </c>
      <c r="C465">
        <f>HOUR(Coffee_Sales_Dataset[[#This Row],[Date]])</f>
        <v>11</v>
      </c>
      <c r="D465" t="s">
        <v>20</v>
      </c>
      <c r="E465" t="s">
        <v>44</v>
      </c>
      <c r="F465" t="s">
        <v>35</v>
      </c>
      <c r="G465">
        <v>3.53</v>
      </c>
      <c r="H465" t="s">
        <v>30</v>
      </c>
      <c r="I465" t="s">
        <v>16</v>
      </c>
      <c r="J465" t="s">
        <v>45</v>
      </c>
      <c r="K465" t="s">
        <v>32</v>
      </c>
      <c r="L465">
        <v>4</v>
      </c>
      <c r="M465" t="s">
        <v>47</v>
      </c>
      <c r="N465">
        <v>2</v>
      </c>
    </row>
    <row r="466" spans="1:14" x14ac:dyDescent="0.35">
      <c r="A466" s="5">
        <v>45650.593055555553</v>
      </c>
      <c r="B466" s="1" t="str">
        <f>TEXT(Coffee_Sales_Dataset[[#This Row],[Date]],"ddd")</f>
        <v>Tue</v>
      </c>
      <c r="C466">
        <f>HOUR(Coffee_Sales_Dataset[[#This Row],[Date]])</f>
        <v>14</v>
      </c>
      <c r="D466" t="s">
        <v>20</v>
      </c>
      <c r="E466" t="s">
        <v>34</v>
      </c>
      <c r="F466" t="s">
        <v>14</v>
      </c>
      <c r="G466">
        <v>3.71</v>
      </c>
      <c r="H466" t="s">
        <v>15</v>
      </c>
      <c r="I466" t="s">
        <v>16</v>
      </c>
      <c r="J466" t="s">
        <v>45</v>
      </c>
      <c r="K466" t="s">
        <v>32</v>
      </c>
      <c r="L466">
        <v>6</v>
      </c>
      <c r="M466" t="s">
        <v>39</v>
      </c>
      <c r="N466">
        <v>4</v>
      </c>
    </row>
    <row r="467" spans="1:14" x14ac:dyDescent="0.35">
      <c r="A467" s="5">
        <v>45646.556944444441</v>
      </c>
      <c r="B467" s="1" t="str">
        <f>TEXT(Coffee_Sales_Dataset[[#This Row],[Date]],"ddd")</f>
        <v>Fri</v>
      </c>
      <c r="C467">
        <f>HOUR(Coffee_Sales_Dataset[[#This Row],[Date]])</f>
        <v>13</v>
      </c>
      <c r="D467" t="s">
        <v>41</v>
      </c>
      <c r="E467" t="s">
        <v>46</v>
      </c>
      <c r="F467" t="s">
        <v>35</v>
      </c>
      <c r="G467">
        <v>5.75</v>
      </c>
      <c r="H467" t="s">
        <v>30</v>
      </c>
      <c r="I467" t="s">
        <v>23</v>
      </c>
      <c r="J467" t="s">
        <v>31</v>
      </c>
      <c r="K467" t="s">
        <v>32</v>
      </c>
      <c r="L467">
        <v>4</v>
      </c>
      <c r="M467" t="s">
        <v>37</v>
      </c>
      <c r="N467">
        <v>5</v>
      </c>
    </row>
    <row r="468" spans="1:14" x14ac:dyDescent="0.35">
      <c r="A468" s="5">
        <v>45644.598611111112</v>
      </c>
      <c r="B468" s="1" t="str">
        <f>TEXT(Coffee_Sales_Dataset[[#This Row],[Date]],"ddd")</f>
        <v>Wed</v>
      </c>
      <c r="C468">
        <f>HOUR(Coffee_Sales_Dataset[[#This Row],[Date]])</f>
        <v>14</v>
      </c>
      <c r="D468" t="s">
        <v>43</v>
      </c>
      <c r="E468" t="s">
        <v>27</v>
      </c>
      <c r="F468" t="s">
        <v>22</v>
      </c>
      <c r="G468">
        <v>5.8</v>
      </c>
      <c r="H468" t="s">
        <v>28</v>
      </c>
      <c r="I468" t="s">
        <v>16</v>
      </c>
      <c r="J468" t="s">
        <v>29</v>
      </c>
      <c r="K468" t="s">
        <v>18</v>
      </c>
      <c r="L468">
        <v>5</v>
      </c>
      <c r="M468" t="s">
        <v>47</v>
      </c>
      <c r="N468">
        <v>2</v>
      </c>
    </row>
    <row r="469" spans="1:14" x14ac:dyDescent="0.35">
      <c r="A469" s="5">
        <v>45648.374305555553</v>
      </c>
      <c r="B469" s="1" t="str">
        <f>TEXT(Coffee_Sales_Dataset[[#This Row],[Date]],"ddd")</f>
        <v>Sun</v>
      </c>
      <c r="C469">
        <f>HOUR(Coffee_Sales_Dataset[[#This Row],[Date]])</f>
        <v>8</v>
      </c>
      <c r="D469" t="s">
        <v>26</v>
      </c>
      <c r="E469" t="s">
        <v>38</v>
      </c>
      <c r="F469" t="s">
        <v>35</v>
      </c>
      <c r="G469">
        <v>5.52</v>
      </c>
      <c r="H469" t="s">
        <v>15</v>
      </c>
      <c r="I469" t="s">
        <v>23</v>
      </c>
      <c r="J469" t="s">
        <v>42</v>
      </c>
      <c r="K469" t="s">
        <v>18</v>
      </c>
      <c r="L469">
        <v>7</v>
      </c>
      <c r="M469" t="s">
        <v>47</v>
      </c>
      <c r="N469">
        <v>5</v>
      </c>
    </row>
    <row r="470" spans="1:14" x14ac:dyDescent="0.35">
      <c r="A470" s="5">
        <v>45647.747916666667</v>
      </c>
      <c r="B470" s="1" t="str">
        <f>TEXT(Coffee_Sales_Dataset[[#This Row],[Date]],"ddd")</f>
        <v>Sat</v>
      </c>
      <c r="C470">
        <f>HOUR(Coffee_Sales_Dataset[[#This Row],[Date]])</f>
        <v>17</v>
      </c>
      <c r="D470" t="s">
        <v>26</v>
      </c>
      <c r="E470" t="s">
        <v>34</v>
      </c>
      <c r="F470" t="s">
        <v>35</v>
      </c>
      <c r="G470">
        <v>3.42</v>
      </c>
      <c r="H470" t="s">
        <v>15</v>
      </c>
      <c r="I470" t="s">
        <v>23</v>
      </c>
      <c r="J470" t="s">
        <v>17</v>
      </c>
      <c r="K470" t="s">
        <v>32</v>
      </c>
      <c r="L470">
        <v>9</v>
      </c>
      <c r="M470" t="s">
        <v>47</v>
      </c>
      <c r="N470">
        <v>3</v>
      </c>
    </row>
    <row r="471" spans="1:14" x14ac:dyDescent="0.35">
      <c r="A471" s="5">
        <v>45651.382638888892</v>
      </c>
      <c r="B471" s="1" t="str">
        <f>TEXT(Coffee_Sales_Dataset[[#This Row],[Date]],"ddd")</f>
        <v>Wed</v>
      </c>
      <c r="C471">
        <f>HOUR(Coffee_Sales_Dataset[[#This Row],[Date]])</f>
        <v>9</v>
      </c>
      <c r="D471" t="s">
        <v>43</v>
      </c>
      <c r="E471" t="s">
        <v>34</v>
      </c>
      <c r="F471" t="s">
        <v>14</v>
      </c>
      <c r="G471">
        <v>4.87</v>
      </c>
      <c r="H471" t="s">
        <v>30</v>
      </c>
      <c r="I471" t="s">
        <v>23</v>
      </c>
      <c r="J471" t="s">
        <v>42</v>
      </c>
      <c r="K471" t="s">
        <v>18</v>
      </c>
      <c r="L471">
        <v>9</v>
      </c>
      <c r="M471" t="s">
        <v>37</v>
      </c>
      <c r="N471">
        <v>5</v>
      </c>
    </row>
    <row r="472" spans="1:14" x14ac:dyDescent="0.35">
      <c r="A472" s="5">
        <v>45652.604166666664</v>
      </c>
      <c r="B472" s="1" t="str">
        <f>TEXT(Coffee_Sales_Dataset[[#This Row],[Date]],"ddd")</f>
        <v>Thu</v>
      </c>
      <c r="C472">
        <f>HOUR(Coffee_Sales_Dataset[[#This Row],[Date]])</f>
        <v>14</v>
      </c>
      <c r="D472" t="s">
        <v>20</v>
      </c>
      <c r="E472" t="s">
        <v>34</v>
      </c>
      <c r="F472" t="s">
        <v>35</v>
      </c>
      <c r="G472">
        <v>4.49</v>
      </c>
      <c r="H472" t="s">
        <v>15</v>
      </c>
      <c r="I472" t="s">
        <v>16</v>
      </c>
      <c r="J472" t="s">
        <v>45</v>
      </c>
      <c r="K472" t="s">
        <v>32</v>
      </c>
      <c r="L472">
        <v>6</v>
      </c>
      <c r="M472" t="s">
        <v>39</v>
      </c>
      <c r="N472">
        <v>2</v>
      </c>
    </row>
    <row r="473" spans="1:14" x14ac:dyDescent="0.35">
      <c r="A473" s="5">
        <v>45653.67083333333</v>
      </c>
      <c r="B473" s="1" t="str">
        <f>TEXT(Coffee_Sales_Dataset[[#This Row],[Date]],"ddd")</f>
        <v>Fri</v>
      </c>
      <c r="C473">
        <f>HOUR(Coffee_Sales_Dataset[[#This Row],[Date]])</f>
        <v>16</v>
      </c>
      <c r="D473" t="s">
        <v>12</v>
      </c>
      <c r="E473" t="s">
        <v>46</v>
      </c>
      <c r="F473" t="s">
        <v>22</v>
      </c>
      <c r="G473">
        <v>6.82</v>
      </c>
      <c r="H473" t="s">
        <v>15</v>
      </c>
      <c r="I473" t="s">
        <v>23</v>
      </c>
      <c r="J473" t="s">
        <v>17</v>
      </c>
      <c r="K473" t="s">
        <v>18</v>
      </c>
      <c r="L473">
        <v>4</v>
      </c>
      <c r="M473" t="s">
        <v>47</v>
      </c>
      <c r="N473">
        <v>5</v>
      </c>
    </row>
    <row r="474" spans="1:14" x14ac:dyDescent="0.35">
      <c r="A474" s="5">
        <v>45656.675000000003</v>
      </c>
      <c r="B474" s="1" t="str">
        <f>TEXT(Coffee_Sales_Dataset[[#This Row],[Date]],"ddd")</f>
        <v>Mon</v>
      </c>
      <c r="C474">
        <f>HOUR(Coffee_Sales_Dataset[[#This Row],[Date]])</f>
        <v>16</v>
      </c>
      <c r="D474" t="s">
        <v>41</v>
      </c>
      <c r="E474" t="s">
        <v>21</v>
      </c>
      <c r="F474" t="s">
        <v>14</v>
      </c>
      <c r="G474">
        <v>3.52</v>
      </c>
      <c r="H474" t="s">
        <v>15</v>
      </c>
      <c r="I474" t="s">
        <v>23</v>
      </c>
      <c r="J474" t="s">
        <v>29</v>
      </c>
      <c r="K474" t="s">
        <v>32</v>
      </c>
      <c r="L474">
        <v>4</v>
      </c>
      <c r="M474" t="s">
        <v>33</v>
      </c>
      <c r="N474">
        <v>3</v>
      </c>
    </row>
    <row r="475" spans="1:14" x14ac:dyDescent="0.35">
      <c r="A475" s="5">
        <v>45648.436805555553</v>
      </c>
      <c r="B475" s="1" t="str">
        <f>TEXT(Coffee_Sales_Dataset[[#This Row],[Date]],"ddd")</f>
        <v>Sun</v>
      </c>
      <c r="C475">
        <f>HOUR(Coffee_Sales_Dataset[[#This Row],[Date]])</f>
        <v>10</v>
      </c>
      <c r="D475" t="s">
        <v>26</v>
      </c>
      <c r="E475" t="s">
        <v>44</v>
      </c>
      <c r="F475" t="s">
        <v>14</v>
      </c>
      <c r="G475">
        <v>3.8</v>
      </c>
      <c r="H475" t="s">
        <v>30</v>
      </c>
      <c r="I475" t="s">
        <v>16</v>
      </c>
      <c r="J475" t="s">
        <v>24</v>
      </c>
      <c r="K475" t="s">
        <v>40</v>
      </c>
      <c r="L475">
        <v>4</v>
      </c>
      <c r="M475" t="s">
        <v>36</v>
      </c>
      <c r="N475">
        <v>2</v>
      </c>
    </row>
    <row r="476" spans="1:14" x14ac:dyDescent="0.35">
      <c r="A476" s="5">
        <v>45647.464583333334</v>
      </c>
      <c r="B476" s="1" t="str">
        <f>TEXT(Coffee_Sales_Dataset[[#This Row],[Date]],"ddd")</f>
        <v>Sat</v>
      </c>
      <c r="C476">
        <f>HOUR(Coffee_Sales_Dataset[[#This Row],[Date]])</f>
        <v>11</v>
      </c>
      <c r="D476" t="s">
        <v>41</v>
      </c>
      <c r="E476" t="s">
        <v>21</v>
      </c>
      <c r="F476" t="s">
        <v>22</v>
      </c>
      <c r="G476">
        <v>3.02</v>
      </c>
      <c r="H476" t="s">
        <v>30</v>
      </c>
      <c r="I476" t="s">
        <v>16</v>
      </c>
      <c r="J476" t="s">
        <v>29</v>
      </c>
      <c r="K476" t="s">
        <v>32</v>
      </c>
      <c r="L476">
        <v>10</v>
      </c>
      <c r="M476" t="s">
        <v>19</v>
      </c>
      <c r="N476">
        <v>4</v>
      </c>
    </row>
    <row r="477" spans="1:14" x14ac:dyDescent="0.35">
      <c r="A477" s="5">
        <v>45652.654166666667</v>
      </c>
      <c r="B477" s="1" t="str">
        <f>TEXT(Coffee_Sales_Dataset[[#This Row],[Date]],"ddd")</f>
        <v>Thu</v>
      </c>
      <c r="C477">
        <f>HOUR(Coffee_Sales_Dataset[[#This Row],[Date]])</f>
        <v>15</v>
      </c>
      <c r="D477" t="s">
        <v>12</v>
      </c>
      <c r="E477" t="s">
        <v>21</v>
      </c>
      <c r="F477" t="s">
        <v>22</v>
      </c>
      <c r="G477">
        <v>5.82</v>
      </c>
      <c r="H477" t="s">
        <v>30</v>
      </c>
      <c r="I477" t="s">
        <v>16</v>
      </c>
      <c r="J477" t="s">
        <v>17</v>
      </c>
      <c r="K477" t="s">
        <v>32</v>
      </c>
      <c r="L477">
        <v>4</v>
      </c>
      <c r="M477" t="s">
        <v>25</v>
      </c>
      <c r="N477">
        <v>3</v>
      </c>
    </row>
    <row r="478" spans="1:14" x14ac:dyDescent="0.35">
      <c r="A478" s="5">
        <v>45655.609722222223</v>
      </c>
      <c r="B478" s="1" t="str">
        <f>TEXT(Coffee_Sales_Dataset[[#This Row],[Date]],"ddd")</f>
        <v>Sun</v>
      </c>
      <c r="C478">
        <f>HOUR(Coffee_Sales_Dataset[[#This Row],[Date]])</f>
        <v>14</v>
      </c>
      <c r="D478" t="s">
        <v>12</v>
      </c>
      <c r="E478" t="s">
        <v>38</v>
      </c>
      <c r="F478" t="s">
        <v>14</v>
      </c>
      <c r="G478">
        <v>4.3899999999999997</v>
      </c>
      <c r="H478" t="s">
        <v>28</v>
      </c>
      <c r="I478" t="s">
        <v>23</v>
      </c>
      <c r="J478" t="s">
        <v>17</v>
      </c>
      <c r="K478" t="s">
        <v>18</v>
      </c>
      <c r="L478">
        <v>4</v>
      </c>
      <c r="M478" t="s">
        <v>33</v>
      </c>
      <c r="N478">
        <v>2</v>
      </c>
    </row>
    <row r="479" spans="1:14" x14ac:dyDescent="0.35">
      <c r="A479" s="5">
        <v>45646.563888888886</v>
      </c>
      <c r="B479" s="1" t="str">
        <f>TEXT(Coffee_Sales_Dataset[[#This Row],[Date]],"ddd")</f>
        <v>Fri</v>
      </c>
      <c r="C479">
        <f>HOUR(Coffee_Sales_Dataset[[#This Row],[Date]])</f>
        <v>13</v>
      </c>
      <c r="D479" t="s">
        <v>26</v>
      </c>
      <c r="E479" t="s">
        <v>38</v>
      </c>
      <c r="F479" t="s">
        <v>35</v>
      </c>
      <c r="G479">
        <v>6.01</v>
      </c>
      <c r="H479" t="s">
        <v>30</v>
      </c>
      <c r="I479" t="s">
        <v>23</v>
      </c>
      <c r="J479" t="s">
        <v>17</v>
      </c>
      <c r="K479" t="s">
        <v>32</v>
      </c>
      <c r="L479">
        <v>5</v>
      </c>
      <c r="M479" t="s">
        <v>39</v>
      </c>
      <c r="N479">
        <v>2</v>
      </c>
    </row>
    <row r="480" spans="1:14" x14ac:dyDescent="0.35">
      <c r="A480" s="5">
        <v>45645.38958333333</v>
      </c>
      <c r="B480" s="1" t="str">
        <f>TEXT(Coffee_Sales_Dataset[[#This Row],[Date]],"ddd")</f>
        <v>Thu</v>
      </c>
      <c r="C480">
        <f>HOUR(Coffee_Sales_Dataset[[#This Row],[Date]])</f>
        <v>9</v>
      </c>
      <c r="D480" t="s">
        <v>12</v>
      </c>
      <c r="E480" t="s">
        <v>44</v>
      </c>
      <c r="F480" t="s">
        <v>14</v>
      </c>
      <c r="G480">
        <v>4.7</v>
      </c>
      <c r="H480" t="s">
        <v>15</v>
      </c>
      <c r="I480" t="s">
        <v>16</v>
      </c>
      <c r="J480" t="s">
        <v>42</v>
      </c>
      <c r="K480" t="s">
        <v>18</v>
      </c>
      <c r="L480">
        <v>9</v>
      </c>
      <c r="M480" t="s">
        <v>39</v>
      </c>
      <c r="N480">
        <v>3</v>
      </c>
    </row>
    <row r="481" spans="1:14" x14ac:dyDescent="0.35">
      <c r="A481" s="5">
        <v>45656.59097222222</v>
      </c>
      <c r="B481" s="1" t="str">
        <f>TEXT(Coffee_Sales_Dataset[[#This Row],[Date]],"ddd")</f>
        <v>Mon</v>
      </c>
      <c r="C481">
        <f>HOUR(Coffee_Sales_Dataset[[#This Row],[Date]])</f>
        <v>14</v>
      </c>
      <c r="D481" t="s">
        <v>20</v>
      </c>
      <c r="E481" t="s">
        <v>46</v>
      </c>
      <c r="F481" t="s">
        <v>35</v>
      </c>
      <c r="G481">
        <v>5.07</v>
      </c>
      <c r="H481" t="s">
        <v>30</v>
      </c>
      <c r="I481" t="s">
        <v>16</v>
      </c>
      <c r="J481" t="s">
        <v>29</v>
      </c>
      <c r="K481" t="s">
        <v>32</v>
      </c>
      <c r="L481">
        <v>3</v>
      </c>
      <c r="M481" t="s">
        <v>19</v>
      </c>
      <c r="N481">
        <v>4</v>
      </c>
    </row>
    <row r="482" spans="1:14" x14ac:dyDescent="0.35">
      <c r="A482" s="5">
        <v>45653.340277777781</v>
      </c>
      <c r="B482" s="1" t="str">
        <f>TEXT(Coffee_Sales_Dataset[[#This Row],[Date]],"ddd")</f>
        <v>Fri</v>
      </c>
      <c r="C482">
        <f>HOUR(Coffee_Sales_Dataset[[#This Row],[Date]])</f>
        <v>8</v>
      </c>
      <c r="D482" t="s">
        <v>43</v>
      </c>
      <c r="E482" t="s">
        <v>27</v>
      </c>
      <c r="F482" t="s">
        <v>35</v>
      </c>
      <c r="G482">
        <v>5.03</v>
      </c>
      <c r="H482" t="s">
        <v>28</v>
      </c>
      <c r="I482" t="s">
        <v>16</v>
      </c>
      <c r="J482" t="s">
        <v>29</v>
      </c>
      <c r="K482" t="s">
        <v>32</v>
      </c>
      <c r="L482">
        <v>8</v>
      </c>
      <c r="M482" t="s">
        <v>25</v>
      </c>
      <c r="N482">
        <v>1</v>
      </c>
    </row>
    <row r="483" spans="1:14" x14ac:dyDescent="0.35">
      <c r="A483" s="5">
        <v>45645.532638888886</v>
      </c>
      <c r="B483" s="1" t="str">
        <f>TEXT(Coffee_Sales_Dataset[[#This Row],[Date]],"ddd")</f>
        <v>Thu</v>
      </c>
      <c r="C483">
        <f>HOUR(Coffee_Sales_Dataset[[#This Row],[Date]])</f>
        <v>12</v>
      </c>
      <c r="D483" t="s">
        <v>26</v>
      </c>
      <c r="E483" t="s">
        <v>38</v>
      </c>
      <c r="F483" t="s">
        <v>22</v>
      </c>
      <c r="G483">
        <v>5.01</v>
      </c>
      <c r="H483" t="s">
        <v>15</v>
      </c>
      <c r="I483" t="s">
        <v>16</v>
      </c>
      <c r="J483" t="s">
        <v>31</v>
      </c>
      <c r="K483" t="s">
        <v>32</v>
      </c>
      <c r="L483">
        <v>3</v>
      </c>
      <c r="M483" t="s">
        <v>33</v>
      </c>
      <c r="N483">
        <v>2</v>
      </c>
    </row>
    <row r="484" spans="1:14" x14ac:dyDescent="0.35">
      <c r="A484" s="5">
        <v>45656.7</v>
      </c>
      <c r="B484" s="1" t="str">
        <f>TEXT(Coffee_Sales_Dataset[[#This Row],[Date]],"ddd")</f>
        <v>Mon</v>
      </c>
      <c r="C484">
        <f>HOUR(Coffee_Sales_Dataset[[#This Row],[Date]])</f>
        <v>16</v>
      </c>
      <c r="D484" t="s">
        <v>12</v>
      </c>
      <c r="E484" t="s">
        <v>21</v>
      </c>
      <c r="F484" t="s">
        <v>35</v>
      </c>
      <c r="G484">
        <v>3.32</v>
      </c>
      <c r="H484" t="s">
        <v>30</v>
      </c>
      <c r="I484" t="s">
        <v>16</v>
      </c>
      <c r="J484" t="s">
        <v>45</v>
      </c>
      <c r="K484" t="s">
        <v>18</v>
      </c>
      <c r="L484">
        <v>6</v>
      </c>
      <c r="M484" t="s">
        <v>36</v>
      </c>
      <c r="N484">
        <v>5</v>
      </c>
    </row>
    <row r="485" spans="1:14" x14ac:dyDescent="0.35">
      <c r="A485" s="5">
        <v>45654.643750000003</v>
      </c>
      <c r="B485" s="1" t="str">
        <f>TEXT(Coffee_Sales_Dataset[[#This Row],[Date]],"ddd")</f>
        <v>Sat</v>
      </c>
      <c r="C485">
        <f>HOUR(Coffee_Sales_Dataset[[#This Row],[Date]])</f>
        <v>15</v>
      </c>
      <c r="D485" t="s">
        <v>26</v>
      </c>
      <c r="E485" t="s">
        <v>46</v>
      </c>
      <c r="F485" t="s">
        <v>22</v>
      </c>
      <c r="G485">
        <v>3.16</v>
      </c>
      <c r="H485" t="s">
        <v>15</v>
      </c>
      <c r="I485" t="s">
        <v>16</v>
      </c>
      <c r="J485" t="s">
        <v>24</v>
      </c>
      <c r="K485" t="s">
        <v>40</v>
      </c>
      <c r="L485">
        <v>7</v>
      </c>
      <c r="M485" t="s">
        <v>47</v>
      </c>
      <c r="N485">
        <v>4</v>
      </c>
    </row>
    <row r="486" spans="1:14" x14ac:dyDescent="0.35">
      <c r="A486" s="5">
        <v>45646.53402777778</v>
      </c>
      <c r="B486" s="1" t="str">
        <f>TEXT(Coffee_Sales_Dataset[[#This Row],[Date]],"ddd")</f>
        <v>Fri</v>
      </c>
      <c r="C486">
        <f>HOUR(Coffee_Sales_Dataset[[#This Row],[Date]])</f>
        <v>12</v>
      </c>
      <c r="D486" t="s">
        <v>26</v>
      </c>
      <c r="E486" t="s">
        <v>38</v>
      </c>
      <c r="F486" t="s">
        <v>22</v>
      </c>
      <c r="G486">
        <v>3.71</v>
      </c>
      <c r="H486" t="s">
        <v>15</v>
      </c>
      <c r="I486" t="s">
        <v>16</v>
      </c>
      <c r="J486" t="s">
        <v>29</v>
      </c>
      <c r="K486" t="s">
        <v>32</v>
      </c>
      <c r="L486">
        <v>7</v>
      </c>
      <c r="M486" t="s">
        <v>47</v>
      </c>
      <c r="N486">
        <v>1</v>
      </c>
    </row>
    <row r="487" spans="1:14" x14ac:dyDescent="0.35">
      <c r="A487" s="5">
        <v>45650.573611111111</v>
      </c>
      <c r="B487" s="1" t="str">
        <f>TEXT(Coffee_Sales_Dataset[[#This Row],[Date]],"ddd")</f>
        <v>Tue</v>
      </c>
      <c r="C487">
        <f>HOUR(Coffee_Sales_Dataset[[#This Row],[Date]])</f>
        <v>13</v>
      </c>
      <c r="D487" t="s">
        <v>26</v>
      </c>
      <c r="E487" t="s">
        <v>38</v>
      </c>
      <c r="F487" t="s">
        <v>35</v>
      </c>
      <c r="G487">
        <v>4.58</v>
      </c>
      <c r="H487" t="s">
        <v>30</v>
      </c>
      <c r="I487" t="s">
        <v>23</v>
      </c>
      <c r="J487" t="s">
        <v>31</v>
      </c>
      <c r="K487" t="s">
        <v>40</v>
      </c>
      <c r="L487">
        <v>4</v>
      </c>
      <c r="M487" t="s">
        <v>19</v>
      </c>
      <c r="N487">
        <v>2</v>
      </c>
    </row>
    <row r="488" spans="1:14" x14ac:dyDescent="0.35">
      <c r="A488" s="5">
        <v>45651.622916666667</v>
      </c>
      <c r="B488" s="1" t="str">
        <f>TEXT(Coffee_Sales_Dataset[[#This Row],[Date]],"ddd")</f>
        <v>Wed</v>
      </c>
      <c r="C488">
        <f>HOUR(Coffee_Sales_Dataset[[#This Row],[Date]])</f>
        <v>14</v>
      </c>
      <c r="D488" t="s">
        <v>43</v>
      </c>
      <c r="E488" t="s">
        <v>34</v>
      </c>
      <c r="F488" t="s">
        <v>22</v>
      </c>
      <c r="G488">
        <v>5.76</v>
      </c>
      <c r="H488" t="s">
        <v>30</v>
      </c>
      <c r="I488" t="s">
        <v>16</v>
      </c>
      <c r="J488" t="s">
        <v>29</v>
      </c>
      <c r="K488" t="s">
        <v>40</v>
      </c>
      <c r="L488">
        <v>7</v>
      </c>
      <c r="M488" t="s">
        <v>47</v>
      </c>
      <c r="N488">
        <v>1</v>
      </c>
    </row>
    <row r="489" spans="1:14" x14ac:dyDescent="0.35">
      <c r="A489" s="5">
        <v>45643.39166666667</v>
      </c>
      <c r="B489" s="1" t="str">
        <f>TEXT(Coffee_Sales_Dataset[[#This Row],[Date]],"ddd")</f>
        <v>Tue</v>
      </c>
      <c r="C489">
        <f>HOUR(Coffee_Sales_Dataset[[#This Row],[Date]])</f>
        <v>9</v>
      </c>
      <c r="D489" t="s">
        <v>41</v>
      </c>
      <c r="E489" t="s">
        <v>44</v>
      </c>
      <c r="F489" t="s">
        <v>14</v>
      </c>
      <c r="G489">
        <v>4.3499999999999996</v>
      </c>
      <c r="H489" t="s">
        <v>28</v>
      </c>
      <c r="I489" t="s">
        <v>16</v>
      </c>
      <c r="J489" t="s">
        <v>42</v>
      </c>
      <c r="K489" t="s">
        <v>32</v>
      </c>
      <c r="L489">
        <v>2</v>
      </c>
      <c r="M489" t="s">
        <v>36</v>
      </c>
      <c r="N489">
        <v>3</v>
      </c>
    </row>
    <row r="490" spans="1:14" x14ac:dyDescent="0.35">
      <c r="A490" s="5">
        <v>45652.411805555559</v>
      </c>
      <c r="B490" s="1" t="str">
        <f>TEXT(Coffee_Sales_Dataset[[#This Row],[Date]],"ddd")</f>
        <v>Thu</v>
      </c>
      <c r="C490">
        <f>HOUR(Coffee_Sales_Dataset[[#This Row],[Date]])</f>
        <v>9</v>
      </c>
      <c r="D490" t="s">
        <v>12</v>
      </c>
      <c r="E490" t="s">
        <v>13</v>
      </c>
      <c r="F490" t="s">
        <v>14</v>
      </c>
      <c r="G490">
        <v>5.28</v>
      </c>
      <c r="H490" t="s">
        <v>15</v>
      </c>
      <c r="I490" t="s">
        <v>23</v>
      </c>
      <c r="J490" t="s">
        <v>45</v>
      </c>
      <c r="K490" t="s">
        <v>40</v>
      </c>
      <c r="L490">
        <v>7</v>
      </c>
      <c r="M490" t="s">
        <v>37</v>
      </c>
      <c r="N490">
        <v>4</v>
      </c>
    </row>
    <row r="491" spans="1:14" x14ac:dyDescent="0.35">
      <c r="A491" s="5">
        <v>45644.595138888886</v>
      </c>
      <c r="B491" s="1" t="str">
        <f>TEXT(Coffee_Sales_Dataset[[#This Row],[Date]],"ddd")</f>
        <v>Wed</v>
      </c>
      <c r="C491">
        <f>HOUR(Coffee_Sales_Dataset[[#This Row],[Date]])</f>
        <v>14</v>
      </c>
      <c r="D491" t="s">
        <v>20</v>
      </c>
      <c r="E491" t="s">
        <v>34</v>
      </c>
      <c r="F491" t="s">
        <v>35</v>
      </c>
      <c r="G491">
        <v>5.69</v>
      </c>
      <c r="H491" t="s">
        <v>28</v>
      </c>
      <c r="I491" t="s">
        <v>16</v>
      </c>
      <c r="J491" t="s">
        <v>17</v>
      </c>
      <c r="K491" t="s">
        <v>18</v>
      </c>
      <c r="L491">
        <v>6</v>
      </c>
      <c r="M491" t="s">
        <v>47</v>
      </c>
      <c r="N491">
        <v>1</v>
      </c>
    </row>
    <row r="492" spans="1:14" x14ac:dyDescent="0.35">
      <c r="A492" s="5">
        <v>45647.368055555555</v>
      </c>
      <c r="B492" s="1" t="str">
        <f>TEXT(Coffee_Sales_Dataset[[#This Row],[Date]],"ddd")</f>
        <v>Sat</v>
      </c>
      <c r="C492">
        <f>HOUR(Coffee_Sales_Dataset[[#This Row],[Date]])</f>
        <v>8</v>
      </c>
      <c r="D492" t="s">
        <v>12</v>
      </c>
      <c r="E492" t="s">
        <v>44</v>
      </c>
      <c r="F492" t="s">
        <v>14</v>
      </c>
      <c r="G492">
        <v>4.0999999999999996</v>
      </c>
      <c r="H492" t="s">
        <v>15</v>
      </c>
      <c r="I492" t="s">
        <v>16</v>
      </c>
      <c r="J492" t="s">
        <v>29</v>
      </c>
      <c r="K492" t="s">
        <v>40</v>
      </c>
      <c r="L492">
        <v>5</v>
      </c>
      <c r="M492" t="s">
        <v>39</v>
      </c>
      <c r="N492">
        <v>3</v>
      </c>
    </row>
    <row r="493" spans="1:14" x14ac:dyDescent="0.35">
      <c r="A493" s="5">
        <v>45644.720833333333</v>
      </c>
      <c r="B493" s="1" t="str">
        <f>TEXT(Coffee_Sales_Dataset[[#This Row],[Date]],"ddd")</f>
        <v>Wed</v>
      </c>
      <c r="C493">
        <f>HOUR(Coffee_Sales_Dataset[[#This Row],[Date]])</f>
        <v>17</v>
      </c>
      <c r="D493" t="s">
        <v>41</v>
      </c>
      <c r="E493" t="s">
        <v>21</v>
      </c>
      <c r="F493" t="s">
        <v>22</v>
      </c>
      <c r="G493">
        <v>5.35</v>
      </c>
      <c r="H493" t="s">
        <v>28</v>
      </c>
      <c r="I493" t="s">
        <v>16</v>
      </c>
      <c r="J493" t="s">
        <v>31</v>
      </c>
      <c r="K493" t="s">
        <v>32</v>
      </c>
      <c r="L493">
        <v>9</v>
      </c>
      <c r="M493" t="s">
        <v>37</v>
      </c>
      <c r="N493">
        <v>1</v>
      </c>
    </row>
    <row r="494" spans="1:14" x14ac:dyDescent="0.35">
      <c r="A494" s="5">
        <v>45646.556944444441</v>
      </c>
      <c r="B494" s="1" t="str">
        <f>TEXT(Coffee_Sales_Dataset[[#This Row],[Date]],"ddd")</f>
        <v>Fri</v>
      </c>
      <c r="C494">
        <f>HOUR(Coffee_Sales_Dataset[[#This Row],[Date]])</f>
        <v>13</v>
      </c>
      <c r="D494" t="s">
        <v>12</v>
      </c>
      <c r="E494" t="s">
        <v>27</v>
      </c>
      <c r="F494" t="s">
        <v>22</v>
      </c>
      <c r="G494">
        <v>6.42</v>
      </c>
      <c r="H494" t="s">
        <v>15</v>
      </c>
      <c r="I494" t="s">
        <v>23</v>
      </c>
      <c r="J494" t="s">
        <v>31</v>
      </c>
      <c r="K494" t="s">
        <v>18</v>
      </c>
      <c r="L494">
        <v>4</v>
      </c>
      <c r="M494" t="s">
        <v>19</v>
      </c>
      <c r="N494">
        <v>4</v>
      </c>
    </row>
    <row r="495" spans="1:14" x14ac:dyDescent="0.35">
      <c r="A495" s="5">
        <v>45645.362500000003</v>
      </c>
      <c r="B495" s="1" t="str">
        <f>TEXT(Coffee_Sales_Dataset[[#This Row],[Date]],"ddd")</f>
        <v>Thu</v>
      </c>
      <c r="C495">
        <f>HOUR(Coffee_Sales_Dataset[[#This Row],[Date]])</f>
        <v>8</v>
      </c>
      <c r="D495" t="s">
        <v>41</v>
      </c>
      <c r="E495" t="s">
        <v>13</v>
      </c>
      <c r="F495" t="s">
        <v>35</v>
      </c>
      <c r="G495">
        <v>4.95</v>
      </c>
      <c r="H495" t="s">
        <v>15</v>
      </c>
      <c r="I495" t="s">
        <v>23</v>
      </c>
      <c r="J495" t="s">
        <v>17</v>
      </c>
      <c r="K495" t="s">
        <v>18</v>
      </c>
      <c r="L495">
        <v>10</v>
      </c>
      <c r="M495" t="s">
        <v>47</v>
      </c>
      <c r="N495">
        <v>3</v>
      </c>
    </row>
    <row r="496" spans="1:14" x14ac:dyDescent="0.35">
      <c r="A496" s="5">
        <v>45645.561111111114</v>
      </c>
      <c r="B496" s="1" t="str">
        <f>TEXT(Coffee_Sales_Dataset[[#This Row],[Date]],"ddd")</f>
        <v>Thu</v>
      </c>
      <c r="C496">
        <f>HOUR(Coffee_Sales_Dataset[[#This Row],[Date]])</f>
        <v>13</v>
      </c>
      <c r="D496" t="s">
        <v>12</v>
      </c>
      <c r="E496" t="s">
        <v>13</v>
      </c>
      <c r="F496" t="s">
        <v>14</v>
      </c>
      <c r="G496">
        <v>5.5</v>
      </c>
      <c r="H496" t="s">
        <v>30</v>
      </c>
      <c r="I496" t="s">
        <v>16</v>
      </c>
      <c r="J496" t="s">
        <v>31</v>
      </c>
      <c r="K496" t="s">
        <v>32</v>
      </c>
      <c r="L496">
        <v>8</v>
      </c>
      <c r="M496" t="s">
        <v>33</v>
      </c>
      <c r="N496">
        <v>1</v>
      </c>
    </row>
    <row r="497" spans="1:14" x14ac:dyDescent="0.35">
      <c r="A497" s="5">
        <v>45653.524305555555</v>
      </c>
      <c r="B497" s="1" t="str">
        <f>TEXT(Coffee_Sales_Dataset[[#This Row],[Date]],"ddd")</f>
        <v>Fri</v>
      </c>
      <c r="C497">
        <f>HOUR(Coffee_Sales_Dataset[[#This Row],[Date]])</f>
        <v>12</v>
      </c>
      <c r="D497" t="s">
        <v>12</v>
      </c>
      <c r="E497" t="s">
        <v>27</v>
      </c>
      <c r="F497" t="s">
        <v>22</v>
      </c>
      <c r="G497">
        <v>6.68</v>
      </c>
      <c r="H497" t="s">
        <v>30</v>
      </c>
      <c r="I497" t="s">
        <v>16</v>
      </c>
      <c r="J497" t="s">
        <v>31</v>
      </c>
      <c r="K497" t="s">
        <v>40</v>
      </c>
      <c r="L497">
        <v>3</v>
      </c>
      <c r="M497" t="s">
        <v>25</v>
      </c>
      <c r="N497">
        <v>2</v>
      </c>
    </row>
    <row r="498" spans="1:14" x14ac:dyDescent="0.35">
      <c r="A498" s="5">
        <v>45644.4</v>
      </c>
      <c r="B498" s="1" t="str">
        <f>TEXT(Coffee_Sales_Dataset[[#This Row],[Date]],"ddd")</f>
        <v>Wed</v>
      </c>
      <c r="C498">
        <f>HOUR(Coffee_Sales_Dataset[[#This Row],[Date]])</f>
        <v>9</v>
      </c>
      <c r="D498" t="s">
        <v>43</v>
      </c>
      <c r="E498" t="s">
        <v>27</v>
      </c>
      <c r="F498" t="s">
        <v>14</v>
      </c>
      <c r="G498">
        <v>6.07</v>
      </c>
      <c r="H498" t="s">
        <v>28</v>
      </c>
      <c r="I498" t="s">
        <v>16</v>
      </c>
      <c r="J498" t="s">
        <v>31</v>
      </c>
      <c r="K498" t="s">
        <v>32</v>
      </c>
      <c r="L498">
        <v>7</v>
      </c>
      <c r="M498" t="s">
        <v>33</v>
      </c>
      <c r="N498">
        <v>2</v>
      </c>
    </row>
    <row r="499" spans="1:14" x14ac:dyDescent="0.35">
      <c r="A499" s="5">
        <v>45647.720138888886</v>
      </c>
      <c r="B499" s="1" t="str">
        <f>TEXT(Coffee_Sales_Dataset[[#This Row],[Date]],"ddd")</f>
        <v>Sat</v>
      </c>
      <c r="C499">
        <f>HOUR(Coffee_Sales_Dataset[[#This Row],[Date]])</f>
        <v>17</v>
      </c>
      <c r="D499" t="s">
        <v>43</v>
      </c>
      <c r="E499" t="s">
        <v>21</v>
      </c>
      <c r="F499" t="s">
        <v>22</v>
      </c>
      <c r="G499">
        <v>5.52</v>
      </c>
      <c r="H499" t="s">
        <v>28</v>
      </c>
      <c r="I499" t="s">
        <v>16</v>
      </c>
      <c r="J499" t="s">
        <v>31</v>
      </c>
      <c r="K499" t="s">
        <v>18</v>
      </c>
      <c r="L499">
        <v>10</v>
      </c>
      <c r="M499" t="s">
        <v>25</v>
      </c>
      <c r="N499">
        <v>2</v>
      </c>
    </row>
    <row r="500" spans="1:14" x14ac:dyDescent="0.35">
      <c r="A500" s="5">
        <v>45654.658333333333</v>
      </c>
      <c r="B500" s="1" t="str">
        <f>TEXT(Coffee_Sales_Dataset[[#This Row],[Date]],"ddd")</f>
        <v>Sat</v>
      </c>
      <c r="C500">
        <f>HOUR(Coffee_Sales_Dataset[[#This Row],[Date]])</f>
        <v>15</v>
      </c>
      <c r="D500" t="s">
        <v>12</v>
      </c>
      <c r="E500" t="s">
        <v>34</v>
      </c>
      <c r="F500" t="s">
        <v>22</v>
      </c>
      <c r="G500">
        <v>3.63</v>
      </c>
      <c r="H500" t="s">
        <v>30</v>
      </c>
      <c r="I500" t="s">
        <v>16</v>
      </c>
      <c r="J500" t="s">
        <v>24</v>
      </c>
      <c r="K500" t="s">
        <v>40</v>
      </c>
      <c r="L500">
        <v>10</v>
      </c>
      <c r="M500" t="s">
        <v>33</v>
      </c>
      <c r="N500">
        <v>3</v>
      </c>
    </row>
    <row r="501" spans="1:14" x14ac:dyDescent="0.35">
      <c r="A501" s="5">
        <v>45653.446527777778</v>
      </c>
      <c r="B501" s="1" t="str">
        <f>TEXT(Coffee_Sales_Dataset[[#This Row],[Date]],"ddd")</f>
        <v>Fri</v>
      </c>
      <c r="C501">
        <f>HOUR(Coffee_Sales_Dataset[[#This Row],[Date]])</f>
        <v>10</v>
      </c>
      <c r="D501" t="s">
        <v>26</v>
      </c>
      <c r="E501" t="s">
        <v>46</v>
      </c>
      <c r="F501" t="s">
        <v>35</v>
      </c>
      <c r="G501">
        <v>5.61</v>
      </c>
      <c r="H501" t="s">
        <v>15</v>
      </c>
      <c r="I501" t="s">
        <v>16</v>
      </c>
      <c r="J501" t="s">
        <v>17</v>
      </c>
      <c r="K501" t="s">
        <v>18</v>
      </c>
      <c r="L501">
        <v>2</v>
      </c>
      <c r="M501" t="s">
        <v>37</v>
      </c>
      <c r="N501">
        <v>2</v>
      </c>
    </row>
    <row r="502" spans="1:14" x14ac:dyDescent="0.35">
      <c r="A502" s="5">
        <v>45643.730555555558</v>
      </c>
      <c r="B502" s="1" t="str">
        <f>TEXT(Coffee_Sales_Dataset[[#This Row],[Date]],"ddd")</f>
        <v>Tue</v>
      </c>
      <c r="C502">
        <f>HOUR(Coffee_Sales_Dataset[[#This Row],[Date]])</f>
        <v>17</v>
      </c>
      <c r="D502" t="s">
        <v>26</v>
      </c>
      <c r="E502" t="s">
        <v>38</v>
      </c>
      <c r="F502" t="s">
        <v>35</v>
      </c>
      <c r="G502">
        <v>5.93</v>
      </c>
      <c r="H502" t="s">
        <v>30</v>
      </c>
      <c r="I502" t="s">
        <v>16</v>
      </c>
      <c r="J502" t="s">
        <v>31</v>
      </c>
      <c r="K502" t="s">
        <v>40</v>
      </c>
      <c r="L502">
        <v>4</v>
      </c>
      <c r="M502" t="s">
        <v>37</v>
      </c>
      <c r="N502">
        <v>4</v>
      </c>
    </row>
    <row r="503" spans="1:14" x14ac:dyDescent="0.35">
      <c r="A503" s="5">
        <v>45651.542361111111</v>
      </c>
      <c r="B503" s="1" t="str">
        <f>TEXT(Coffee_Sales_Dataset[[#This Row],[Date]],"ddd")</f>
        <v>Wed</v>
      </c>
      <c r="C503">
        <f>HOUR(Coffee_Sales_Dataset[[#This Row],[Date]])</f>
        <v>13</v>
      </c>
      <c r="D503" t="s">
        <v>41</v>
      </c>
      <c r="E503" t="s">
        <v>21</v>
      </c>
      <c r="F503" t="s">
        <v>35</v>
      </c>
      <c r="G503">
        <v>4.5599999999999996</v>
      </c>
      <c r="H503" t="s">
        <v>28</v>
      </c>
      <c r="I503" t="s">
        <v>23</v>
      </c>
      <c r="J503" t="s">
        <v>17</v>
      </c>
      <c r="K503" t="s">
        <v>32</v>
      </c>
      <c r="L503">
        <v>7</v>
      </c>
      <c r="M503" t="s">
        <v>19</v>
      </c>
      <c r="N503">
        <v>2</v>
      </c>
    </row>
    <row r="504" spans="1:14" x14ac:dyDescent="0.35">
      <c r="A504" s="5">
        <v>45643.472222222219</v>
      </c>
      <c r="B504" s="1" t="str">
        <f>TEXT(Coffee_Sales_Dataset[[#This Row],[Date]],"ddd")</f>
        <v>Tue</v>
      </c>
      <c r="C504">
        <f>HOUR(Coffee_Sales_Dataset[[#This Row],[Date]])</f>
        <v>11</v>
      </c>
      <c r="D504" t="s">
        <v>20</v>
      </c>
      <c r="E504" t="s">
        <v>34</v>
      </c>
      <c r="F504" t="s">
        <v>14</v>
      </c>
      <c r="G504">
        <v>6.58</v>
      </c>
      <c r="H504" t="s">
        <v>30</v>
      </c>
      <c r="I504" t="s">
        <v>16</v>
      </c>
      <c r="J504" t="s">
        <v>42</v>
      </c>
      <c r="K504" t="s">
        <v>40</v>
      </c>
      <c r="L504">
        <v>9</v>
      </c>
      <c r="M504" t="s">
        <v>36</v>
      </c>
      <c r="N504">
        <v>2</v>
      </c>
    </row>
    <row r="505" spans="1:14" x14ac:dyDescent="0.35">
      <c r="A505" s="5">
        <v>45656.695138888892</v>
      </c>
      <c r="B505" s="1" t="str">
        <f>TEXT(Coffee_Sales_Dataset[[#This Row],[Date]],"ddd")</f>
        <v>Mon</v>
      </c>
      <c r="C505">
        <f>HOUR(Coffee_Sales_Dataset[[#This Row],[Date]])</f>
        <v>16</v>
      </c>
      <c r="D505" t="s">
        <v>26</v>
      </c>
      <c r="E505" t="s">
        <v>21</v>
      </c>
      <c r="F505" t="s">
        <v>35</v>
      </c>
      <c r="G505">
        <v>6.35</v>
      </c>
      <c r="H505" t="s">
        <v>30</v>
      </c>
      <c r="I505" t="s">
        <v>23</v>
      </c>
      <c r="J505" t="s">
        <v>42</v>
      </c>
      <c r="K505" t="s">
        <v>18</v>
      </c>
      <c r="L505">
        <v>3</v>
      </c>
      <c r="M505" t="s">
        <v>39</v>
      </c>
      <c r="N505">
        <v>1</v>
      </c>
    </row>
    <row r="506" spans="1:14" x14ac:dyDescent="0.35">
      <c r="A506" s="5">
        <v>45651.621527777781</v>
      </c>
      <c r="B506" s="1" t="str">
        <f>TEXT(Coffee_Sales_Dataset[[#This Row],[Date]],"ddd")</f>
        <v>Wed</v>
      </c>
      <c r="C506">
        <f>HOUR(Coffee_Sales_Dataset[[#This Row],[Date]])</f>
        <v>14</v>
      </c>
      <c r="D506" t="s">
        <v>41</v>
      </c>
      <c r="E506" t="s">
        <v>46</v>
      </c>
      <c r="F506" t="s">
        <v>22</v>
      </c>
      <c r="G506">
        <v>3.28</v>
      </c>
      <c r="H506" t="s">
        <v>15</v>
      </c>
      <c r="I506" t="s">
        <v>16</v>
      </c>
      <c r="J506" t="s">
        <v>45</v>
      </c>
      <c r="K506" t="s">
        <v>18</v>
      </c>
      <c r="L506">
        <v>3</v>
      </c>
      <c r="M506" t="s">
        <v>19</v>
      </c>
      <c r="N506">
        <v>5</v>
      </c>
    </row>
    <row r="507" spans="1:14" x14ac:dyDescent="0.35">
      <c r="A507" s="5">
        <v>45651.697916666664</v>
      </c>
      <c r="B507" s="1" t="str">
        <f>TEXT(Coffee_Sales_Dataset[[#This Row],[Date]],"ddd")</f>
        <v>Wed</v>
      </c>
      <c r="C507">
        <f>HOUR(Coffee_Sales_Dataset[[#This Row],[Date]])</f>
        <v>16</v>
      </c>
      <c r="D507" t="s">
        <v>26</v>
      </c>
      <c r="E507" t="s">
        <v>46</v>
      </c>
      <c r="F507" t="s">
        <v>22</v>
      </c>
      <c r="G507">
        <v>6.31</v>
      </c>
      <c r="H507" t="s">
        <v>30</v>
      </c>
      <c r="I507" t="s">
        <v>16</v>
      </c>
      <c r="J507" t="s">
        <v>42</v>
      </c>
      <c r="K507" t="s">
        <v>18</v>
      </c>
      <c r="L507">
        <v>2</v>
      </c>
      <c r="M507" t="s">
        <v>47</v>
      </c>
      <c r="N507">
        <v>4</v>
      </c>
    </row>
    <row r="508" spans="1:14" x14ac:dyDescent="0.35">
      <c r="A508" s="5">
        <v>45652.694444444445</v>
      </c>
      <c r="B508" s="1" t="str">
        <f>TEXT(Coffee_Sales_Dataset[[#This Row],[Date]],"ddd")</f>
        <v>Thu</v>
      </c>
      <c r="C508">
        <f>HOUR(Coffee_Sales_Dataset[[#This Row],[Date]])</f>
        <v>16</v>
      </c>
      <c r="D508" t="s">
        <v>12</v>
      </c>
      <c r="E508" t="s">
        <v>46</v>
      </c>
      <c r="F508" t="s">
        <v>14</v>
      </c>
      <c r="G508">
        <v>3.41</v>
      </c>
      <c r="H508" t="s">
        <v>15</v>
      </c>
      <c r="I508" t="s">
        <v>23</v>
      </c>
      <c r="J508" t="s">
        <v>45</v>
      </c>
      <c r="K508" t="s">
        <v>40</v>
      </c>
      <c r="L508">
        <v>7</v>
      </c>
      <c r="M508" t="s">
        <v>25</v>
      </c>
      <c r="N508">
        <v>3</v>
      </c>
    </row>
    <row r="509" spans="1:14" x14ac:dyDescent="0.35">
      <c r="A509" s="5">
        <v>45643.493055555555</v>
      </c>
      <c r="B509" s="1" t="str">
        <f>TEXT(Coffee_Sales_Dataset[[#This Row],[Date]],"ddd")</f>
        <v>Tue</v>
      </c>
      <c r="C509">
        <f>HOUR(Coffee_Sales_Dataset[[#This Row],[Date]])</f>
        <v>11</v>
      </c>
      <c r="D509" t="s">
        <v>12</v>
      </c>
      <c r="E509" t="s">
        <v>27</v>
      </c>
      <c r="F509" t="s">
        <v>22</v>
      </c>
      <c r="G509">
        <v>3.39</v>
      </c>
      <c r="H509" t="s">
        <v>28</v>
      </c>
      <c r="I509" t="s">
        <v>23</v>
      </c>
      <c r="J509" t="s">
        <v>42</v>
      </c>
      <c r="K509" t="s">
        <v>18</v>
      </c>
      <c r="L509">
        <v>9</v>
      </c>
      <c r="M509" t="s">
        <v>33</v>
      </c>
      <c r="N509">
        <v>2</v>
      </c>
    </row>
    <row r="510" spans="1:14" x14ac:dyDescent="0.35">
      <c r="A510" s="5">
        <v>45653.554166666669</v>
      </c>
      <c r="B510" s="1" t="str">
        <f>TEXT(Coffee_Sales_Dataset[[#This Row],[Date]],"ddd")</f>
        <v>Fri</v>
      </c>
      <c r="C510">
        <f>HOUR(Coffee_Sales_Dataset[[#This Row],[Date]])</f>
        <v>13</v>
      </c>
      <c r="D510" t="s">
        <v>12</v>
      </c>
      <c r="E510" t="s">
        <v>34</v>
      </c>
      <c r="F510" t="s">
        <v>22</v>
      </c>
      <c r="G510">
        <v>5.8</v>
      </c>
      <c r="H510" t="s">
        <v>28</v>
      </c>
      <c r="I510" t="s">
        <v>16</v>
      </c>
      <c r="J510" t="s">
        <v>31</v>
      </c>
      <c r="K510" t="s">
        <v>40</v>
      </c>
      <c r="L510">
        <v>4</v>
      </c>
      <c r="M510" t="s">
        <v>36</v>
      </c>
      <c r="N510">
        <v>5</v>
      </c>
    </row>
    <row r="511" spans="1:14" x14ac:dyDescent="0.35">
      <c r="A511" s="5">
        <v>45645.49722222222</v>
      </c>
      <c r="B511" s="1" t="str">
        <f>TEXT(Coffee_Sales_Dataset[[#This Row],[Date]],"ddd")</f>
        <v>Thu</v>
      </c>
      <c r="C511">
        <f>HOUR(Coffee_Sales_Dataset[[#This Row],[Date]])</f>
        <v>11</v>
      </c>
      <c r="D511" t="s">
        <v>43</v>
      </c>
      <c r="E511" t="s">
        <v>38</v>
      </c>
      <c r="F511" t="s">
        <v>22</v>
      </c>
      <c r="G511">
        <v>5.86</v>
      </c>
      <c r="H511" t="s">
        <v>15</v>
      </c>
      <c r="I511" t="s">
        <v>23</v>
      </c>
      <c r="J511" t="s">
        <v>31</v>
      </c>
      <c r="K511" t="s">
        <v>18</v>
      </c>
      <c r="L511">
        <v>6</v>
      </c>
      <c r="M511" t="s">
        <v>25</v>
      </c>
      <c r="N511">
        <v>4</v>
      </c>
    </row>
    <row r="512" spans="1:14" x14ac:dyDescent="0.35">
      <c r="A512" s="5">
        <v>45651.449305555558</v>
      </c>
      <c r="B512" s="1" t="str">
        <f>TEXT(Coffee_Sales_Dataset[[#This Row],[Date]],"ddd")</f>
        <v>Wed</v>
      </c>
      <c r="C512">
        <f>HOUR(Coffee_Sales_Dataset[[#This Row],[Date]])</f>
        <v>10</v>
      </c>
      <c r="D512" t="s">
        <v>20</v>
      </c>
      <c r="E512" t="s">
        <v>27</v>
      </c>
      <c r="F512" t="s">
        <v>35</v>
      </c>
      <c r="G512">
        <v>4.17</v>
      </c>
      <c r="H512" t="s">
        <v>15</v>
      </c>
      <c r="I512" t="s">
        <v>16</v>
      </c>
      <c r="J512" t="s">
        <v>45</v>
      </c>
      <c r="K512" t="s">
        <v>40</v>
      </c>
      <c r="L512">
        <v>2</v>
      </c>
      <c r="M512" t="s">
        <v>33</v>
      </c>
      <c r="N512">
        <v>2</v>
      </c>
    </row>
    <row r="513" spans="1:14" x14ac:dyDescent="0.35">
      <c r="A513" s="5">
        <v>45650.442361111112</v>
      </c>
      <c r="B513" s="1" t="str">
        <f>TEXT(Coffee_Sales_Dataset[[#This Row],[Date]],"ddd")</f>
        <v>Tue</v>
      </c>
      <c r="C513">
        <f>HOUR(Coffee_Sales_Dataset[[#This Row],[Date]])</f>
        <v>10</v>
      </c>
      <c r="D513" t="s">
        <v>26</v>
      </c>
      <c r="E513" t="s">
        <v>34</v>
      </c>
      <c r="F513" t="s">
        <v>22</v>
      </c>
      <c r="G513">
        <v>5.88</v>
      </c>
      <c r="H513" t="s">
        <v>28</v>
      </c>
      <c r="I513" t="s">
        <v>16</v>
      </c>
      <c r="J513" t="s">
        <v>42</v>
      </c>
      <c r="K513" t="s">
        <v>18</v>
      </c>
      <c r="L513">
        <v>4</v>
      </c>
      <c r="M513" t="s">
        <v>47</v>
      </c>
      <c r="N513">
        <v>2</v>
      </c>
    </row>
    <row r="514" spans="1:14" x14ac:dyDescent="0.35">
      <c r="A514" s="5">
        <v>45650.680555555555</v>
      </c>
      <c r="B514" s="1" t="str">
        <f>TEXT(Coffee_Sales_Dataset[[#This Row],[Date]],"ddd")</f>
        <v>Tue</v>
      </c>
      <c r="C514">
        <f>HOUR(Coffee_Sales_Dataset[[#This Row],[Date]])</f>
        <v>16</v>
      </c>
      <c r="D514" t="s">
        <v>41</v>
      </c>
      <c r="E514" t="s">
        <v>34</v>
      </c>
      <c r="F514" t="s">
        <v>22</v>
      </c>
      <c r="G514">
        <v>6.46</v>
      </c>
      <c r="H514" t="s">
        <v>15</v>
      </c>
      <c r="I514" t="s">
        <v>23</v>
      </c>
      <c r="J514" t="s">
        <v>31</v>
      </c>
      <c r="K514" t="s">
        <v>32</v>
      </c>
      <c r="L514">
        <v>4</v>
      </c>
      <c r="M514" t="s">
        <v>25</v>
      </c>
      <c r="N514">
        <v>4</v>
      </c>
    </row>
    <row r="515" spans="1:14" x14ac:dyDescent="0.35">
      <c r="A515" s="5">
        <v>45641.38958333333</v>
      </c>
      <c r="B515" s="1" t="str">
        <f>TEXT(Coffee_Sales_Dataset[[#This Row],[Date]],"ddd")</f>
        <v>Sun</v>
      </c>
      <c r="C515">
        <f>HOUR(Coffee_Sales_Dataset[[#This Row],[Date]])</f>
        <v>9</v>
      </c>
      <c r="D515" t="s">
        <v>20</v>
      </c>
      <c r="E515" t="s">
        <v>34</v>
      </c>
      <c r="F515" t="s">
        <v>14</v>
      </c>
      <c r="G515">
        <v>3.9</v>
      </c>
      <c r="H515" t="s">
        <v>15</v>
      </c>
      <c r="I515" t="s">
        <v>23</v>
      </c>
      <c r="J515" t="s">
        <v>45</v>
      </c>
      <c r="K515" t="s">
        <v>40</v>
      </c>
      <c r="L515">
        <v>7</v>
      </c>
      <c r="M515" t="s">
        <v>25</v>
      </c>
      <c r="N515">
        <v>4</v>
      </c>
    </row>
    <row r="516" spans="1:14" x14ac:dyDescent="0.35">
      <c r="A516" s="5">
        <v>45650.370138888888</v>
      </c>
      <c r="B516" s="1" t="str">
        <f>TEXT(Coffee_Sales_Dataset[[#This Row],[Date]],"ddd")</f>
        <v>Tue</v>
      </c>
      <c r="C516">
        <f>HOUR(Coffee_Sales_Dataset[[#This Row],[Date]])</f>
        <v>8</v>
      </c>
      <c r="D516" t="s">
        <v>41</v>
      </c>
      <c r="E516" t="s">
        <v>27</v>
      </c>
      <c r="F516" t="s">
        <v>35</v>
      </c>
      <c r="G516">
        <v>3.81</v>
      </c>
      <c r="H516" t="s">
        <v>28</v>
      </c>
      <c r="I516" t="s">
        <v>23</v>
      </c>
      <c r="J516" t="s">
        <v>42</v>
      </c>
      <c r="K516" t="s">
        <v>18</v>
      </c>
      <c r="L516">
        <v>3</v>
      </c>
      <c r="M516" t="s">
        <v>47</v>
      </c>
      <c r="N516">
        <v>5</v>
      </c>
    </row>
    <row r="517" spans="1:14" x14ac:dyDescent="0.35">
      <c r="A517" s="5">
        <v>45642.69027777778</v>
      </c>
      <c r="B517" s="1" t="str">
        <f>TEXT(Coffee_Sales_Dataset[[#This Row],[Date]],"ddd")</f>
        <v>Mon</v>
      </c>
      <c r="C517">
        <f>HOUR(Coffee_Sales_Dataset[[#This Row],[Date]])</f>
        <v>16</v>
      </c>
      <c r="D517" t="s">
        <v>41</v>
      </c>
      <c r="E517" t="s">
        <v>21</v>
      </c>
      <c r="F517" t="s">
        <v>14</v>
      </c>
      <c r="G517">
        <v>6.88</v>
      </c>
      <c r="H517" t="s">
        <v>30</v>
      </c>
      <c r="I517" t="s">
        <v>16</v>
      </c>
      <c r="J517" t="s">
        <v>31</v>
      </c>
      <c r="K517" t="s">
        <v>18</v>
      </c>
      <c r="L517">
        <v>5</v>
      </c>
      <c r="M517" t="s">
        <v>36</v>
      </c>
      <c r="N517">
        <v>3</v>
      </c>
    </row>
    <row r="518" spans="1:14" x14ac:dyDescent="0.35">
      <c r="A518" s="5">
        <v>45653.447222222225</v>
      </c>
      <c r="B518" s="1" t="str">
        <f>TEXT(Coffee_Sales_Dataset[[#This Row],[Date]],"ddd")</f>
        <v>Fri</v>
      </c>
      <c r="C518">
        <f>HOUR(Coffee_Sales_Dataset[[#This Row],[Date]])</f>
        <v>10</v>
      </c>
      <c r="D518" t="s">
        <v>20</v>
      </c>
      <c r="E518" t="s">
        <v>27</v>
      </c>
      <c r="F518" t="s">
        <v>35</v>
      </c>
      <c r="G518">
        <v>5.87</v>
      </c>
      <c r="H518" t="s">
        <v>30</v>
      </c>
      <c r="I518" t="s">
        <v>23</v>
      </c>
      <c r="J518" t="s">
        <v>31</v>
      </c>
      <c r="K518" t="s">
        <v>32</v>
      </c>
      <c r="L518">
        <v>10</v>
      </c>
      <c r="M518" t="s">
        <v>47</v>
      </c>
      <c r="N518">
        <v>1</v>
      </c>
    </row>
    <row r="519" spans="1:14" x14ac:dyDescent="0.35">
      <c r="A519" s="5">
        <v>45652.414583333331</v>
      </c>
      <c r="B519" s="1" t="str">
        <f>TEXT(Coffee_Sales_Dataset[[#This Row],[Date]],"ddd")</f>
        <v>Thu</v>
      </c>
      <c r="C519">
        <f>HOUR(Coffee_Sales_Dataset[[#This Row],[Date]])</f>
        <v>9</v>
      </c>
      <c r="D519" t="s">
        <v>20</v>
      </c>
      <c r="E519" t="s">
        <v>38</v>
      </c>
      <c r="F519" t="s">
        <v>22</v>
      </c>
      <c r="G519">
        <v>3.24</v>
      </c>
      <c r="H519" t="s">
        <v>30</v>
      </c>
      <c r="I519" t="s">
        <v>23</v>
      </c>
      <c r="J519" t="s">
        <v>31</v>
      </c>
      <c r="K519" t="s">
        <v>18</v>
      </c>
      <c r="L519">
        <v>9</v>
      </c>
      <c r="M519" t="s">
        <v>25</v>
      </c>
      <c r="N519">
        <v>1</v>
      </c>
    </row>
    <row r="520" spans="1:14" x14ac:dyDescent="0.35">
      <c r="A520" s="5">
        <v>45649.347222222219</v>
      </c>
      <c r="B520" s="1" t="str">
        <f>TEXT(Coffee_Sales_Dataset[[#This Row],[Date]],"ddd")</f>
        <v>Mon</v>
      </c>
      <c r="C520">
        <f>HOUR(Coffee_Sales_Dataset[[#This Row],[Date]])</f>
        <v>8</v>
      </c>
      <c r="D520" t="s">
        <v>26</v>
      </c>
      <c r="E520" t="s">
        <v>27</v>
      </c>
      <c r="F520" t="s">
        <v>22</v>
      </c>
      <c r="G520">
        <v>3.47</v>
      </c>
      <c r="H520" t="s">
        <v>30</v>
      </c>
      <c r="I520" t="s">
        <v>16</v>
      </c>
      <c r="J520" t="s">
        <v>17</v>
      </c>
      <c r="K520" t="s">
        <v>40</v>
      </c>
      <c r="L520">
        <v>10</v>
      </c>
      <c r="M520" t="s">
        <v>37</v>
      </c>
      <c r="N520">
        <v>2</v>
      </c>
    </row>
    <row r="521" spans="1:14" x14ac:dyDescent="0.35">
      <c r="A521" s="5">
        <v>45650.525000000001</v>
      </c>
      <c r="B521" s="1" t="str">
        <f>TEXT(Coffee_Sales_Dataset[[#This Row],[Date]],"ddd")</f>
        <v>Tue</v>
      </c>
      <c r="C521">
        <f>HOUR(Coffee_Sales_Dataset[[#This Row],[Date]])</f>
        <v>12</v>
      </c>
      <c r="D521" t="s">
        <v>26</v>
      </c>
      <c r="E521" t="s">
        <v>38</v>
      </c>
      <c r="F521" t="s">
        <v>22</v>
      </c>
      <c r="G521">
        <v>6.44</v>
      </c>
      <c r="H521" t="s">
        <v>30</v>
      </c>
      <c r="I521" t="s">
        <v>16</v>
      </c>
      <c r="J521" t="s">
        <v>45</v>
      </c>
      <c r="K521" t="s">
        <v>40</v>
      </c>
      <c r="L521">
        <v>9</v>
      </c>
      <c r="M521" t="s">
        <v>39</v>
      </c>
      <c r="N521">
        <v>3</v>
      </c>
    </row>
    <row r="522" spans="1:14" x14ac:dyDescent="0.35">
      <c r="A522" s="5">
        <v>45653.720138888886</v>
      </c>
      <c r="B522" s="1" t="str">
        <f>TEXT(Coffee_Sales_Dataset[[#This Row],[Date]],"ddd")</f>
        <v>Fri</v>
      </c>
      <c r="C522">
        <f>HOUR(Coffee_Sales_Dataset[[#This Row],[Date]])</f>
        <v>17</v>
      </c>
      <c r="D522" t="s">
        <v>12</v>
      </c>
      <c r="E522" t="s">
        <v>44</v>
      </c>
      <c r="F522" t="s">
        <v>14</v>
      </c>
      <c r="G522">
        <v>4.3099999999999996</v>
      </c>
      <c r="H522" t="s">
        <v>15</v>
      </c>
      <c r="I522" t="s">
        <v>16</v>
      </c>
      <c r="J522" t="s">
        <v>45</v>
      </c>
      <c r="K522" t="s">
        <v>32</v>
      </c>
      <c r="L522">
        <v>6</v>
      </c>
      <c r="M522" t="s">
        <v>33</v>
      </c>
      <c r="N522">
        <v>5</v>
      </c>
    </row>
    <row r="523" spans="1:14" x14ac:dyDescent="0.35">
      <c r="A523" s="5">
        <v>45644.529861111114</v>
      </c>
      <c r="B523" s="1" t="str">
        <f>TEXT(Coffee_Sales_Dataset[[#This Row],[Date]],"ddd")</f>
        <v>Wed</v>
      </c>
      <c r="C523">
        <f>HOUR(Coffee_Sales_Dataset[[#This Row],[Date]])</f>
        <v>12</v>
      </c>
      <c r="D523" t="s">
        <v>41</v>
      </c>
      <c r="E523" t="s">
        <v>38</v>
      </c>
      <c r="F523" t="s">
        <v>22</v>
      </c>
      <c r="G523">
        <v>5.5</v>
      </c>
      <c r="H523" t="s">
        <v>30</v>
      </c>
      <c r="I523" t="s">
        <v>23</v>
      </c>
      <c r="J523" t="s">
        <v>42</v>
      </c>
      <c r="K523" t="s">
        <v>40</v>
      </c>
      <c r="L523">
        <v>7</v>
      </c>
      <c r="M523" t="s">
        <v>37</v>
      </c>
      <c r="N523">
        <v>4</v>
      </c>
    </row>
    <row r="524" spans="1:14" x14ac:dyDescent="0.35">
      <c r="A524" s="5">
        <v>45648.419444444444</v>
      </c>
      <c r="B524" s="1" t="str">
        <f>TEXT(Coffee_Sales_Dataset[[#This Row],[Date]],"ddd")</f>
        <v>Sun</v>
      </c>
      <c r="C524">
        <f>HOUR(Coffee_Sales_Dataset[[#This Row],[Date]])</f>
        <v>10</v>
      </c>
      <c r="D524" t="s">
        <v>12</v>
      </c>
      <c r="E524" t="s">
        <v>44</v>
      </c>
      <c r="F524" t="s">
        <v>22</v>
      </c>
      <c r="G524">
        <v>3.38</v>
      </c>
      <c r="H524" t="s">
        <v>15</v>
      </c>
      <c r="I524" t="s">
        <v>16</v>
      </c>
      <c r="J524" t="s">
        <v>45</v>
      </c>
      <c r="K524" t="s">
        <v>18</v>
      </c>
      <c r="L524">
        <v>10</v>
      </c>
      <c r="M524" t="s">
        <v>33</v>
      </c>
      <c r="N524">
        <v>2</v>
      </c>
    </row>
    <row r="525" spans="1:14" x14ac:dyDescent="0.35">
      <c r="A525" s="5">
        <v>45644.408333333333</v>
      </c>
      <c r="B525" s="1" t="str">
        <f>TEXT(Coffee_Sales_Dataset[[#This Row],[Date]],"ddd")</f>
        <v>Wed</v>
      </c>
      <c r="C525">
        <f>HOUR(Coffee_Sales_Dataset[[#This Row],[Date]])</f>
        <v>9</v>
      </c>
      <c r="D525" t="s">
        <v>20</v>
      </c>
      <c r="E525" t="s">
        <v>27</v>
      </c>
      <c r="F525" t="s">
        <v>22</v>
      </c>
      <c r="G525">
        <v>5.01</v>
      </c>
      <c r="H525" t="s">
        <v>15</v>
      </c>
      <c r="I525" t="s">
        <v>16</v>
      </c>
      <c r="J525" t="s">
        <v>29</v>
      </c>
      <c r="K525" t="s">
        <v>18</v>
      </c>
      <c r="L525">
        <v>6</v>
      </c>
      <c r="M525" t="s">
        <v>37</v>
      </c>
      <c r="N525">
        <v>2</v>
      </c>
    </row>
    <row r="526" spans="1:14" x14ac:dyDescent="0.35">
      <c r="A526" s="5">
        <v>45650.430555555555</v>
      </c>
      <c r="B526" s="1" t="str">
        <f>TEXT(Coffee_Sales_Dataset[[#This Row],[Date]],"ddd")</f>
        <v>Tue</v>
      </c>
      <c r="C526">
        <f>HOUR(Coffee_Sales_Dataset[[#This Row],[Date]])</f>
        <v>10</v>
      </c>
      <c r="D526" t="s">
        <v>20</v>
      </c>
      <c r="E526" t="s">
        <v>27</v>
      </c>
      <c r="F526" t="s">
        <v>22</v>
      </c>
      <c r="G526">
        <v>6.14</v>
      </c>
      <c r="H526" t="s">
        <v>30</v>
      </c>
      <c r="I526" t="s">
        <v>23</v>
      </c>
      <c r="J526" t="s">
        <v>24</v>
      </c>
      <c r="K526" t="s">
        <v>18</v>
      </c>
      <c r="L526">
        <v>9</v>
      </c>
      <c r="M526" t="s">
        <v>19</v>
      </c>
      <c r="N526">
        <v>5</v>
      </c>
    </row>
    <row r="527" spans="1:14" x14ac:dyDescent="0.35">
      <c r="A527" s="5">
        <v>45653.509722222225</v>
      </c>
      <c r="B527" s="1" t="str">
        <f>TEXT(Coffee_Sales_Dataset[[#This Row],[Date]],"ddd")</f>
        <v>Fri</v>
      </c>
      <c r="C527">
        <f>HOUR(Coffee_Sales_Dataset[[#This Row],[Date]])</f>
        <v>12</v>
      </c>
      <c r="D527" t="s">
        <v>43</v>
      </c>
      <c r="E527" t="s">
        <v>46</v>
      </c>
      <c r="F527" t="s">
        <v>22</v>
      </c>
      <c r="G527">
        <v>4.4800000000000004</v>
      </c>
      <c r="H527" t="s">
        <v>15</v>
      </c>
      <c r="I527" t="s">
        <v>16</v>
      </c>
      <c r="J527" t="s">
        <v>45</v>
      </c>
      <c r="K527" t="s">
        <v>32</v>
      </c>
      <c r="L527">
        <v>7</v>
      </c>
      <c r="M527" t="s">
        <v>25</v>
      </c>
      <c r="N527">
        <v>3</v>
      </c>
    </row>
    <row r="528" spans="1:14" x14ac:dyDescent="0.35">
      <c r="A528" s="5">
        <v>45647.616666666669</v>
      </c>
      <c r="B528" s="1" t="str">
        <f>TEXT(Coffee_Sales_Dataset[[#This Row],[Date]],"ddd")</f>
        <v>Sat</v>
      </c>
      <c r="C528">
        <f>HOUR(Coffee_Sales_Dataset[[#This Row],[Date]])</f>
        <v>14</v>
      </c>
      <c r="D528" t="s">
        <v>12</v>
      </c>
      <c r="E528" t="s">
        <v>13</v>
      </c>
      <c r="F528" t="s">
        <v>22</v>
      </c>
      <c r="G528">
        <v>3.22</v>
      </c>
      <c r="H528" t="s">
        <v>15</v>
      </c>
      <c r="I528" t="s">
        <v>16</v>
      </c>
      <c r="J528" t="s">
        <v>45</v>
      </c>
      <c r="K528" t="s">
        <v>40</v>
      </c>
      <c r="L528">
        <v>9</v>
      </c>
      <c r="M528" t="s">
        <v>33</v>
      </c>
      <c r="N528">
        <v>3</v>
      </c>
    </row>
    <row r="529" spans="1:14" x14ac:dyDescent="0.35">
      <c r="A529" s="5">
        <v>45641.467361111114</v>
      </c>
      <c r="B529" s="1" t="str">
        <f>TEXT(Coffee_Sales_Dataset[[#This Row],[Date]],"ddd")</f>
        <v>Sun</v>
      </c>
      <c r="C529">
        <f>HOUR(Coffee_Sales_Dataset[[#This Row],[Date]])</f>
        <v>11</v>
      </c>
      <c r="D529" t="s">
        <v>43</v>
      </c>
      <c r="E529" t="s">
        <v>34</v>
      </c>
      <c r="F529" t="s">
        <v>22</v>
      </c>
      <c r="G529">
        <v>3.09</v>
      </c>
      <c r="H529" t="s">
        <v>15</v>
      </c>
      <c r="I529" t="s">
        <v>16</v>
      </c>
      <c r="J529" t="s">
        <v>24</v>
      </c>
      <c r="K529" t="s">
        <v>18</v>
      </c>
      <c r="L529">
        <v>10</v>
      </c>
      <c r="M529" t="s">
        <v>19</v>
      </c>
      <c r="N529">
        <v>2</v>
      </c>
    </row>
    <row r="530" spans="1:14" x14ac:dyDescent="0.35">
      <c r="A530" s="5">
        <v>45653.730555555558</v>
      </c>
      <c r="B530" s="1" t="str">
        <f>TEXT(Coffee_Sales_Dataset[[#This Row],[Date]],"ddd")</f>
        <v>Fri</v>
      </c>
      <c r="C530">
        <f>HOUR(Coffee_Sales_Dataset[[#This Row],[Date]])</f>
        <v>17</v>
      </c>
      <c r="D530" t="s">
        <v>12</v>
      </c>
      <c r="E530" t="s">
        <v>21</v>
      </c>
      <c r="F530" t="s">
        <v>22</v>
      </c>
      <c r="G530">
        <v>3.43</v>
      </c>
      <c r="H530" t="s">
        <v>30</v>
      </c>
      <c r="I530" t="s">
        <v>23</v>
      </c>
      <c r="J530" t="s">
        <v>24</v>
      </c>
      <c r="K530" t="s">
        <v>18</v>
      </c>
      <c r="L530">
        <v>9</v>
      </c>
      <c r="M530" t="s">
        <v>19</v>
      </c>
      <c r="N530">
        <v>5</v>
      </c>
    </row>
    <row r="531" spans="1:14" x14ac:dyDescent="0.35">
      <c r="A531" s="5">
        <v>45648.367361111108</v>
      </c>
      <c r="B531" s="1" t="str">
        <f>TEXT(Coffee_Sales_Dataset[[#This Row],[Date]],"ddd")</f>
        <v>Sun</v>
      </c>
      <c r="C531">
        <f>HOUR(Coffee_Sales_Dataset[[#This Row],[Date]])</f>
        <v>8</v>
      </c>
      <c r="D531" t="s">
        <v>12</v>
      </c>
      <c r="E531" t="s">
        <v>44</v>
      </c>
      <c r="F531" t="s">
        <v>35</v>
      </c>
      <c r="G531">
        <v>4.95</v>
      </c>
      <c r="H531" t="s">
        <v>15</v>
      </c>
      <c r="I531" t="s">
        <v>16</v>
      </c>
      <c r="J531" t="s">
        <v>29</v>
      </c>
      <c r="K531" t="s">
        <v>40</v>
      </c>
      <c r="L531">
        <v>2</v>
      </c>
      <c r="M531" t="s">
        <v>19</v>
      </c>
      <c r="N531">
        <v>3</v>
      </c>
    </row>
    <row r="532" spans="1:14" x14ac:dyDescent="0.35">
      <c r="A532" s="5">
        <v>45645.561111111114</v>
      </c>
      <c r="B532" s="1" t="str">
        <f>TEXT(Coffee_Sales_Dataset[[#This Row],[Date]],"ddd")</f>
        <v>Thu</v>
      </c>
      <c r="C532">
        <f>HOUR(Coffee_Sales_Dataset[[#This Row],[Date]])</f>
        <v>13</v>
      </c>
      <c r="D532" t="s">
        <v>43</v>
      </c>
      <c r="E532" t="s">
        <v>13</v>
      </c>
      <c r="F532" t="s">
        <v>22</v>
      </c>
      <c r="G532">
        <v>3.54</v>
      </c>
      <c r="H532" t="s">
        <v>28</v>
      </c>
      <c r="I532" t="s">
        <v>23</v>
      </c>
      <c r="J532" t="s">
        <v>24</v>
      </c>
      <c r="K532" t="s">
        <v>18</v>
      </c>
      <c r="L532">
        <v>8</v>
      </c>
      <c r="M532" t="s">
        <v>33</v>
      </c>
      <c r="N532">
        <v>2</v>
      </c>
    </row>
    <row r="533" spans="1:14" x14ac:dyDescent="0.35">
      <c r="A533" s="5">
        <v>45654.72152777778</v>
      </c>
      <c r="B533" s="1" t="str">
        <f>TEXT(Coffee_Sales_Dataset[[#This Row],[Date]],"ddd")</f>
        <v>Sat</v>
      </c>
      <c r="C533">
        <f>HOUR(Coffee_Sales_Dataset[[#This Row],[Date]])</f>
        <v>17</v>
      </c>
      <c r="D533" t="s">
        <v>41</v>
      </c>
      <c r="E533" t="s">
        <v>27</v>
      </c>
      <c r="F533" t="s">
        <v>35</v>
      </c>
      <c r="G533">
        <v>3.35</v>
      </c>
      <c r="H533" t="s">
        <v>30</v>
      </c>
      <c r="I533" t="s">
        <v>16</v>
      </c>
      <c r="J533" t="s">
        <v>31</v>
      </c>
      <c r="K533" t="s">
        <v>18</v>
      </c>
      <c r="L533">
        <v>6</v>
      </c>
      <c r="M533" t="s">
        <v>37</v>
      </c>
      <c r="N533">
        <v>5</v>
      </c>
    </row>
    <row r="534" spans="1:14" x14ac:dyDescent="0.35">
      <c r="A534" s="5">
        <v>45654.338888888888</v>
      </c>
      <c r="B534" s="1" t="str">
        <f>TEXT(Coffee_Sales_Dataset[[#This Row],[Date]],"ddd")</f>
        <v>Sat</v>
      </c>
      <c r="C534">
        <f>HOUR(Coffee_Sales_Dataset[[#This Row],[Date]])</f>
        <v>8</v>
      </c>
      <c r="D534" t="s">
        <v>26</v>
      </c>
      <c r="E534" t="s">
        <v>21</v>
      </c>
      <c r="F534" t="s">
        <v>35</v>
      </c>
      <c r="G534">
        <v>5.85</v>
      </c>
      <c r="H534" t="s">
        <v>15</v>
      </c>
      <c r="I534" t="s">
        <v>16</v>
      </c>
      <c r="J534" t="s">
        <v>42</v>
      </c>
      <c r="K534" t="s">
        <v>18</v>
      </c>
      <c r="L534">
        <v>5</v>
      </c>
      <c r="M534" t="s">
        <v>36</v>
      </c>
      <c r="N534">
        <v>3</v>
      </c>
    </row>
    <row r="535" spans="1:14" x14ac:dyDescent="0.35">
      <c r="A535" s="5">
        <v>45648.640972222223</v>
      </c>
      <c r="B535" s="1" t="str">
        <f>TEXT(Coffee_Sales_Dataset[[#This Row],[Date]],"ddd")</f>
        <v>Sun</v>
      </c>
      <c r="C535">
        <f>HOUR(Coffee_Sales_Dataset[[#This Row],[Date]])</f>
        <v>15</v>
      </c>
      <c r="D535" t="s">
        <v>43</v>
      </c>
      <c r="E535" t="s">
        <v>27</v>
      </c>
      <c r="F535" t="s">
        <v>35</v>
      </c>
      <c r="G535">
        <v>6.89</v>
      </c>
      <c r="H535" t="s">
        <v>15</v>
      </c>
      <c r="I535" t="s">
        <v>16</v>
      </c>
      <c r="J535" t="s">
        <v>31</v>
      </c>
      <c r="K535" t="s">
        <v>18</v>
      </c>
      <c r="L535">
        <v>2</v>
      </c>
      <c r="M535" t="s">
        <v>36</v>
      </c>
      <c r="N535">
        <v>1</v>
      </c>
    </row>
    <row r="536" spans="1:14" x14ac:dyDescent="0.35">
      <c r="A536" s="5">
        <v>45651.600694444445</v>
      </c>
      <c r="B536" s="1" t="str">
        <f>TEXT(Coffee_Sales_Dataset[[#This Row],[Date]],"ddd")</f>
        <v>Wed</v>
      </c>
      <c r="C536">
        <f>HOUR(Coffee_Sales_Dataset[[#This Row],[Date]])</f>
        <v>14</v>
      </c>
      <c r="D536" t="s">
        <v>12</v>
      </c>
      <c r="E536" t="s">
        <v>21</v>
      </c>
      <c r="F536" t="s">
        <v>14</v>
      </c>
      <c r="G536">
        <v>6.33</v>
      </c>
      <c r="H536" t="s">
        <v>30</v>
      </c>
      <c r="I536" t="s">
        <v>16</v>
      </c>
      <c r="J536" t="s">
        <v>29</v>
      </c>
      <c r="K536" t="s">
        <v>18</v>
      </c>
      <c r="L536">
        <v>8</v>
      </c>
      <c r="M536" t="s">
        <v>39</v>
      </c>
      <c r="N536">
        <v>5</v>
      </c>
    </row>
    <row r="537" spans="1:14" x14ac:dyDescent="0.35">
      <c r="A537" s="5">
        <v>45654.576388888891</v>
      </c>
      <c r="B537" s="1" t="str">
        <f>TEXT(Coffee_Sales_Dataset[[#This Row],[Date]],"ddd")</f>
        <v>Sat</v>
      </c>
      <c r="C537">
        <f>HOUR(Coffee_Sales_Dataset[[#This Row],[Date]])</f>
        <v>13</v>
      </c>
      <c r="D537" t="s">
        <v>41</v>
      </c>
      <c r="E537" t="s">
        <v>46</v>
      </c>
      <c r="F537" t="s">
        <v>22</v>
      </c>
      <c r="G537">
        <v>5.3</v>
      </c>
      <c r="H537" t="s">
        <v>28</v>
      </c>
      <c r="I537" t="s">
        <v>23</v>
      </c>
      <c r="J537" t="s">
        <v>45</v>
      </c>
      <c r="K537" t="s">
        <v>40</v>
      </c>
      <c r="L537">
        <v>3</v>
      </c>
      <c r="M537" t="s">
        <v>37</v>
      </c>
      <c r="N537">
        <v>1</v>
      </c>
    </row>
    <row r="538" spans="1:14" x14ac:dyDescent="0.35">
      <c r="A538" s="5">
        <v>45649.70416666667</v>
      </c>
      <c r="B538" s="1" t="str">
        <f>TEXT(Coffee_Sales_Dataset[[#This Row],[Date]],"ddd")</f>
        <v>Mon</v>
      </c>
      <c r="C538">
        <f>HOUR(Coffee_Sales_Dataset[[#This Row],[Date]])</f>
        <v>16</v>
      </c>
      <c r="D538" t="s">
        <v>26</v>
      </c>
      <c r="E538" t="s">
        <v>38</v>
      </c>
      <c r="F538" t="s">
        <v>22</v>
      </c>
      <c r="G538">
        <v>5.44</v>
      </c>
      <c r="H538" t="s">
        <v>30</v>
      </c>
      <c r="I538" t="s">
        <v>23</v>
      </c>
      <c r="J538" t="s">
        <v>45</v>
      </c>
      <c r="K538" t="s">
        <v>32</v>
      </c>
      <c r="L538">
        <v>6</v>
      </c>
      <c r="M538" t="s">
        <v>25</v>
      </c>
      <c r="N538">
        <v>4</v>
      </c>
    </row>
    <row r="539" spans="1:14" x14ac:dyDescent="0.35">
      <c r="A539" s="5">
        <v>45655.445138888892</v>
      </c>
      <c r="B539" s="1" t="str">
        <f>TEXT(Coffee_Sales_Dataset[[#This Row],[Date]],"ddd")</f>
        <v>Sun</v>
      </c>
      <c r="C539">
        <f>HOUR(Coffee_Sales_Dataset[[#This Row],[Date]])</f>
        <v>10</v>
      </c>
      <c r="D539" t="s">
        <v>43</v>
      </c>
      <c r="E539" t="s">
        <v>13</v>
      </c>
      <c r="F539" t="s">
        <v>14</v>
      </c>
      <c r="G539">
        <v>5.59</v>
      </c>
      <c r="H539" t="s">
        <v>15</v>
      </c>
      <c r="I539" t="s">
        <v>16</v>
      </c>
      <c r="J539" t="s">
        <v>31</v>
      </c>
      <c r="K539" t="s">
        <v>18</v>
      </c>
      <c r="L539">
        <v>8</v>
      </c>
      <c r="M539" t="s">
        <v>39</v>
      </c>
      <c r="N539">
        <v>4</v>
      </c>
    </row>
    <row r="540" spans="1:14" x14ac:dyDescent="0.35">
      <c r="A540" s="5">
        <v>45650.36041666667</v>
      </c>
      <c r="B540" s="1" t="str">
        <f>TEXT(Coffee_Sales_Dataset[[#This Row],[Date]],"ddd")</f>
        <v>Tue</v>
      </c>
      <c r="C540">
        <f>HOUR(Coffee_Sales_Dataset[[#This Row],[Date]])</f>
        <v>8</v>
      </c>
      <c r="D540" t="s">
        <v>12</v>
      </c>
      <c r="E540" t="s">
        <v>13</v>
      </c>
      <c r="F540" t="s">
        <v>14</v>
      </c>
      <c r="G540">
        <v>3.9</v>
      </c>
      <c r="H540" t="s">
        <v>15</v>
      </c>
      <c r="I540" t="s">
        <v>23</v>
      </c>
      <c r="J540" t="s">
        <v>24</v>
      </c>
      <c r="K540" t="s">
        <v>40</v>
      </c>
      <c r="L540">
        <v>7</v>
      </c>
      <c r="M540" t="s">
        <v>37</v>
      </c>
      <c r="N540">
        <v>4</v>
      </c>
    </row>
    <row r="541" spans="1:14" x14ac:dyDescent="0.35">
      <c r="A541" s="5">
        <v>45651.492361111108</v>
      </c>
      <c r="B541" s="1" t="str">
        <f>TEXT(Coffee_Sales_Dataset[[#This Row],[Date]],"ddd")</f>
        <v>Wed</v>
      </c>
      <c r="C541">
        <f>HOUR(Coffee_Sales_Dataset[[#This Row],[Date]])</f>
        <v>11</v>
      </c>
      <c r="D541" t="s">
        <v>41</v>
      </c>
      <c r="E541" t="s">
        <v>34</v>
      </c>
      <c r="F541" t="s">
        <v>35</v>
      </c>
      <c r="G541">
        <v>6.47</v>
      </c>
      <c r="H541" t="s">
        <v>30</v>
      </c>
      <c r="I541" t="s">
        <v>23</v>
      </c>
      <c r="J541" t="s">
        <v>17</v>
      </c>
      <c r="K541" t="s">
        <v>40</v>
      </c>
      <c r="L541">
        <v>6</v>
      </c>
      <c r="M541" t="s">
        <v>36</v>
      </c>
      <c r="N541">
        <v>1</v>
      </c>
    </row>
    <row r="542" spans="1:14" x14ac:dyDescent="0.35">
      <c r="A542" s="5">
        <v>45641.745833333334</v>
      </c>
      <c r="B542" s="1" t="str">
        <f>TEXT(Coffee_Sales_Dataset[[#This Row],[Date]],"ddd")</f>
        <v>Sun</v>
      </c>
      <c r="C542">
        <f>HOUR(Coffee_Sales_Dataset[[#This Row],[Date]])</f>
        <v>17</v>
      </c>
      <c r="D542" t="s">
        <v>26</v>
      </c>
      <c r="E542" t="s">
        <v>21</v>
      </c>
      <c r="F542" t="s">
        <v>14</v>
      </c>
      <c r="G542">
        <v>5.16</v>
      </c>
      <c r="H542" t="s">
        <v>30</v>
      </c>
      <c r="I542" t="s">
        <v>16</v>
      </c>
      <c r="J542" t="s">
        <v>24</v>
      </c>
      <c r="K542" t="s">
        <v>40</v>
      </c>
      <c r="L542">
        <v>5</v>
      </c>
      <c r="M542" t="s">
        <v>36</v>
      </c>
      <c r="N542">
        <v>3</v>
      </c>
    </row>
    <row r="543" spans="1:14" x14ac:dyDescent="0.35">
      <c r="A543" s="5">
        <v>45643.509722222225</v>
      </c>
      <c r="B543" s="1" t="str">
        <f>TEXT(Coffee_Sales_Dataset[[#This Row],[Date]],"ddd")</f>
        <v>Tue</v>
      </c>
      <c r="C543">
        <f>HOUR(Coffee_Sales_Dataset[[#This Row],[Date]])</f>
        <v>12</v>
      </c>
      <c r="D543" t="s">
        <v>20</v>
      </c>
      <c r="E543" t="s">
        <v>21</v>
      </c>
      <c r="F543" t="s">
        <v>22</v>
      </c>
      <c r="G543">
        <v>3.11</v>
      </c>
      <c r="H543" t="s">
        <v>15</v>
      </c>
      <c r="I543" t="s">
        <v>23</v>
      </c>
      <c r="J543" t="s">
        <v>42</v>
      </c>
      <c r="K543" t="s">
        <v>40</v>
      </c>
      <c r="L543">
        <v>9</v>
      </c>
      <c r="M543" t="s">
        <v>33</v>
      </c>
      <c r="N543">
        <v>2</v>
      </c>
    </row>
    <row r="544" spans="1:14" x14ac:dyDescent="0.35">
      <c r="A544" s="5">
        <v>45647.644444444442</v>
      </c>
      <c r="B544" s="1" t="str">
        <f>TEXT(Coffee_Sales_Dataset[[#This Row],[Date]],"ddd")</f>
        <v>Sat</v>
      </c>
      <c r="C544">
        <f>HOUR(Coffee_Sales_Dataset[[#This Row],[Date]])</f>
        <v>15</v>
      </c>
      <c r="D544" t="s">
        <v>12</v>
      </c>
      <c r="E544" t="s">
        <v>27</v>
      </c>
      <c r="F544" t="s">
        <v>14</v>
      </c>
      <c r="G544">
        <v>6.08</v>
      </c>
      <c r="H544" t="s">
        <v>28</v>
      </c>
      <c r="I544" t="s">
        <v>23</v>
      </c>
      <c r="J544" t="s">
        <v>29</v>
      </c>
      <c r="K544" t="s">
        <v>40</v>
      </c>
      <c r="L544">
        <v>10</v>
      </c>
      <c r="M544" t="s">
        <v>37</v>
      </c>
      <c r="N544">
        <v>5</v>
      </c>
    </row>
    <row r="545" spans="1:14" x14ac:dyDescent="0.35">
      <c r="A545" s="5">
        <v>45642.463194444441</v>
      </c>
      <c r="B545" s="1" t="str">
        <f>TEXT(Coffee_Sales_Dataset[[#This Row],[Date]],"ddd")</f>
        <v>Mon</v>
      </c>
      <c r="C545">
        <f>HOUR(Coffee_Sales_Dataset[[#This Row],[Date]])</f>
        <v>11</v>
      </c>
      <c r="D545" t="s">
        <v>12</v>
      </c>
      <c r="E545" t="s">
        <v>44</v>
      </c>
      <c r="F545" t="s">
        <v>35</v>
      </c>
      <c r="G545">
        <v>4.43</v>
      </c>
      <c r="H545" t="s">
        <v>15</v>
      </c>
      <c r="I545" t="s">
        <v>16</v>
      </c>
      <c r="J545" t="s">
        <v>17</v>
      </c>
      <c r="K545" t="s">
        <v>40</v>
      </c>
      <c r="L545">
        <v>3</v>
      </c>
      <c r="M545" t="s">
        <v>33</v>
      </c>
      <c r="N545">
        <v>5</v>
      </c>
    </row>
    <row r="546" spans="1:14" x14ac:dyDescent="0.35">
      <c r="A546" s="5">
        <v>45646.522222222222</v>
      </c>
      <c r="B546" s="1" t="str">
        <f>TEXT(Coffee_Sales_Dataset[[#This Row],[Date]],"ddd")</f>
        <v>Fri</v>
      </c>
      <c r="C546">
        <f>HOUR(Coffee_Sales_Dataset[[#This Row],[Date]])</f>
        <v>12</v>
      </c>
      <c r="D546" t="s">
        <v>26</v>
      </c>
      <c r="E546" t="s">
        <v>46</v>
      </c>
      <c r="F546" t="s">
        <v>14</v>
      </c>
      <c r="G546">
        <v>3.03</v>
      </c>
      <c r="H546" t="s">
        <v>15</v>
      </c>
      <c r="I546" t="s">
        <v>16</v>
      </c>
      <c r="J546" t="s">
        <v>29</v>
      </c>
      <c r="K546" t="s">
        <v>32</v>
      </c>
      <c r="L546">
        <v>7</v>
      </c>
      <c r="M546" t="s">
        <v>47</v>
      </c>
      <c r="N546">
        <v>1</v>
      </c>
    </row>
    <row r="547" spans="1:14" x14ac:dyDescent="0.35">
      <c r="A547" s="5">
        <v>45647.509722222225</v>
      </c>
      <c r="B547" s="1" t="str">
        <f>TEXT(Coffee_Sales_Dataset[[#This Row],[Date]],"ddd")</f>
        <v>Sat</v>
      </c>
      <c r="C547">
        <f>HOUR(Coffee_Sales_Dataset[[#This Row],[Date]])</f>
        <v>12</v>
      </c>
      <c r="D547" t="s">
        <v>26</v>
      </c>
      <c r="E547" t="s">
        <v>44</v>
      </c>
      <c r="F547" t="s">
        <v>35</v>
      </c>
      <c r="G547">
        <v>6.24</v>
      </c>
      <c r="H547" t="s">
        <v>15</v>
      </c>
      <c r="I547" t="s">
        <v>23</v>
      </c>
      <c r="J547" t="s">
        <v>24</v>
      </c>
      <c r="K547" t="s">
        <v>18</v>
      </c>
      <c r="L547">
        <v>7</v>
      </c>
      <c r="M547" t="s">
        <v>39</v>
      </c>
      <c r="N547">
        <v>2</v>
      </c>
    </row>
    <row r="548" spans="1:14" x14ac:dyDescent="0.35">
      <c r="A548" s="5">
        <v>45654.441666666666</v>
      </c>
      <c r="B548" s="1" t="str">
        <f>TEXT(Coffee_Sales_Dataset[[#This Row],[Date]],"ddd")</f>
        <v>Sat</v>
      </c>
      <c r="C548">
        <f>HOUR(Coffee_Sales_Dataset[[#This Row],[Date]])</f>
        <v>10</v>
      </c>
      <c r="D548" t="s">
        <v>26</v>
      </c>
      <c r="E548" t="s">
        <v>27</v>
      </c>
      <c r="F548" t="s">
        <v>35</v>
      </c>
      <c r="G548">
        <v>3.62</v>
      </c>
      <c r="H548" t="s">
        <v>28</v>
      </c>
      <c r="I548" t="s">
        <v>16</v>
      </c>
      <c r="J548" t="s">
        <v>29</v>
      </c>
      <c r="K548" t="s">
        <v>40</v>
      </c>
      <c r="L548">
        <v>5</v>
      </c>
      <c r="M548" t="s">
        <v>33</v>
      </c>
      <c r="N548">
        <v>3</v>
      </c>
    </row>
    <row r="549" spans="1:14" x14ac:dyDescent="0.35">
      <c r="A549" s="5">
        <v>45646.619444444441</v>
      </c>
      <c r="B549" s="1" t="str">
        <f>TEXT(Coffee_Sales_Dataset[[#This Row],[Date]],"ddd")</f>
        <v>Fri</v>
      </c>
      <c r="C549">
        <f>HOUR(Coffee_Sales_Dataset[[#This Row],[Date]])</f>
        <v>14</v>
      </c>
      <c r="D549" t="s">
        <v>20</v>
      </c>
      <c r="E549" t="s">
        <v>46</v>
      </c>
      <c r="F549" t="s">
        <v>14</v>
      </c>
      <c r="G549">
        <v>3.7</v>
      </c>
      <c r="H549" t="s">
        <v>28</v>
      </c>
      <c r="I549" t="s">
        <v>23</v>
      </c>
      <c r="J549" t="s">
        <v>45</v>
      </c>
      <c r="K549" t="s">
        <v>18</v>
      </c>
      <c r="L549">
        <v>4</v>
      </c>
      <c r="M549" t="s">
        <v>47</v>
      </c>
      <c r="N549">
        <v>1</v>
      </c>
    </row>
    <row r="550" spans="1:14" x14ac:dyDescent="0.35">
      <c r="A550" s="5">
        <v>45653.354861111111</v>
      </c>
      <c r="B550" s="1" t="str">
        <f>TEXT(Coffee_Sales_Dataset[[#This Row],[Date]],"ddd")</f>
        <v>Fri</v>
      </c>
      <c r="C550">
        <f>HOUR(Coffee_Sales_Dataset[[#This Row],[Date]])</f>
        <v>8</v>
      </c>
      <c r="D550" t="s">
        <v>20</v>
      </c>
      <c r="E550" t="s">
        <v>34</v>
      </c>
      <c r="F550" t="s">
        <v>22</v>
      </c>
      <c r="G550">
        <v>5.5</v>
      </c>
      <c r="H550" t="s">
        <v>15</v>
      </c>
      <c r="I550" t="s">
        <v>16</v>
      </c>
      <c r="J550" t="s">
        <v>29</v>
      </c>
      <c r="K550" t="s">
        <v>40</v>
      </c>
      <c r="L550">
        <v>7</v>
      </c>
      <c r="M550" t="s">
        <v>39</v>
      </c>
      <c r="N550">
        <v>4</v>
      </c>
    </row>
    <row r="551" spans="1:14" x14ac:dyDescent="0.35">
      <c r="A551" s="5">
        <v>45641.456944444442</v>
      </c>
      <c r="B551" s="1" t="str">
        <f>TEXT(Coffee_Sales_Dataset[[#This Row],[Date]],"ddd")</f>
        <v>Sun</v>
      </c>
      <c r="C551">
        <f>HOUR(Coffee_Sales_Dataset[[#This Row],[Date]])</f>
        <v>10</v>
      </c>
      <c r="D551" t="s">
        <v>12</v>
      </c>
      <c r="E551" t="s">
        <v>13</v>
      </c>
      <c r="F551" t="s">
        <v>35</v>
      </c>
      <c r="G551">
        <v>4.51</v>
      </c>
      <c r="H551" t="s">
        <v>28</v>
      </c>
      <c r="I551" t="s">
        <v>23</v>
      </c>
      <c r="J551" t="s">
        <v>17</v>
      </c>
      <c r="K551" t="s">
        <v>40</v>
      </c>
      <c r="L551">
        <v>2</v>
      </c>
      <c r="M551" t="s">
        <v>47</v>
      </c>
      <c r="N551">
        <v>2</v>
      </c>
    </row>
    <row r="552" spans="1:14" x14ac:dyDescent="0.35">
      <c r="A552" s="5">
        <v>45642.379861111112</v>
      </c>
      <c r="B552" s="1" t="str">
        <f>TEXT(Coffee_Sales_Dataset[[#This Row],[Date]],"ddd")</f>
        <v>Mon</v>
      </c>
      <c r="C552">
        <f>HOUR(Coffee_Sales_Dataset[[#This Row],[Date]])</f>
        <v>9</v>
      </c>
      <c r="D552" t="s">
        <v>12</v>
      </c>
      <c r="E552" t="s">
        <v>46</v>
      </c>
      <c r="F552" t="s">
        <v>22</v>
      </c>
      <c r="G552">
        <v>6.42</v>
      </c>
      <c r="H552" t="s">
        <v>28</v>
      </c>
      <c r="I552" t="s">
        <v>16</v>
      </c>
      <c r="J552" t="s">
        <v>17</v>
      </c>
      <c r="K552" t="s">
        <v>18</v>
      </c>
      <c r="L552">
        <v>2</v>
      </c>
      <c r="M552" t="s">
        <v>47</v>
      </c>
      <c r="N552">
        <v>4</v>
      </c>
    </row>
    <row r="553" spans="1:14" x14ac:dyDescent="0.35">
      <c r="A553" s="5">
        <v>45648.505555555559</v>
      </c>
      <c r="B553" s="1" t="str">
        <f>TEXT(Coffee_Sales_Dataset[[#This Row],[Date]],"ddd")</f>
        <v>Sun</v>
      </c>
      <c r="C553">
        <f>HOUR(Coffee_Sales_Dataset[[#This Row],[Date]])</f>
        <v>12</v>
      </c>
      <c r="D553" t="s">
        <v>43</v>
      </c>
      <c r="E553" t="s">
        <v>44</v>
      </c>
      <c r="F553" t="s">
        <v>35</v>
      </c>
      <c r="G553">
        <v>4.46</v>
      </c>
      <c r="H553" t="s">
        <v>28</v>
      </c>
      <c r="I553" t="s">
        <v>23</v>
      </c>
      <c r="J553" t="s">
        <v>42</v>
      </c>
      <c r="K553" t="s">
        <v>32</v>
      </c>
      <c r="L553">
        <v>5</v>
      </c>
      <c r="M553" t="s">
        <v>36</v>
      </c>
      <c r="N553">
        <v>2</v>
      </c>
    </row>
    <row r="554" spans="1:14" x14ac:dyDescent="0.35">
      <c r="A554" s="5">
        <v>45649.426388888889</v>
      </c>
      <c r="B554" s="1" t="str">
        <f>TEXT(Coffee_Sales_Dataset[[#This Row],[Date]],"ddd")</f>
        <v>Mon</v>
      </c>
      <c r="C554">
        <f>HOUR(Coffee_Sales_Dataset[[#This Row],[Date]])</f>
        <v>10</v>
      </c>
      <c r="D554" t="s">
        <v>26</v>
      </c>
      <c r="E554" t="s">
        <v>44</v>
      </c>
      <c r="F554" t="s">
        <v>14</v>
      </c>
      <c r="G554">
        <v>5.87</v>
      </c>
      <c r="H554" t="s">
        <v>15</v>
      </c>
      <c r="I554" t="s">
        <v>23</v>
      </c>
      <c r="J554" t="s">
        <v>17</v>
      </c>
      <c r="K554" t="s">
        <v>40</v>
      </c>
      <c r="L554">
        <v>6</v>
      </c>
      <c r="M554" t="s">
        <v>36</v>
      </c>
      <c r="N554">
        <v>3</v>
      </c>
    </row>
    <row r="555" spans="1:14" x14ac:dyDescent="0.35">
      <c r="A555" s="5">
        <v>45646.654166666667</v>
      </c>
      <c r="B555" s="1" t="str">
        <f>TEXT(Coffee_Sales_Dataset[[#This Row],[Date]],"ddd")</f>
        <v>Fri</v>
      </c>
      <c r="C555">
        <f>HOUR(Coffee_Sales_Dataset[[#This Row],[Date]])</f>
        <v>15</v>
      </c>
      <c r="D555" t="s">
        <v>41</v>
      </c>
      <c r="E555" t="s">
        <v>38</v>
      </c>
      <c r="F555" t="s">
        <v>35</v>
      </c>
      <c r="G555">
        <v>5.31</v>
      </c>
      <c r="H555" t="s">
        <v>15</v>
      </c>
      <c r="I555" t="s">
        <v>23</v>
      </c>
      <c r="J555" t="s">
        <v>24</v>
      </c>
      <c r="K555" t="s">
        <v>32</v>
      </c>
      <c r="L555">
        <v>7</v>
      </c>
      <c r="M555" t="s">
        <v>19</v>
      </c>
      <c r="N555">
        <v>2</v>
      </c>
    </row>
    <row r="556" spans="1:14" x14ac:dyDescent="0.35">
      <c r="A556" s="5">
        <v>45650.365972222222</v>
      </c>
      <c r="B556" s="1" t="str">
        <f>TEXT(Coffee_Sales_Dataset[[#This Row],[Date]],"ddd")</f>
        <v>Tue</v>
      </c>
      <c r="C556">
        <f>HOUR(Coffee_Sales_Dataset[[#This Row],[Date]])</f>
        <v>8</v>
      </c>
      <c r="D556" t="s">
        <v>12</v>
      </c>
      <c r="E556" t="s">
        <v>44</v>
      </c>
      <c r="F556" t="s">
        <v>14</v>
      </c>
      <c r="G556">
        <v>6.18</v>
      </c>
      <c r="H556" t="s">
        <v>30</v>
      </c>
      <c r="I556" t="s">
        <v>23</v>
      </c>
      <c r="J556" t="s">
        <v>17</v>
      </c>
      <c r="K556" t="s">
        <v>18</v>
      </c>
      <c r="L556">
        <v>2</v>
      </c>
      <c r="M556" t="s">
        <v>33</v>
      </c>
      <c r="N556">
        <v>2</v>
      </c>
    </row>
    <row r="557" spans="1:14" x14ac:dyDescent="0.35">
      <c r="A557" s="5">
        <v>45643.541666666664</v>
      </c>
      <c r="B557" s="1" t="str">
        <f>TEXT(Coffee_Sales_Dataset[[#This Row],[Date]],"ddd")</f>
        <v>Tue</v>
      </c>
      <c r="C557">
        <f>HOUR(Coffee_Sales_Dataset[[#This Row],[Date]])</f>
        <v>13</v>
      </c>
      <c r="D557" t="s">
        <v>41</v>
      </c>
      <c r="E557" t="s">
        <v>46</v>
      </c>
      <c r="F557" t="s">
        <v>22</v>
      </c>
      <c r="G557">
        <v>6.43</v>
      </c>
      <c r="H557" t="s">
        <v>30</v>
      </c>
      <c r="I557" t="s">
        <v>16</v>
      </c>
      <c r="J557" t="s">
        <v>42</v>
      </c>
      <c r="K557" t="s">
        <v>40</v>
      </c>
      <c r="L557">
        <v>9</v>
      </c>
      <c r="M557" t="s">
        <v>37</v>
      </c>
      <c r="N557">
        <v>3</v>
      </c>
    </row>
    <row r="558" spans="1:14" x14ac:dyDescent="0.35">
      <c r="A558" s="5">
        <v>45649.407638888886</v>
      </c>
      <c r="B558" s="1" t="str">
        <f>TEXT(Coffee_Sales_Dataset[[#This Row],[Date]],"ddd")</f>
        <v>Mon</v>
      </c>
      <c r="C558">
        <f>HOUR(Coffee_Sales_Dataset[[#This Row],[Date]])</f>
        <v>9</v>
      </c>
      <c r="D558" t="s">
        <v>43</v>
      </c>
      <c r="E558" t="s">
        <v>44</v>
      </c>
      <c r="F558" t="s">
        <v>35</v>
      </c>
      <c r="G558">
        <v>6.7</v>
      </c>
      <c r="H558" t="s">
        <v>15</v>
      </c>
      <c r="I558" t="s">
        <v>23</v>
      </c>
      <c r="J558" t="s">
        <v>24</v>
      </c>
      <c r="K558" t="s">
        <v>32</v>
      </c>
      <c r="L558">
        <v>9</v>
      </c>
      <c r="M558" t="s">
        <v>33</v>
      </c>
      <c r="N558">
        <v>5</v>
      </c>
    </row>
    <row r="559" spans="1:14" x14ac:dyDescent="0.35">
      <c r="A559" s="5">
        <v>45648.404166666667</v>
      </c>
      <c r="B559" s="1" t="str">
        <f>TEXT(Coffee_Sales_Dataset[[#This Row],[Date]],"ddd")</f>
        <v>Sun</v>
      </c>
      <c r="C559">
        <f>HOUR(Coffee_Sales_Dataset[[#This Row],[Date]])</f>
        <v>9</v>
      </c>
      <c r="D559" t="s">
        <v>43</v>
      </c>
      <c r="E559" t="s">
        <v>21</v>
      </c>
      <c r="F559" t="s">
        <v>35</v>
      </c>
      <c r="G559">
        <v>4.05</v>
      </c>
      <c r="H559" t="s">
        <v>15</v>
      </c>
      <c r="I559" t="s">
        <v>16</v>
      </c>
      <c r="J559" t="s">
        <v>45</v>
      </c>
      <c r="K559" t="s">
        <v>40</v>
      </c>
      <c r="L559">
        <v>10</v>
      </c>
      <c r="M559" t="s">
        <v>36</v>
      </c>
      <c r="N559">
        <v>1</v>
      </c>
    </row>
    <row r="560" spans="1:14" x14ac:dyDescent="0.35">
      <c r="A560" s="5">
        <v>45644.661805555559</v>
      </c>
      <c r="B560" s="1" t="str">
        <f>TEXT(Coffee_Sales_Dataset[[#This Row],[Date]],"ddd")</f>
        <v>Wed</v>
      </c>
      <c r="C560">
        <f>HOUR(Coffee_Sales_Dataset[[#This Row],[Date]])</f>
        <v>15</v>
      </c>
      <c r="D560" t="s">
        <v>26</v>
      </c>
      <c r="E560" t="s">
        <v>13</v>
      </c>
      <c r="F560" t="s">
        <v>35</v>
      </c>
      <c r="G560">
        <v>5.85</v>
      </c>
      <c r="H560" t="s">
        <v>30</v>
      </c>
      <c r="I560" t="s">
        <v>16</v>
      </c>
      <c r="J560" t="s">
        <v>24</v>
      </c>
      <c r="K560" t="s">
        <v>32</v>
      </c>
      <c r="L560">
        <v>8</v>
      </c>
      <c r="M560" t="s">
        <v>37</v>
      </c>
      <c r="N560">
        <v>1</v>
      </c>
    </row>
    <row r="561" spans="1:14" x14ac:dyDescent="0.35">
      <c r="A561" s="5">
        <v>45656.674305555556</v>
      </c>
      <c r="B561" s="1" t="str">
        <f>TEXT(Coffee_Sales_Dataset[[#This Row],[Date]],"ddd")</f>
        <v>Mon</v>
      </c>
      <c r="C561">
        <f>HOUR(Coffee_Sales_Dataset[[#This Row],[Date]])</f>
        <v>16</v>
      </c>
      <c r="D561" t="s">
        <v>12</v>
      </c>
      <c r="E561" t="s">
        <v>21</v>
      </c>
      <c r="F561" t="s">
        <v>35</v>
      </c>
      <c r="G561">
        <v>3.78</v>
      </c>
      <c r="H561" t="s">
        <v>28</v>
      </c>
      <c r="I561" t="s">
        <v>23</v>
      </c>
      <c r="J561" t="s">
        <v>29</v>
      </c>
      <c r="K561" t="s">
        <v>40</v>
      </c>
      <c r="L561">
        <v>7</v>
      </c>
      <c r="M561" t="s">
        <v>37</v>
      </c>
      <c r="N561">
        <v>5</v>
      </c>
    </row>
    <row r="562" spans="1:14" x14ac:dyDescent="0.35">
      <c r="A562" s="5">
        <v>45653.746527777781</v>
      </c>
      <c r="B562" s="1" t="str">
        <f>TEXT(Coffee_Sales_Dataset[[#This Row],[Date]],"ddd")</f>
        <v>Fri</v>
      </c>
      <c r="C562">
        <f>HOUR(Coffee_Sales_Dataset[[#This Row],[Date]])</f>
        <v>17</v>
      </c>
      <c r="D562" t="s">
        <v>41</v>
      </c>
      <c r="E562" t="s">
        <v>38</v>
      </c>
      <c r="F562" t="s">
        <v>14</v>
      </c>
      <c r="G562">
        <v>6.2</v>
      </c>
      <c r="H562" t="s">
        <v>15</v>
      </c>
      <c r="I562" t="s">
        <v>23</v>
      </c>
      <c r="J562" t="s">
        <v>45</v>
      </c>
      <c r="K562" t="s">
        <v>18</v>
      </c>
      <c r="L562">
        <v>4</v>
      </c>
      <c r="M562" t="s">
        <v>47</v>
      </c>
      <c r="N562">
        <v>2</v>
      </c>
    </row>
    <row r="563" spans="1:14" x14ac:dyDescent="0.35">
      <c r="A563" s="5">
        <v>45642.444444444445</v>
      </c>
      <c r="B563" s="1" t="str">
        <f>TEXT(Coffee_Sales_Dataset[[#This Row],[Date]],"ddd")</f>
        <v>Mon</v>
      </c>
      <c r="C563">
        <f>HOUR(Coffee_Sales_Dataset[[#This Row],[Date]])</f>
        <v>10</v>
      </c>
      <c r="D563" t="s">
        <v>41</v>
      </c>
      <c r="E563" t="s">
        <v>27</v>
      </c>
      <c r="F563" t="s">
        <v>35</v>
      </c>
      <c r="G563">
        <v>3.61</v>
      </c>
      <c r="H563" t="s">
        <v>28</v>
      </c>
      <c r="I563" t="s">
        <v>16</v>
      </c>
      <c r="J563" t="s">
        <v>17</v>
      </c>
      <c r="K563" t="s">
        <v>32</v>
      </c>
      <c r="L563">
        <v>2</v>
      </c>
      <c r="M563" t="s">
        <v>25</v>
      </c>
      <c r="N563">
        <v>3</v>
      </c>
    </row>
    <row r="564" spans="1:14" x14ac:dyDescent="0.35">
      <c r="A564" s="5">
        <v>45647.68472222222</v>
      </c>
      <c r="B564" s="1" t="str">
        <f>TEXT(Coffee_Sales_Dataset[[#This Row],[Date]],"ddd")</f>
        <v>Sat</v>
      </c>
      <c r="C564">
        <f>HOUR(Coffee_Sales_Dataset[[#This Row],[Date]])</f>
        <v>16</v>
      </c>
      <c r="D564" t="s">
        <v>12</v>
      </c>
      <c r="E564" t="s">
        <v>46</v>
      </c>
      <c r="F564" t="s">
        <v>22</v>
      </c>
      <c r="G564">
        <v>3.54</v>
      </c>
      <c r="H564" t="s">
        <v>15</v>
      </c>
      <c r="I564" t="s">
        <v>23</v>
      </c>
      <c r="J564" t="s">
        <v>29</v>
      </c>
      <c r="K564" t="s">
        <v>32</v>
      </c>
      <c r="L564">
        <v>10</v>
      </c>
      <c r="M564" t="s">
        <v>19</v>
      </c>
      <c r="N564">
        <v>3</v>
      </c>
    </row>
    <row r="565" spans="1:14" x14ac:dyDescent="0.35">
      <c r="A565" s="5">
        <v>45644.734722222223</v>
      </c>
      <c r="B565" s="1" t="str">
        <f>TEXT(Coffee_Sales_Dataset[[#This Row],[Date]],"ddd")</f>
        <v>Wed</v>
      </c>
      <c r="C565">
        <f>HOUR(Coffee_Sales_Dataset[[#This Row],[Date]])</f>
        <v>17</v>
      </c>
      <c r="D565" t="s">
        <v>26</v>
      </c>
      <c r="E565" t="s">
        <v>13</v>
      </c>
      <c r="F565" t="s">
        <v>22</v>
      </c>
      <c r="G565">
        <v>3.56</v>
      </c>
      <c r="H565" t="s">
        <v>15</v>
      </c>
      <c r="I565" t="s">
        <v>23</v>
      </c>
      <c r="J565" t="s">
        <v>17</v>
      </c>
      <c r="K565" t="s">
        <v>32</v>
      </c>
      <c r="L565">
        <v>4</v>
      </c>
      <c r="M565" t="s">
        <v>19</v>
      </c>
      <c r="N565">
        <v>4</v>
      </c>
    </row>
    <row r="566" spans="1:14" x14ac:dyDescent="0.35">
      <c r="A566" s="5">
        <v>45647.46875</v>
      </c>
      <c r="B566" s="1" t="str">
        <f>TEXT(Coffee_Sales_Dataset[[#This Row],[Date]],"ddd")</f>
        <v>Sat</v>
      </c>
      <c r="C566">
        <f>HOUR(Coffee_Sales_Dataset[[#This Row],[Date]])</f>
        <v>11</v>
      </c>
      <c r="D566" t="s">
        <v>43</v>
      </c>
      <c r="E566" t="s">
        <v>13</v>
      </c>
      <c r="F566" t="s">
        <v>14</v>
      </c>
      <c r="G566">
        <v>6.85</v>
      </c>
      <c r="H566" t="s">
        <v>15</v>
      </c>
      <c r="I566" t="s">
        <v>23</v>
      </c>
      <c r="J566" t="s">
        <v>42</v>
      </c>
      <c r="K566" t="s">
        <v>40</v>
      </c>
      <c r="L566">
        <v>4</v>
      </c>
      <c r="M566" t="s">
        <v>36</v>
      </c>
      <c r="N566">
        <v>4</v>
      </c>
    </row>
    <row r="567" spans="1:14" x14ac:dyDescent="0.35">
      <c r="A567" s="5">
        <v>45643.533333333333</v>
      </c>
      <c r="B567" s="1" t="str">
        <f>TEXT(Coffee_Sales_Dataset[[#This Row],[Date]],"ddd")</f>
        <v>Tue</v>
      </c>
      <c r="C567">
        <f>HOUR(Coffee_Sales_Dataset[[#This Row],[Date]])</f>
        <v>12</v>
      </c>
      <c r="D567" t="s">
        <v>43</v>
      </c>
      <c r="E567" t="s">
        <v>13</v>
      </c>
      <c r="F567" t="s">
        <v>35</v>
      </c>
      <c r="G567">
        <v>3.47</v>
      </c>
      <c r="H567" t="s">
        <v>15</v>
      </c>
      <c r="I567" t="s">
        <v>23</v>
      </c>
      <c r="J567" t="s">
        <v>45</v>
      </c>
      <c r="K567" t="s">
        <v>18</v>
      </c>
      <c r="L567">
        <v>9</v>
      </c>
      <c r="M567" t="s">
        <v>36</v>
      </c>
      <c r="N567">
        <v>4</v>
      </c>
    </row>
    <row r="568" spans="1:14" x14ac:dyDescent="0.35">
      <c r="A568" s="5">
        <v>45645.398611111108</v>
      </c>
      <c r="B568" s="1" t="str">
        <f>TEXT(Coffee_Sales_Dataset[[#This Row],[Date]],"ddd")</f>
        <v>Thu</v>
      </c>
      <c r="C568">
        <f>HOUR(Coffee_Sales_Dataset[[#This Row],[Date]])</f>
        <v>9</v>
      </c>
      <c r="D568" t="s">
        <v>41</v>
      </c>
      <c r="E568" t="s">
        <v>46</v>
      </c>
      <c r="F568" t="s">
        <v>14</v>
      </c>
      <c r="G568">
        <v>3.28</v>
      </c>
      <c r="H568" t="s">
        <v>28</v>
      </c>
      <c r="I568" t="s">
        <v>16</v>
      </c>
      <c r="J568" t="s">
        <v>24</v>
      </c>
      <c r="K568" t="s">
        <v>40</v>
      </c>
      <c r="L568">
        <v>8</v>
      </c>
      <c r="M568" t="s">
        <v>33</v>
      </c>
      <c r="N568">
        <v>3</v>
      </c>
    </row>
    <row r="569" spans="1:14" x14ac:dyDescent="0.35">
      <c r="A569" s="5">
        <v>45642.643750000003</v>
      </c>
      <c r="B569" s="1" t="str">
        <f>TEXT(Coffee_Sales_Dataset[[#This Row],[Date]],"ddd")</f>
        <v>Mon</v>
      </c>
      <c r="C569">
        <f>HOUR(Coffee_Sales_Dataset[[#This Row],[Date]])</f>
        <v>15</v>
      </c>
      <c r="D569" t="s">
        <v>41</v>
      </c>
      <c r="E569" t="s">
        <v>27</v>
      </c>
      <c r="F569" t="s">
        <v>35</v>
      </c>
      <c r="G569">
        <v>5.77</v>
      </c>
      <c r="H569" t="s">
        <v>15</v>
      </c>
      <c r="I569" t="s">
        <v>16</v>
      </c>
      <c r="J569" t="s">
        <v>17</v>
      </c>
      <c r="K569" t="s">
        <v>18</v>
      </c>
      <c r="L569">
        <v>3</v>
      </c>
      <c r="M569" t="s">
        <v>39</v>
      </c>
      <c r="N569">
        <v>5</v>
      </c>
    </row>
    <row r="570" spans="1:14" x14ac:dyDescent="0.35">
      <c r="A570" s="5">
        <v>45656.552083333336</v>
      </c>
      <c r="B570" s="1" t="str">
        <f>TEXT(Coffee_Sales_Dataset[[#This Row],[Date]],"ddd")</f>
        <v>Mon</v>
      </c>
      <c r="C570">
        <f>HOUR(Coffee_Sales_Dataset[[#This Row],[Date]])</f>
        <v>13</v>
      </c>
      <c r="D570" t="s">
        <v>12</v>
      </c>
      <c r="E570" t="s">
        <v>21</v>
      </c>
      <c r="F570" t="s">
        <v>35</v>
      </c>
      <c r="G570">
        <v>6.85</v>
      </c>
      <c r="H570" t="s">
        <v>15</v>
      </c>
      <c r="I570" t="s">
        <v>23</v>
      </c>
      <c r="J570" t="s">
        <v>45</v>
      </c>
      <c r="K570" t="s">
        <v>40</v>
      </c>
      <c r="L570">
        <v>6</v>
      </c>
      <c r="M570" t="s">
        <v>33</v>
      </c>
      <c r="N570">
        <v>3</v>
      </c>
    </row>
    <row r="571" spans="1:14" x14ac:dyDescent="0.35">
      <c r="A571" s="5">
        <v>45655.681250000001</v>
      </c>
      <c r="B571" s="1" t="str">
        <f>TEXT(Coffee_Sales_Dataset[[#This Row],[Date]],"ddd")</f>
        <v>Sun</v>
      </c>
      <c r="C571">
        <f>HOUR(Coffee_Sales_Dataset[[#This Row],[Date]])</f>
        <v>16</v>
      </c>
      <c r="D571" t="s">
        <v>12</v>
      </c>
      <c r="E571" t="s">
        <v>44</v>
      </c>
      <c r="F571" t="s">
        <v>22</v>
      </c>
      <c r="G571">
        <v>6.93</v>
      </c>
      <c r="H571" t="s">
        <v>30</v>
      </c>
      <c r="I571" t="s">
        <v>23</v>
      </c>
      <c r="J571" t="s">
        <v>29</v>
      </c>
      <c r="K571" t="s">
        <v>18</v>
      </c>
      <c r="L571">
        <v>9</v>
      </c>
      <c r="M571" t="s">
        <v>36</v>
      </c>
      <c r="N571">
        <v>5</v>
      </c>
    </row>
    <row r="572" spans="1:14" x14ac:dyDescent="0.35">
      <c r="A572" s="5">
        <v>45648.727083333331</v>
      </c>
      <c r="B572" s="1" t="str">
        <f>TEXT(Coffee_Sales_Dataset[[#This Row],[Date]],"ddd")</f>
        <v>Sun</v>
      </c>
      <c r="C572">
        <f>HOUR(Coffee_Sales_Dataset[[#This Row],[Date]])</f>
        <v>17</v>
      </c>
      <c r="D572" t="s">
        <v>43</v>
      </c>
      <c r="E572" t="s">
        <v>13</v>
      </c>
      <c r="F572" t="s">
        <v>35</v>
      </c>
      <c r="G572">
        <v>4.95</v>
      </c>
      <c r="H572" t="s">
        <v>28</v>
      </c>
      <c r="I572" t="s">
        <v>16</v>
      </c>
      <c r="J572" t="s">
        <v>31</v>
      </c>
      <c r="K572" t="s">
        <v>18</v>
      </c>
      <c r="L572">
        <v>8</v>
      </c>
      <c r="M572" t="s">
        <v>39</v>
      </c>
      <c r="N572">
        <v>5</v>
      </c>
    </row>
    <row r="573" spans="1:14" x14ac:dyDescent="0.35">
      <c r="A573" s="5">
        <v>45642.400000000001</v>
      </c>
      <c r="B573" s="1" t="str">
        <f>TEXT(Coffee_Sales_Dataset[[#This Row],[Date]],"ddd")</f>
        <v>Mon</v>
      </c>
      <c r="C573">
        <f>HOUR(Coffee_Sales_Dataset[[#This Row],[Date]])</f>
        <v>9</v>
      </c>
      <c r="D573" t="s">
        <v>26</v>
      </c>
      <c r="E573" t="s">
        <v>13</v>
      </c>
      <c r="F573" t="s">
        <v>14</v>
      </c>
      <c r="G573">
        <v>4.4400000000000004</v>
      </c>
      <c r="H573" t="s">
        <v>28</v>
      </c>
      <c r="I573" t="s">
        <v>16</v>
      </c>
      <c r="J573" t="s">
        <v>42</v>
      </c>
      <c r="K573" t="s">
        <v>18</v>
      </c>
      <c r="L573">
        <v>2</v>
      </c>
      <c r="M573" t="s">
        <v>47</v>
      </c>
      <c r="N573">
        <v>4</v>
      </c>
    </row>
    <row r="574" spans="1:14" x14ac:dyDescent="0.35">
      <c r="A574" s="5">
        <v>45654.746527777781</v>
      </c>
      <c r="B574" s="1" t="str">
        <f>TEXT(Coffee_Sales_Dataset[[#This Row],[Date]],"ddd")</f>
        <v>Sat</v>
      </c>
      <c r="C574">
        <f>HOUR(Coffee_Sales_Dataset[[#This Row],[Date]])</f>
        <v>17</v>
      </c>
      <c r="D574" t="s">
        <v>41</v>
      </c>
      <c r="E574" t="s">
        <v>13</v>
      </c>
      <c r="F574" t="s">
        <v>22</v>
      </c>
      <c r="G574">
        <v>6.25</v>
      </c>
      <c r="H574" t="s">
        <v>28</v>
      </c>
      <c r="I574" t="s">
        <v>16</v>
      </c>
      <c r="J574" t="s">
        <v>45</v>
      </c>
      <c r="K574" t="s">
        <v>40</v>
      </c>
      <c r="L574">
        <v>5</v>
      </c>
      <c r="M574" t="s">
        <v>37</v>
      </c>
      <c r="N574">
        <v>2</v>
      </c>
    </row>
    <row r="575" spans="1:14" x14ac:dyDescent="0.35">
      <c r="A575" s="5">
        <v>45641.54583333333</v>
      </c>
      <c r="B575" s="1" t="str">
        <f>TEXT(Coffee_Sales_Dataset[[#This Row],[Date]],"ddd")</f>
        <v>Sun</v>
      </c>
      <c r="C575">
        <f>HOUR(Coffee_Sales_Dataset[[#This Row],[Date]])</f>
        <v>13</v>
      </c>
      <c r="D575" t="s">
        <v>43</v>
      </c>
      <c r="E575" t="s">
        <v>46</v>
      </c>
      <c r="F575" t="s">
        <v>14</v>
      </c>
      <c r="G575">
        <v>5.92</v>
      </c>
      <c r="H575" t="s">
        <v>15</v>
      </c>
      <c r="I575" t="s">
        <v>16</v>
      </c>
      <c r="J575" t="s">
        <v>45</v>
      </c>
      <c r="K575" t="s">
        <v>32</v>
      </c>
      <c r="L575">
        <v>7</v>
      </c>
      <c r="M575" t="s">
        <v>36</v>
      </c>
      <c r="N575">
        <v>3</v>
      </c>
    </row>
    <row r="576" spans="1:14" x14ac:dyDescent="0.35">
      <c r="A576" s="5">
        <v>45648.347222222219</v>
      </c>
      <c r="B576" s="1" t="str">
        <f>TEXT(Coffee_Sales_Dataset[[#This Row],[Date]],"ddd")</f>
        <v>Sun</v>
      </c>
      <c r="C576">
        <f>HOUR(Coffee_Sales_Dataset[[#This Row],[Date]])</f>
        <v>8</v>
      </c>
      <c r="D576" t="s">
        <v>12</v>
      </c>
      <c r="E576" t="s">
        <v>44</v>
      </c>
      <c r="F576" t="s">
        <v>35</v>
      </c>
      <c r="G576">
        <v>4.05</v>
      </c>
      <c r="H576" t="s">
        <v>30</v>
      </c>
      <c r="I576" t="s">
        <v>23</v>
      </c>
      <c r="J576" t="s">
        <v>31</v>
      </c>
      <c r="K576" t="s">
        <v>18</v>
      </c>
      <c r="L576">
        <v>7</v>
      </c>
      <c r="M576" t="s">
        <v>19</v>
      </c>
      <c r="N576">
        <v>4</v>
      </c>
    </row>
    <row r="577" spans="1:14" x14ac:dyDescent="0.35">
      <c r="A577" s="5">
        <v>45653.45416666667</v>
      </c>
      <c r="B577" s="1" t="str">
        <f>TEXT(Coffee_Sales_Dataset[[#This Row],[Date]],"ddd")</f>
        <v>Fri</v>
      </c>
      <c r="C577">
        <f>HOUR(Coffee_Sales_Dataset[[#This Row],[Date]])</f>
        <v>10</v>
      </c>
      <c r="D577" t="s">
        <v>12</v>
      </c>
      <c r="E577" t="s">
        <v>21</v>
      </c>
      <c r="F577" t="s">
        <v>14</v>
      </c>
      <c r="G577">
        <v>4.34</v>
      </c>
      <c r="H577" t="s">
        <v>28</v>
      </c>
      <c r="I577" t="s">
        <v>23</v>
      </c>
      <c r="J577" t="s">
        <v>24</v>
      </c>
      <c r="K577" t="s">
        <v>32</v>
      </c>
      <c r="L577">
        <v>3</v>
      </c>
      <c r="M577" t="s">
        <v>19</v>
      </c>
      <c r="N577">
        <v>1</v>
      </c>
    </row>
    <row r="578" spans="1:14" x14ac:dyDescent="0.35">
      <c r="A578" s="5">
        <v>45651.568749999999</v>
      </c>
      <c r="B578" s="1" t="str">
        <f>TEXT(Coffee_Sales_Dataset[[#This Row],[Date]],"ddd")</f>
        <v>Wed</v>
      </c>
      <c r="C578">
        <f>HOUR(Coffee_Sales_Dataset[[#This Row],[Date]])</f>
        <v>13</v>
      </c>
      <c r="D578" t="s">
        <v>12</v>
      </c>
      <c r="E578" t="s">
        <v>44</v>
      </c>
      <c r="F578" t="s">
        <v>14</v>
      </c>
      <c r="G578">
        <v>6.03</v>
      </c>
      <c r="H578" t="s">
        <v>30</v>
      </c>
      <c r="I578" t="s">
        <v>16</v>
      </c>
      <c r="J578" t="s">
        <v>45</v>
      </c>
      <c r="K578" t="s">
        <v>32</v>
      </c>
      <c r="L578">
        <v>7</v>
      </c>
      <c r="M578" t="s">
        <v>47</v>
      </c>
      <c r="N578">
        <v>4</v>
      </c>
    </row>
    <row r="579" spans="1:14" x14ac:dyDescent="0.35">
      <c r="A579" s="5">
        <v>45655.423611111109</v>
      </c>
      <c r="B579" s="1" t="str">
        <f>TEXT(Coffee_Sales_Dataset[[#This Row],[Date]],"ddd")</f>
        <v>Sun</v>
      </c>
      <c r="C579">
        <f>HOUR(Coffee_Sales_Dataset[[#This Row],[Date]])</f>
        <v>10</v>
      </c>
      <c r="D579" t="s">
        <v>43</v>
      </c>
      <c r="E579" t="s">
        <v>13</v>
      </c>
      <c r="F579" t="s">
        <v>14</v>
      </c>
      <c r="G579">
        <v>3.76</v>
      </c>
      <c r="H579" t="s">
        <v>15</v>
      </c>
      <c r="I579" t="s">
        <v>16</v>
      </c>
      <c r="J579" t="s">
        <v>31</v>
      </c>
      <c r="K579" t="s">
        <v>18</v>
      </c>
      <c r="L579">
        <v>4</v>
      </c>
      <c r="M579" t="s">
        <v>25</v>
      </c>
      <c r="N579">
        <v>5</v>
      </c>
    </row>
    <row r="580" spans="1:14" x14ac:dyDescent="0.35">
      <c r="A580" s="5">
        <v>45652.461805555555</v>
      </c>
      <c r="B580" s="1" t="str">
        <f>TEXT(Coffee_Sales_Dataset[[#This Row],[Date]],"ddd")</f>
        <v>Thu</v>
      </c>
      <c r="C580">
        <f>HOUR(Coffee_Sales_Dataset[[#This Row],[Date]])</f>
        <v>11</v>
      </c>
      <c r="D580" t="s">
        <v>26</v>
      </c>
      <c r="E580" t="s">
        <v>44</v>
      </c>
      <c r="F580" t="s">
        <v>35</v>
      </c>
      <c r="G580">
        <v>6.66</v>
      </c>
      <c r="H580" t="s">
        <v>28</v>
      </c>
      <c r="I580" t="s">
        <v>16</v>
      </c>
      <c r="J580" t="s">
        <v>24</v>
      </c>
      <c r="K580" t="s">
        <v>40</v>
      </c>
      <c r="L580">
        <v>7</v>
      </c>
      <c r="M580" t="s">
        <v>37</v>
      </c>
      <c r="N580">
        <v>3</v>
      </c>
    </row>
    <row r="581" spans="1:14" x14ac:dyDescent="0.35">
      <c r="A581" s="5">
        <v>45647.587500000001</v>
      </c>
      <c r="B581" s="1" t="str">
        <f>TEXT(Coffee_Sales_Dataset[[#This Row],[Date]],"ddd")</f>
        <v>Sat</v>
      </c>
      <c r="C581">
        <f>HOUR(Coffee_Sales_Dataset[[#This Row],[Date]])</f>
        <v>14</v>
      </c>
      <c r="D581" t="s">
        <v>43</v>
      </c>
      <c r="E581" t="s">
        <v>38</v>
      </c>
      <c r="F581" t="s">
        <v>35</v>
      </c>
      <c r="G581">
        <v>6.88</v>
      </c>
      <c r="H581" t="s">
        <v>15</v>
      </c>
      <c r="I581" t="s">
        <v>23</v>
      </c>
      <c r="J581" t="s">
        <v>42</v>
      </c>
      <c r="K581" t="s">
        <v>40</v>
      </c>
      <c r="L581">
        <v>5</v>
      </c>
      <c r="M581" t="s">
        <v>37</v>
      </c>
      <c r="N581">
        <v>2</v>
      </c>
    </row>
    <row r="582" spans="1:14" x14ac:dyDescent="0.35">
      <c r="A582" s="5">
        <v>45651.500694444447</v>
      </c>
      <c r="B582" s="1" t="str">
        <f>TEXT(Coffee_Sales_Dataset[[#This Row],[Date]],"ddd")</f>
        <v>Wed</v>
      </c>
      <c r="C582">
        <f>HOUR(Coffee_Sales_Dataset[[#This Row],[Date]])</f>
        <v>12</v>
      </c>
      <c r="D582" t="s">
        <v>12</v>
      </c>
      <c r="E582" t="s">
        <v>27</v>
      </c>
      <c r="F582" t="s">
        <v>35</v>
      </c>
      <c r="G582">
        <v>6.93</v>
      </c>
      <c r="H582" t="s">
        <v>30</v>
      </c>
      <c r="I582" t="s">
        <v>23</v>
      </c>
      <c r="J582" t="s">
        <v>42</v>
      </c>
      <c r="K582" t="s">
        <v>18</v>
      </c>
      <c r="L582">
        <v>5</v>
      </c>
      <c r="M582" t="s">
        <v>36</v>
      </c>
      <c r="N582">
        <v>1</v>
      </c>
    </row>
    <row r="583" spans="1:14" x14ac:dyDescent="0.35">
      <c r="A583" s="5">
        <v>45645.370833333334</v>
      </c>
      <c r="B583" s="1" t="str">
        <f>TEXT(Coffee_Sales_Dataset[[#This Row],[Date]],"ddd")</f>
        <v>Thu</v>
      </c>
      <c r="C583">
        <f>HOUR(Coffee_Sales_Dataset[[#This Row],[Date]])</f>
        <v>8</v>
      </c>
      <c r="D583" t="s">
        <v>41</v>
      </c>
      <c r="E583" t="s">
        <v>46</v>
      </c>
      <c r="F583" t="s">
        <v>22</v>
      </c>
      <c r="G583">
        <v>4.66</v>
      </c>
      <c r="H583" t="s">
        <v>28</v>
      </c>
      <c r="I583" t="s">
        <v>23</v>
      </c>
      <c r="J583" t="s">
        <v>42</v>
      </c>
      <c r="K583" t="s">
        <v>40</v>
      </c>
      <c r="L583">
        <v>10</v>
      </c>
      <c r="M583" t="s">
        <v>37</v>
      </c>
      <c r="N583">
        <v>4</v>
      </c>
    </row>
    <row r="584" spans="1:14" x14ac:dyDescent="0.35">
      <c r="A584" s="5">
        <v>45651.615972222222</v>
      </c>
      <c r="B584" s="1" t="str">
        <f>TEXT(Coffee_Sales_Dataset[[#This Row],[Date]],"ddd")</f>
        <v>Wed</v>
      </c>
      <c r="C584">
        <f>HOUR(Coffee_Sales_Dataset[[#This Row],[Date]])</f>
        <v>14</v>
      </c>
      <c r="D584" t="s">
        <v>43</v>
      </c>
      <c r="E584" t="s">
        <v>44</v>
      </c>
      <c r="F584" t="s">
        <v>22</v>
      </c>
      <c r="G584">
        <v>6.21</v>
      </c>
      <c r="H584" t="s">
        <v>15</v>
      </c>
      <c r="I584" t="s">
        <v>16</v>
      </c>
      <c r="J584" t="s">
        <v>24</v>
      </c>
      <c r="K584" t="s">
        <v>32</v>
      </c>
      <c r="L584">
        <v>5</v>
      </c>
      <c r="M584" t="s">
        <v>47</v>
      </c>
      <c r="N584">
        <v>5</v>
      </c>
    </row>
    <row r="585" spans="1:14" x14ac:dyDescent="0.35">
      <c r="A585" s="5">
        <v>45646.430555555555</v>
      </c>
      <c r="B585" s="1" t="str">
        <f>TEXT(Coffee_Sales_Dataset[[#This Row],[Date]],"ddd")</f>
        <v>Fri</v>
      </c>
      <c r="C585">
        <f>HOUR(Coffee_Sales_Dataset[[#This Row],[Date]])</f>
        <v>10</v>
      </c>
      <c r="D585" t="s">
        <v>20</v>
      </c>
      <c r="E585" t="s">
        <v>21</v>
      </c>
      <c r="F585" t="s">
        <v>35</v>
      </c>
      <c r="G585">
        <v>5.32</v>
      </c>
      <c r="H585" t="s">
        <v>30</v>
      </c>
      <c r="I585" t="s">
        <v>16</v>
      </c>
      <c r="J585" t="s">
        <v>31</v>
      </c>
      <c r="K585" t="s">
        <v>32</v>
      </c>
      <c r="L585">
        <v>3</v>
      </c>
      <c r="M585" t="s">
        <v>33</v>
      </c>
      <c r="N585">
        <v>5</v>
      </c>
    </row>
    <row r="586" spans="1:14" x14ac:dyDescent="0.35">
      <c r="A586" s="5">
        <v>45644.572916666664</v>
      </c>
      <c r="B586" s="1" t="str">
        <f>TEXT(Coffee_Sales_Dataset[[#This Row],[Date]],"ddd")</f>
        <v>Wed</v>
      </c>
      <c r="C586">
        <f>HOUR(Coffee_Sales_Dataset[[#This Row],[Date]])</f>
        <v>13</v>
      </c>
      <c r="D586" t="s">
        <v>41</v>
      </c>
      <c r="E586" t="s">
        <v>21</v>
      </c>
      <c r="F586" t="s">
        <v>14</v>
      </c>
      <c r="G586">
        <v>4.8600000000000003</v>
      </c>
      <c r="H586" t="s">
        <v>28</v>
      </c>
      <c r="I586" t="s">
        <v>23</v>
      </c>
      <c r="J586" t="s">
        <v>42</v>
      </c>
      <c r="K586" t="s">
        <v>18</v>
      </c>
      <c r="L586">
        <v>9</v>
      </c>
      <c r="M586" t="s">
        <v>25</v>
      </c>
      <c r="N586">
        <v>5</v>
      </c>
    </row>
    <row r="587" spans="1:14" x14ac:dyDescent="0.35">
      <c r="A587" s="5">
        <v>45647.417361111111</v>
      </c>
      <c r="B587" s="1" t="str">
        <f>TEXT(Coffee_Sales_Dataset[[#This Row],[Date]],"ddd")</f>
        <v>Sat</v>
      </c>
      <c r="C587">
        <f>HOUR(Coffee_Sales_Dataset[[#This Row],[Date]])</f>
        <v>10</v>
      </c>
      <c r="D587" t="s">
        <v>41</v>
      </c>
      <c r="E587" t="s">
        <v>46</v>
      </c>
      <c r="F587" t="s">
        <v>35</v>
      </c>
      <c r="G587">
        <v>5.6</v>
      </c>
      <c r="H587" t="s">
        <v>15</v>
      </c>
      <c r="I587" t="s">
        <v>16</v>
      </c>
      <c r="J587" t="s">
        <v>45</v>
      </c>
      <c r="K587" t="s">
        <v>40</v>
      </c>
      <c r="L587">
        <v>3</v>
      </c>
      <c r="M587" t="s">
        <v>19</v>
      </c>
      <c r="N587">
        <v>3</v>
      </c>
    </row>
    <row r="588" spans="1:14" x14ac:dyDescent="0.35">
      <c r="A588" s="5">
        <v>45642.525000000001</v>
      </c>
      <c r="B588" s="1" t="str">
        <f>TEXT(Coffee_Sales_Dataset[[#This Row],[Date]],"ddd")</f>
        <v>Mon</v>
      </c>
      <c r="C588">
        <f>HOUR(Coffee_Sales_Dataset[[#This Row],[Date]])</f>
        <v>12</v>
      </c>
      <c r="D588" t="s">
        <v>43</v>
      </c>
      <c r="E588" t="s">
        <v>44</v>
      </c>
      <c r="F588" t="s">
        <v>14</v>
      </c>
      <c r="G588">
        <v>5.85</v>
      </c>
      <c r="H588" t="s">
        <v>15</v>
      </c>
      <c r="I588" t="s">
        <v>16</v>
      </c>
      <c r="J588" t="s">
        <v>45</v>
      </c>
      <c r="K588" t="s">
        <v>40</v>
      </c>
      <c r="L588">
        <v>8</v>
      </c>
      <c r="M588" t="s">
        <v>36</v>
      </c>
      <c r="N588">
        <v>4</v>
      </c>
    </row>
    <row r="589" spans="1:14" x14ac:dyDescent="0.35">
      <c r="A589" s="5">
        <v>45645.51458333333</v>
      </c>
      <c r="B589" s="1" t="str">
        <f>TEXT(Coffee_Sales_Dataset[[#This Row],[Date]],"ddd")</f>
        <v>Thu</v>
      </c>
      <c r="C589">
        <f>HOUR(Coffee_Sales_Dataset[[#This Row],[Date]])</f>
        <v>12</v>
      </c>
      <c r="D589" t="s">
        <v>20</v>
      </c>
      <c r="E589" t="s">
        <v>38</v>
      </c>
      <c r="F589" t="s">
        <v>35</v>
      </c>
      <c r="G589">
        <v>6.79</v>
      </c>
      <c r="H589" t="s">
        <v>30</v>
      </c>
      <c r="I589" t="s">
        <v>16</v>
      </c>
      <c r="J589" t="s">
        <v>29</v>
      </c>
      <c r="K589" t="s">
        <v>18</v>
      </c>
      <c r="L589">
        <v>2</v>
      </c>
      <c r="M589" t="s">
        <v>19</v>
      </c>
      <c r="N589">
        <v>3</v>
      </c>
    </row>
    <row r="590" spans="1:14" x14ac:dyDescent="0.35">
      <c r="A590" s="5">
        <v>45650.402083333334</v>
      </c>
      <c r="B590" s="1" t="str">
        <f>TEXT(Coffee_Sales_Dataset[[#This Row],[Date]],"ddd")</f>
        <v>Tue</v>
      </c>
      <c r="C590">
        <f>HOUR(Coffee_Sales_Dataset[[#This Row],[Date]])</f>
        <v>9</v>
      </c>
      <c r="D590" t="s">
        <v>26</v>
      </c>
      <c r="E590" t="s">
        <v>38</v>
      </c>
      <c r="F590" t="s">
        <v>22</v>
      </c>
      <c r="G590">
        <v>5.92</v>
      </c>
      <c r="H590" t="s">
        <v>28</v>
      </c>
      <c r="I590" t="s">
        <v>23</v>
      </c>
      <c r="J590" t="s">
        <v>17</v>
      </c>
      <c r="K590" t="s">
        <v>18</v>
      </c>
      <c r="L590">
        <v>4</v>
      </c>
      <c r="M590" t="s">
        <v>33</v>
      </c>
      <c r="N590">
        <v>2</v>
      </c>
    </row>
    <row r="591" spans="1:14" x14ac:dyDescent="0.35">
      <c r="A591" s="5">
        <v>45641.656944444447</v>
      </c>
      <c r="B591" s="1" t="str">
        <f>TEXT(Coffee_Sales_Dataset[[#This Row],[Date]],"ddd")</f>
        <v>Sun</v>
      </c>
      <c r="C591">
        <f>HOUR(Coffee_Sales_Dataset[[#This Row],[Date]])</f>
        <v>15</v>
      </c>
      <c r="D591" t="s">
        <v>26</v>
      </c>
      <c r="E591" t="s">
        <v>34</v>
      </c>
      <c r="F591" t="s">
        <v>14</v>
      </c>
      <c r="G591">
        <v>3.38</v>
      </c>
      <c r="H591" t="s">
        <v>15</v>
      </c>
      <c r="I591" t="s">
        <v>16</v>
      </c>
      <c r="J591" t="s">
        <v>42</v>
      </c>
      <c r="K591" t="s">
        <v>32</v>
      </c>
      <c r="L591">
        <v>9</v>
      </c>
      <c r="M591" t="s">
        <v>36</v>
      </c>
      <c r="N591">
        <v>3</v>
      </c>
    </row>
    <row r="592" spans="1:14" x14ac:dyDescent="0.35">
      <c r="A592" s="5">
        <v>45643.515277777777</v>
      </c>
      <c r="B592" s="1" t="str">
        <f>TEXT(Coffee_Sales_Dataset[[#This Row],[Date]],"ddd")</f>
        <v>Tue</v>
      </c>
      <c r="C592">
        <f>HOUR(Coffee_Sales_Dataset[[#This Row],[Date]])</f>
        <v>12</v>
      </c>
      <c r="D592" t="s">
        <v>20</v>
      </c>
      <c r="E592" t="s">
        <v>44</v>
      </c>
      <c r="F592" t="s">
        <v>22</v>
      </c>
      <c r="G592">
        <v>6.52</v>
      </c>
      <c r="H592" t="s">
        <v>15</v>
      </c>
      <c r="I592" t="s">
        <v>23</v>
      </c>
      <c r="J592" t="s">
        <v>17</v>
      </c>
      <c r="K592" t="s">
        <v>32</v>
      </c>
      <c r="L592">
        <v>8</v>
      </c>
      <c r="M592" t="s">
        <v>36</v>
      </c>
      <c r="N592">
        <v>2</v>
      </c>
    </row>
    <row r="593" spans="1:14" x14ac:dyDescent="0.35">
      <c r="A593" s="5">
        <v>45646.38958333333</v>
      </c>
      <c r="B593" s="1" t="str">
        <f>TEXT(Coffee_Sales_Dataset[[#This Row],[Date]],"ddd")</f>
        <v>Fri</v>
      </c>
      <c r="C593">
        <f>HOUR(Coffee_Sales_Dataset[[#This Row],[Date]])</f>
        <v>9</v>
      </c>
      <c r="D593" t="s">
        <v>12</v>
      </c>
      <c r="E593" t="s">
        <v>21</v>
      </c>
      <c r="F593" t="s">
        <v>14</v>
      </c>
      <c r="G593">
        <v>5.0999999999999996</v>
      </c>
      <c r="H593" t="s">
        <v>30</v>
      </c>
      <c r="I593" t="s">
        <v>23</v>
      </c>
      <c r="J593" t="s">
        <v>31</v>
      </c>
      <c r="K593" t="s">
        <v>40</v>
      </c>
      <c r="L593">
        <v>7</v>
      </c>
      <c r="M593" t="s">
        <v>39</v>
      </c>
      <c r="N593">
        <v>2</v>
      </c>
    </row>
    <row r="594" spans="1:14" x14ac:dyDescent="0.35">
      <c r="A594" s="5">
        <v>45641.666666666664</v>
      </c>
      <c r="B594" s="1" t="str">
        <f>TEXT(Coffee_Sales_Dataset[[#This Row],[Date]],"ddd")</f>
        <v>Sun</v>
      </c>
      <c r="C594">
        <f>HOUR(Coffee_Sales_Dataset[[#This Row],[Date]])</f>
        <v>16</v>
      </c>
      <c r="D594" t="s">
        <v>26</v>
      </c>
      <c r="E594" t="s">
        <v>34</v>
      </c>
      <c r="F594" t="s">
        <v>22</v>
      </c>
      <c r="G594">
        <v>4.2300000000000004</v>
      </c>
      <c r="H594" t="s">
        <v>28</v>
      </c>
      <c r="I594" t="s">
        <v>16</v>
      </c>
      <c r="J594" t="s">
        <v>29</v>
      </c>
      <c r="K594" t="s">
        <v>40</v>
      </c>
      <c r="L594">
        <v>5</v>
      </c>
      <c r="M594" t="s">
        <v>19</v>
      </c>
      <c r="N594">
        <v>5</v>
      </c>
    </row>
    <row r="595" spans="1:14" x14ac:dyDescent="0.35">
      <c r="A595" s="5">
        <v>45648.675694444442</v>
      </c>
      <c r="B595" s="1" t="str">
        <f>TEXT(Coffee_Sales_Dataset[[#This Row],[Date]],"ddd")</f>
        <v>Sun</v>
      </c>
      <c r="C595">
        <f>HOUR(Coffee_Sales_Dataset[[#This Row],[Date]])</f>
        <v>16</v>
      </c>
      <c r="D595" t="s">
        <v>43</v>
      </c>
      <c r="E595" t="s">
        <v>13</v>
      </c>
      <c r="F595" t="s">
        <v>35</v>
      </c>
      <c r="G595">
        <v>6.65</v>
      </c>
      <c r="H595" t="s">
        <v>28</v>
      </c>
      <c r="I595" t="s">
        <v>16</v>
      </c>
      <c r="J595" t="s">
        <v>31</v>
      </c>
      <c r="K595" t="s">
        <v>40</v>
      </c>
      <c r="L595">
        <v>9</v>
      </c>
      <c r="M595" t="s">
        <v>19</v>
      </c>
      <c r="N595">
        <v>2</v>
      </c>
    </row>
    <row r="596" spans="1:14" x14ac:dyDescent="0.35">
      <c r="A596" s="5">
        <v>45649.625694444447</v>
      </c>
      <c r="B596" s="1" t="str">
        <f>TEXT(Coffee_Sales_Dataset[[#This Row],[Date]],"ddd")</f>
        <v>Mon</v>
      </c>
      <c r="C596">
        <f>HOUR(Coffee_Sales_Dataset[[#This Row],[Date]])</f>
        <v>15</v>
      </c>
      <c r="D596" t="s">
        <v>41</v>
      </c>
      <c r="E596" t="s">
        <v>13</v>
      </c>
      <c r="F596" t="s">
        <v>35</v>
      </c>
      <c r="G596">
        <v>6.55</v>
      </c>
      <c r="H596" t="s">
        <v>30</v>
      </c>
      <c r="I596" t="s">
        <v>16</v>
      </c>
      <c r="J596" t="s">
        <v>24</v>
      </c>
      <c r="K596" t="s">
        <v>40</v>
      </c>
      <c r="L596">
        <v>7</v>
      </c>
      <c r="M596" t="s">
        <v>19</v>
      </c>
      <c r="N596">
        <v>2</v>
      </c>
    </row>
    <row r="597" spans="1:14" x14ac:dyDescent="0.35">
      <c r="A597" s="5">
        <v>45650.456250000003</v>
      </c>
      <c r="B597" s="1" t="str">
        <f>TEXT(Coffee_Sales_Dataset[[#This Row],[Date]],"ddd")</f>
        <v>Tue</v>
      </c>
      <c r="C597">
        <f>HOUR(Coffee_Sales_Dataset[[#This Row],[Date]])</f>
        <v>10</v>
      </c>
      <c r="D597" t="s">
        <v>26</v>
      </c>
      <c r="E597" t="s">
        <v>46</v>
      </c>
      <c r="F597" t="s">
        <v>14</v>
      </c>
      <c r="G597">
        <v>5.41</v>
      </c>
      <c r="H597" t="s">
        <v>28</v>
      </c>
      <c r="I597" t="s">
        <v>16</v>
      </c>
      <c r="J597" t="s">
        <v>42</v>
      </c>
      <c r="K597" t="s">
        <v>18</v>
      </c>
      <c r="L597">
        <v>10</v>
      </c>
      <c r="M597" t="s">
        <v>33</v>
      </c>
      <c r="N597">
        <v>4</v>
      </c>
    </row>
    <row r="598" spans="1:14" x14ac:dyDescent="0.35">
      <c r="A598" s="5">
        <v>45653.404166666667</v>
      </c>
      <c r="B598" s="1" t="str">
        <f>TEXT(Coffee_Sales_Dataset[[#This Row],[Date]],"ddd")</f>
        <v>Fri</v>
      </c>
      <c r="C598">
        <f>HOUR(Coffee_Sales_Dataset[[#This Row],[Date]])</f>
        <v>9</v>
      </c>
      <c r="D598" t="s">
        <v>41</v>
      </c>
      <c r="E598" t="s">
        <v>13</v>
      </c>
      <c r="F598" t="s">
        <v>22</v>
      </c>
      <c r="G598">
        <v>3.98</v>
      </c>
      <c r="H598" t="s">
        <v>30</v>
      </c>
      <c r="I598" t="s">
        <v>23</v>
      </c>
      <c r="J598" t="s">
        <v>42</v>
      </c>
      <c r="K598" t="s">
        <v>40</v>
      </c>
      <c r="L598">
        <v>8</v>
      </c>
      <c r="M598" t="s">
        <v>39</v>
      </c>
      <c r="N598">
        <v>3</v>
      </c>
    </row>
    <row r="599" spans="1:14" x14ac:dyDescent="0.35">
      <c r="A599" s="5">
        <v>45641.660416666666</v>
      </c>
      <c r="B599" s="1" t="str">
        <f>TEXT(Coffee_Sales_Dataset[[#This Row],[Date]],"ddd")</f>
        <v>Sun</v>
      </c>
      <c r="C599">
        <f>HOUR(Coffee_Sales_Dataset[[#This Row],[Date]])</f>
        <v>15</v>
      </c>
      <c r="D599" t="s">
        <v>41</v>
      </c>
      <c r="E599" t="s">
        <v>13</v>
      </c>
      <c r="F599" t="s">
        <v>35</v>
      </c>
      <c r="G599">
        <v>3.36</v>
      </c>
      <c r="H599" t="s">
        <v>28</v>
      </c>
      <c r="I599" t="s">
        <v>16</v>
      </c>
      <c r="J599" t="s">
        <v>31</v>
      </c>
      <c r="K599" t="s">
        <v>18</v>
      </c>
      <c r="L599">
        <v>10</v>
      </c>
      <c r="M599" t="s">
        <v>37</v>
      </c>
      <c r="N599">
        <v>4</v>
      </c>
    </row>
    <row r="600" spans="1:14" x14ac:dyDescent="0.35">
      <c r="A600" s="5">
        <v>45653.470833333333</v>
      </c>
      <c r="B600" s="1" t="str">
        <f>TEXT(Coffee_Sales_Dataset[[#This Row],[Date]],"ddd")</f>
        <v>Fri</v>
      </c>
      <c r="C600">
        <f>HOUR(Coffee_Sales_Dataset[[#This Row],[Date]])</f>
        <v>11</v>
      </c>
      <c r="D600" t="s">
        <v>43</v>
      </c>
      <c r="E600" t="s">
        <v>27</v>
      </c>
      <c r="F600" t="s">
        <v>22</v>
      </c>
      <c r="G600">
        <v>6.05</v>
      </c>
      <c r="H600" t="s">
        <v>15</v>
      </c>
      <c r="I600" t="s">
        <v>16</v>
      </c>
      <c r="J600" t="s">
        <v>42</v>
      </c>
      <c r="K600" t="s">
        <v>32</v>
      </c>
      <c r="L600">
        <v>8</v>
      </c>
      <c r="M600" t="s">
        <v>39</v>
      </c>
      <c r="N600">
        <v>4</v>
      </c>
    </row>
    <row r="601" spans="1:14" x14ac:dyDescent="0.35">
      <c r="A601" s="5">
        <v>45641.388888888891</v>
      </c>
      <c r="B601" s="1" t="str">
        <f>TEXT(Coffee_Sales_Dataset[[#This Row],[Date]],"ddd")</f>
        <v>Sun</v>
      </c>
      <c r="C601">
        <f>HOUR(Coffee_Sales_Dataset[[#This Row],[Date]])</f>
        <v>9</v>
      </c>
      <c r="D601" t="s">
        <v>41</v>
      </c>
      <c r="E601" t="s">
        <v>46</v>
      </c>
      <c r="F601" t="s">
        <v>35</v>
      </c>
      <c r="G601">
        <v>4.5599999999999996</v>
      </c>
      <c r="H601" t="s">
        <v>15</v>
      </c>
      <c r="I601" t="s">
        <v>16</v>
      </c>
      <c r="J601" t="s">
        <v>45</v>
      </c>
      <c r="K601" t="s">
        <v>18</v>
      </c>
      <c r="L601">
        <v>2</v>
      </c>
      <c r="M601" t="s">
        <v>37</v>
      </c>
      <c r="N601">
        <v>1</v>
      </c>
    </row>
    <row r="602" spans="1:14" x14ac:dyDescent="0.35">
      <c r="A602" s="5">
        <v>45644.388194444444</v>
      </c>
      <c r="B602" s="1" t="str">
        <f>TEXT(Coffee_Sales_Dataset[[#This Row],[Date]],"ddd")</f>
        <v>Wed</v>
      </c>
      <c r="C602">
        <f>HOUR(Coffee_Sales_Dataset[[#This Row],[Date]])</f>
        <v>9</v>
      </c>
      <c r="D602" t="s">
        <v>41</v>
      </c>
      <c r="E602" t="s">
        <v>44</v>
      </c>
      <c r="F602" t="s">
        <v>35</v>
      </c>
      <c r="G602">
        <v>5.17</v>
      </c>
      <c r="H602" t="s">
        <v>28</v>
      </c>
      <c r="I602" t="s">
        <v>16</v>
      </c>
      <c r="J602" t="s">
        <v>45</v>
      </c>
      <c r="K602" t="s">
        <v>40</v>
      </c>
      <c r="L602">
        <v>10</v>
      </c>
      <c r="M602" t="s">
        <v>39</v>
      </c>
      <c r="N602">
        <v>1</v>
      </c>
    </row>
    <row r="603" spans="1:14" x14ac:dyDescent="0.35">
      <c r="A603" s="5">
        <v>45656.591666666667</v>
      </c>
      <c r="B603" s="1" t="str">
        <f>TEXT(Coffee_Sales_Dataset[[#This Row],[Date]],"ddd")</f>
        <v>Mon</v>
      </c>
      <c r="C603">
        <f>HOUR(Coffee_Sales_Dataset[[#This Row],[Date]])</f>
        <v>14</v>
      </c>
      <c r="D603" t="s">
        <v>43</v>
      </c>
      <c r="E603" t="s">
        <v>38</v>
      </c>
      <c r="F603" t="s">
        <v>14</v>
      </c>
      <c r="G603">
        <v>6.29</v>
      </c>
      <c r="H603" t="s">
        <v>28</v>
      </c>
      <c r="I603" t="s">
        <v>16</v>
      </c>
      <c r="J603" t="s">
        <v>45</v>
      </c>
      <c r="K603" t="s">
        <v>18</v>
      </c>
      <c r="L603">
        <v>10</v>
      </c>
      <c r="M603" t="s">
        <v>33</v>
      </c>
      <c r="N603">
        <v>2</v>
      </c>
    </row>
    <row r="604" spans="1:14" x14ac:dyDescent="0.35">
      <c r="A604" s="5">
        <v>45649.373611111114</v>
      </c>
      <c r="B604" s="1" t="str">
        <f>TEXT(Coffee_Sales_Dataset[[#This Row],[Date]],"ddd")</f>
        <v>Mon</v>
      </c>
      <c r="C604">
        <f>HOUR(Coffee_Sales_Dataset[[#This Row],[Date]])</f>
        <v>8</v>
      </c>
      <c r="D604" t="s">
        <v>20</v>
      </c>
      <c r="E604" t="s">
        <v>13</v>
      </c>
      <c r="F604" t="s">
        <v>22</v>
      </c>
      <c r="G604">
        <v>6.8</v>
      </c>
      <c r="H604" t="s">
        <v>30</v>
      </c>
      <c r="I604" t="s">
        <v>16</v>
      </c>
      <c r="J604" t="s">
        <v>29</v>
      </c>
      <c r="K604" t="s">
        <v>18</v>
      </c>
      <c r="L604">
        <v>5</v>
      </c>
      <c r="M604" t="s">
        <v>25</v>
      </c>
      <c r="N604">
        <v>2</v>
      </c>
    </row>
    <row r="605" spans="1:14" x14ac:dyDescent="0.35">
      <c r="A605" s="5">
        <v>45650.708333333336</v>
      </c>
      <c r="B605" s="1" t="str">
        <f>TEXT(Coffee_Sales_Dataset[[#This Row],[Date]],"ddd")</f>
        <v>Tue</v>
      </c>
      <c r="C605">
        <f>HOUR(Coffee_Sales_Dataset[[#This Row],[Date]])</f>
        <v>17</v>
      </c>
      <c r="D605" t="s">
        <v>26</v>
      </c>
      <c r="E605" t="s">
        <v>46</v>
      </c>
      <c r="F605" t="s">
        <v>14</v>
      </c>
      <c r="G605">
        <v>6.6</v>
      </c>
      <c r="H605" t="s">
        <v>30</v>
      </c>
      <c r="I605" t="s">
        <v>16</v>
      </c>
      <c r="J605" t="s">
        <v>29</v>
      </c>
      <c r="K605" t="s">
        <v>40</v>
      </c>
      <c r="L605">
        <v>7</v>
      </c>
      <c r="M605" t="s">
        <v>36</v>
      </c>
      <c r="N605">
        <v>4</v>
      </c>
    </row>
    <row r="606" spans="1:14" x14ac:dyDescent="0.35">
      <c r="A606" s="5">
        <v>45654.581944444442</v>
      </c>
      <c r="B606" s="1" t="str">
        <f>TEXT(Coffee_Sales_Dataset[[#This Row],[Date]],"ddd")</f>
        <v>Sat</v>
      </c>
      <c r="C606">
        <f>HOUR(Coffee_Sales_Dataset[[#This Row],[Date]])</f>
        <v>13</v>
      </c>
      <c r="D606" t="s">
        <v>12</v>
      </c>
      <c r="E606" t="s">
        <v>13</v>
      </c>
      <c r="F606" t="s">
        <v>14</v>
      </c>
      <c r="G606">
        <v>3.57</v>
      </c>
      <c r="H606" t="s">
        <v>30</v>
      </c>
      <c r="I606" t="s">
        <v>16</v>
      </c>
      <c r="J606" t="s">
        <v>42</v>
      </c>
      <c r="K606" t="s">
        <v>18</v>
      </c>
      <c r="L606">
        <v>6</v>
      </c>
      <c r="M606" t="s">
        <v>36</v>
      </c>
      <c r="N606">
        <v>3</v>
      </c>
    </row>
    <row r="607" spans="1:14" x14ac:dyDescent="0.35">
      <c r="A607" s="5">
        <v>45647.351388888892</v>
      </c>
      <c r="B607" s="1" t="str">
        <f>TEXT(Coffee_Sales_Dataset[[#This Row],[Date]],"ddd")</f>
        <v>Sat</v>
      </c>
      <c r="C607">
        <f>HOUR(Coffee_Sales_Dataset[[#This Row],[Date]])</f>
        <v>8</v>
      </c>
      <c r="D607" t="s">
        <v>12</v>
      </c>
      <c r="E607" t="s">
        <v>46</v>
      </c>
      <c r="F607" t="s">
        <v>22</v>
      </c>
      <c r="G607">
        <v>6.37</v>
      </c>
      <c r="H607" t="s">
        <v>30</v>
      </c>
      <c r="I607" t="s">
        <v>16</v>
      </c>
      <c r="J607" t="s">
        <v>24</v>
      </c>
      <c r="K607" t="s">
        <v>18</v>
      </c>
      <c r="L607">
        <v>2</v>
      </c>
      <c r="M607" t="s">
        <v>19</v>
      </c>
      <c r="N607">
        <v>4</v>
      </c>
    </row>
    <row r="608" spans="1:14" x14ac:dyDescent="0.35">
      <c r="A608" s="5">
        <v>45641.630555555559</v>
      </c>
      <c r="B608" s="1" t="str">
        <f>TEXT(Coffee_Sales_Dataset[[#This Row],[Date]],"ddd")</f>
        <v>Sun</v>
      </c>
      <c r="C608">
        <f>HOUR(Coffee_Sales_Dataset[[#This Row],[Date]])</f>
        <v>15</v>
      </c>
      <c r="D608" t="s">
        <v>20</v>
      </c>
      <c r="E608" t="s">
        <v>13</v>
      </c>
      <c r="F608" t="s">
        <v>35</v>
      </c>
      <c r="G608">
        <v>3.46</v>
      </c>
      <c r="H608" t="s">
        <v>30</v>
      </c>
      <c r="I608" t="s">
        <v>16</v>
      </c>
      <c r="J608" t="s">
        <v>29</v>
      </c>
      <c r="K608" t="s">
        <v>40</v>
      </c>
      <c r="L608">
        <v>10</v>
      </c>
      <c r="M608" t="s">
        <v>47</v>
      </c>
      <c r="N608">
        <v>2</v>
      </c>
    </row>
    <row r="609" spans="1:14" x14ac:dyDescent="0.35">
      <c r="A609" s="5">
        <v>45656.529861111114</v>
      </c>
      <c r="B609" s="1" t="str">
        <f>TEXT(Coffee_Sales_Dataset[[#This Row],[Date]],"ddd")</f>
        <v>Mon</v>
      </c>
      <c r="C609">
        <f>HOUR(Coffee_Sales_Dataset[[#This Row],[Date]])</f>
        <v>12</v>
      </c>
      <c r="D609" t="s">
        <v>12</v>
      </c>
      <c r="E609" t="s">
        <v>34</v>
      </c>
      <c r="F609" t="s">
        <v>35</v>
      </c>
      <c r="G609">
        <v>4.1500000000000004</v>
      </c>
      <c r="H609" t="s">
        <v>28</v>
      </c>
      <c r="I609" t="s">
        <v>16</v>
      </c>
      <c r="J609" t="s">
        <v>29</v>
      </c>
      <c r="K609" t="s">
        <v>40</v>
      </c>
      <c r="L609">
        <v>8</v>
      </c>
      <c r="M609" t="s">
        <v>33</v>
      </c>
      <c r="N609">
        <v>2</v>
      </c>
    </row>
    <row r="610" spans="1:14" x14ac:dyDescent="0.35">
      <c r="A610" s="5">
        <v>45656.70416666667</v>
      </c>
      <c r="B610" s="1" t="str">
        <f>TEXT(Coffee_Sales_Dataset[[#This Row],[Date]],"ddd")</f>
        <v>Mon</v>
      </c>
      <c r="C610">
        <f>HOUR(Coffee_Sales_Dataset[[#This Row],[Date]])</f>
        <v>16</v>
      </c>
      <c r="D610" t="s">
        <v>12</v>
      </c>
      <c r="E610" t="s">
        <v>27</v>
      </c>
      <c r="F610" t="s">
        <v>14</v>
      </c>
      <c r="G610">
        <v>5.07</v>
      </c>
      <c r="H610" t="s">
        <v>30</v>
      </c>
      <c r="I610" t="s">
        <v>16</v>
      </c>
      <c r="J610" t="s">
        <v>42</v>
      </c>
      <c r="K610" t="s">
        <v>40</v>
      </c>
      <c r="L610">
        <v>3</v>
      </c>
      <c r="M610" t="s">
        <v>36</v>
      </c>
      <c r="N610">
        <v>1</v>
      </c>
    </row>
    <row r="611" spans="1:14" x14ac:dyDescent="0.35">
      <c r="A611" s="5">
        <v>45654.420138888891</v>
      </c>
      <c r="B611" s="1" t="str">
        <f>TEXT(Coffee_Sales_Dataset[[#This Row],[Date]],"ddd")</f>
        <v>Sat</v>
      </c>
      <c r="C611">
        <f>HOUR(Coffee_Sales_Dataset[[#This Row],[Date]])</f>
        <v>10</v>
      </c>
      <c r="D611" t="s">
        <v>26</v>
      </c>
      <c r="E611" t="s">
        <v>27</v>
      </c>
      <c r="F611" t="s">
        <v>22</v>
      </c>
      <c r="G611">
        <v>5.46</v>
      </c>
      <c r="H611" t="s">
        <v>15</v>
      </c>
      <c r="I611" t="s">
        <v>23</v>
      </c>
      <c r="J611" t="s">
        <v>42</v>
      </c>
      <c r="K611" t="s">
        <v>18</v>
      </c>
      <c r="L611">
        <v>2</v>
      </c>
      <c r="M611" t="s">
        <v>19</v>
      </c>
      <c r="N611">
        <v>5</v>
      </c>
    </row>
    <row r="612" spans="1:14" x14ac:dyDescent="0.35">
      <c r="A612" s="5">
        <v>45653.492361111108</v>
      </c>
      <c r="B612" s="1" t="str">
        <f>TEXT(Coffee_Sales_Dataset[[#This Row],[Date]],"ddd")</f>
        <v>Fri</v>
      </c>
      <c r="C612">
        <f>HOUR(Coffee_Sales_Dataset[[#This Row],[Date]])</f>
        <v>11</v>
      </c>
      <c r="D612" t="s">
        <v>20</v>
      </c>
      <c r="E612" t="s">
        <v>44</v>
      </c>
      <c r="F612" t="s">
        <v>22</v>
      </c>
      <c r="G612">
        <v>3.18</v>
      </c>
      <c r="H612" t="s">
        <v>30</v>
      </c>
      <c r="I612" t="s">
        <v>23</v>
      </c>
      <c r="J612" t="s">
        <v>24</v>
      </c>
      <c r="K612" t="s">
        <v>32</v>
      </c>
      <c r="L612">
        <v>4</v>
      </c>
      <c r="M612" t="s">
        <v>47</v>
      </c>
      <c r="N612">
        <v>4</v>
      </c>
    </row>
    <row r="613" spans="1:14" x14ac:dyDescent="0.35">
      <c r="A613" s="5">
        <v>45644.350694444445</v>
      </c>
      <c r="B613" s="1" t="str">
        <f>TEXT(Coffee_Sales_Dataset[[#This Row],[Date]],"ddd")</f>
        <v>Wed</v>
      </c>
      <c r="C613">
        <f>HOUR(Coffee_Sales_Dataset[[#This Row],[Date]])</f>
        <v>8</v>
      </c>
      <c r="D613" t="s">
        <v>12</v>
      </c>
      <c r="E613" t="s">
        <v>27</v>
      </c>
      <c r="F613" t="s">
        <v>22</v>
      </c>
      <c r="G613">
        <v>5.0199999999999996</v>
      </c>
      <c r="H613" t="s">
        <v>30</v>
      </c>
      <c r="I613" t="s">
        <v>23</v>
      </c>
      <c r="J613" t="s">
        <v>45</v>
      </c>
      <c r="K613" t="s">
        <v>40</v>
      </c>
      <c r="L613">
        <v>7</v>
      </c>
      <c r="M613" t="s">
        <v>19</v>
      </c>
      <c r="N613">
        <v>4</v>
      </c>
    </row>
    <row r="614" spans="1:14" x14ac:dyDescent="0.35">
      <c r="A614" s="5">
        <v>45641.62777777778</v>
      </c>
      <c r="B614" s="1" t="str">
        <f>TEXT(Coffee_Sales_Dataset[[#This Row],[Date]],"ddd")</f>
        <v>Sun</v>
      </c>
      <c r="C614">
        <f>HOUR(Coffee_Sales_Dataset[[#This Row],[Date]])</f>
        <v>15</v>
      </c>
      <c r="D614" t="s">
        <v>20</v>
      </c>
      <c r="E614" t="s">
        <v>38</v>
      </c>
      <c r="F614" t="s">
        <v>35</v>
      </c>
      <c r="G614">
        <v>4.1500000000000004</v>
      </c>
      <c r="H614" t="s">
        <v>30</v>
      </c>
      <c r="I614" t="s">
        <v>23</v>
      </c>
      <c r="J614" t="s">
        <v>31</v>
      </c>
      <c r="K614" t="s">
        <v>32</v>
      </c>
      <c r="L614">
        <v>2</v>
      </c>
      <c r="M614" t="s">
        <v>39</v>
      </c>
      <c r="N614">
        <v>1</v>
      </c>
    </row>
    <row r="615" spans="1:14" x14ac:dyDescent="0.35">
      <c r="A615" s="5">
        <v>45647.667361111111</v>
      </c>
      <c r="B615" s="1" t="str">
        <f>TEXT(Coffee_Sales_Dataset[[#This Row],[Date]],"ddd")</f>
        <v>Sat</v>
      </c>
      <c r="C615">
        <f>HOUR(Coffee_Sales_Dataset[[#This Row],[Date]])</f>
        <v>16</v>
      </c>
      <c r="D615" t="s">
        <v>41</v>
      </c>
      <c r="E615" t="s">
        <v>44</v>
      </c>
      <c r="F615" t="s">
        <v>14</v>
      </c>
      <c r="G615">
        <v>5.9</v>
      </c>
      <c r="H615" t="s">
        <v>15</v>
      </c>
      <c r="I615" t="s">
        <v>16</v>
      </c>
      <c r="J615" t="s">
        <v>29</v>
      </c>
      <c r="K615" t="s">
        <v>40</v>
      </c>
      <c r="L615">
        <v>3</v>
      </c>
      <c r="M615" t="s">
        <v>19</v>
      </c>
      <c r="N615">
        <v>2</v>
      </c>
    </row>
    <row r="616" spans="1:14" x14ac:dyDescent="0.35">
      <c r="A616" s="5">
        <v>45641.35833333333</v>
      </c>
      <c r="B616" s="1" t="str">
        <f>TEXT(Coffee_Sales_Dataset[[#This Row],[Date]],"ddd")</f>
        <v>Sun</v>
      </c>
      <c r="C616">
        <f>HOUR(Coffee_Sales_Dataset[[#This Row],[Date]])</f>
        <v>8</v>
      </c>
      <c r="D616" t="s">
        <v>26</v>
      </c>
      <c r="E616" t="s">
        <v>21</v>
      </c>
      <c r="F616" t="s">
        <v>22</v>
      </c>
      <c r="G616">
        <v>6.07</v>
      </c>
      <c r="H616" t="s">
        <v>30</v>
      </c>
      <c r="I616" t="s">
        <v>23</v>
      </c>
      <c r="J616" t="s">
        <v>45</v>
      </c>
      <c r="K616" t="s">
        <v>40</v>
      </c>
      <c r="L616">
        <v>10</v>
      </c>
      <c r="M616" t="s">
        <v>39</v>
      </c>
      <c r="N616">
        <v>1</v>
      </c>
    </row>
    <row r="617" spans="1:14" x14ac:dyDescent="0.35">
      <c r="A617" s="5">
        <v>45651.665972222225</v>
      </c>
      <c r="B617" s="1" t="str">
        <f>TEXT(Coffee_Sales_Dataset[[#This Row],[Date]],"ddd")</f>
        <v>Wed</v>
      </c>
      <c r="C617">
        <f>HOUR(Coffee_Sales_Dataset[[#This Row],[Date]])</f>
        <v>15</v>
      </c>
      <c r="D617" t="s">
        <v>41</v>
      </c>
      <c r="E617" t="s">
        <v>44</v>
      </c>
      <c r="F617" t="s">
        <v>22</v>
      </c>
      <c r="G617">
        <v>4.13</v>
      </c>
      <c r="H617" t="s">
        <v>28</v>
      </c>
      <c r="I617" t="s">
        <v>16</v>
      </c>
      <c r="J617" t="s">
        <v>42</v>
      </c>
      <c r="K617" t="s">
        <v>18</v>
      </c>
      <c r="L617">
        <v>5</v>
      </c>
      <c r="M617" t="s">
        <v>19</v>
      </c>
      <c r="N617">
        <v>4</v>
      </c>
    </row>
    <row r="618" spans="1:14" x14ac:dyDescent="0.35">
      <c r="A618" s="5">
        <v>45650.569444444445</v>
      </c>
      <c r="B618" s="1" t="str">
        <f>TEXT(Coffee_Sales_Dataset[[#This Row],[Date]],"ddd")</f>
        <v>Tue</v>
      </c>
      <c r="C618">
        <f>HOUR(Coffee_Sales_Dataset[[#This Row],[Date]])</f>
        <v>13</v>
      </c>
      <c r="D618" t="s">
        <v>12</v>
      </c>
      <c r="E618" t="s">
        <v>46</v>
      </c>
      <c r="F618" t="s">
        <v>14</v>
      </c>
      <c r="G618">
        <v>4.82</v>
      </c>
      <c r="H618" t="s">
        <v>15</v>
      </c>
      <c r="I618" t="s">
        <v>23</v>
      </c>
      <c r="J618" t="s">
        <v>17</v>
      </c>
      <c r="K618" t="s">
        <v>32</v>
      </c>
      <c r="L618">
        <v>4</v>
      </c>
      <c r="M618" t="s">
        <v>25</v>
      </c>
      <c r="N618">
        <v>3</v>
      </c>
    </row>
    <row r="619" spans="1:14" x14ac:dyDescent="0.35">
      <c r="A619" s="5">
        <v>45655.574305555558</v>
      </c>
      <c r="B619" s="1" t="str">
        <f>TEXT(Coffee_Sales_Dataset[[#This Row],[Date]],"ddd")</f>
        <v>Sun</v>
      </c>
      <c r="C619">
        <f>HOUR(Coffee_Sales_Dataset[[#This Row],[Date]])</f>
        <v>13</v>
      </c>
      <c r="D619" t="s">
        <v>26</v>
      </c>
      <c r="E619" t="s">
        <v>46</v>
      </c>
      <c r="F619" t="s">
        <v>22</v>
      </c>
      <c r="G619">
        <v>3.58</v>
      </c>
      <c r="H619" t="s">
        <v>15</v>
      </c>
      <c r="I619" t="s">
        <v>16</v>
      </c>
      <c r="J619" t="s">
        <v>45</v>
      </c>
      <c r="K619" t="s">
        <v>18</v>
      </c>
      <c r="L619">
        <v>5</v>
      </c>
      <c r="M619" t="s">
        <v>25</v>
      </c>
      <c r="N619">
        <v>2</v>
      </c>
    </row>
    <row r="620" spans="1:14" x14ac:dyDescent="0.35">
      <c r="A620" s="5">
        <v>45654.550694444442</v>
      </c>
      <c r="B620" s="1" t="str">
        <f>TEXT(Coffee_Sales_Dataset[[#This Row],[Date]],"ddd")</f>
        <v>Sat</v>
      </c>
      <c r="C620">
        <f>HOUR(Coffee_Sales_Dataset[[#This Row],[Date]])</f>
        <v>13</v>
      </c>
      <c r="D620" t="s">
        <v>12</v>
      </c>
      <c r="E620" t="s">
        <v>46</v>
      </c>
      <c r="F620" t="s">
        <v>22</v>
      </c>
      <c r="G620">
        <v>4.84</v>
      </c>
      <c r="H620" t="s">
        <v>15</v>
      </c>
      <c r="I620" t="s">
        <v>16</v>
      </c>
      <c r="J620" t="s">
        <v>42</v>
      </c>
      <c r="K620" t="s">
        <v>32</v>
      </c>
      <c r="L620">
        <v>7</v>
      </c>
      <c r="M620" t="s">
        <v>47</v>
      </c>
      <c r="N620">
        <v>3</v>
      </c>
    </row>
    <row r="621" spans="1:14" x14ac:dyDescent="0.35">
      <c r="A621" s="5">
        <v>45651.448611111111</v>
      </c>
      <c r="B621" s="1" t="str">
        <f>TEXT(Coffee_Sales_Dataset[[#This Row],[Date]],"ddd")</f>
        <v>Wed</v>
      </c>
      <c r="C621">
        <f>HOUR(Coffee_Sales_Dataset[[#This Row],[Date]])</f>
        <v>10</v>
      </c>
      <c r="D621" t="s">
        <v>41</v>
      </c>
      <c r="E621" t="s">
        <v>27</v>
      </c>
      <c r="F621" t="s">
        <v>14</v>
      </c>
      <c r="G621">
        <v>3.87</v>
      </c>
      <c r="H621" t="s">
        <v>30</v>
      </c>
      <c r="I621" t="s">
        <v>23</v>
      </c>
      <c r="J621" t="s">
        <v>45</v>
      </c>
      <c r="K621" t="s">
        <v>18</v>
      </c>
      <c r="L621">
        <v>7</v>
      </c>
      <c r="M621" t="s">
        <v>25</v>
      </c>
      <c r="N621">
        <v>5</v>
      </c>
    </row>
    <row r="622" spans="1:14" x14ac:dyDescent="0.35">
      <c r="A622" s="5">
        <v>45654.599305555559</v>
      </c>
      <c r="B622" s="1" t="str">
        <f>TEXT(Coffee_Sales_Dataset[[#This Row],[Date]],"ddd")</f>
        <v>Sat</v>
      </c>
      <c r="C622">
        <f>HOUR(Coffee_Sales_Dataset[[#This Row],[Date]])</f>
        <v>14</v>
      </c>
      <c r="D622" t="s">
        <v>43</v>
      </c>
      <c r="E622" t="s">
        <v>27</v>
      </c>
      <c r="F622" t="s">
        <v>22</v>
      </c>
      <c r="G622">
        <v>3.57</v>
      </c>
      <c r="H622" t="s">
        <v>30</v>
      </c>
      <c r="I622" t="s">
        <v>16</v>
      </c>
      <c r="J622" t="s">
        <v>24</v>
      </c>
      <c r="K622" t="s">
        <v>18</v>
      </c>
      <c r="L622">
        <v>8</v>
      </c>
      <c r="M622" t="s">
        <v>39</v>
      </c>
      <c r="N622">
        <v>2</v>
      </c>
    </row>
    <row r="623" spans="1:14" x14ac:dyDescent="0.35">
      <c r="A623" s="5">
        <v>45644.705555555556</v>
      </c>
      <c r="B623" s="1" t="str">
        <f>TEXT(Coffee_Sales_Dataset[[#This Row],[Date]],"ddd")</f>
        <v>Wed</v>
      </c>
      <c r="C623">
        <f>HOUR(Coffee_Sales_Dataset[[#This Row],[Date]])</f>
        <v>16</v>
      </c>
      <c r="D623" t="s">
        <v>20</v>
      </c>
      <c r="E623" t="s">
        <v>44</v>
      </c>
      <c r="F623" t="s">
        <v>22</v>
      </c>
      <c r="G623">
        <v>6.75</v>
      </c>
      <c r="H623" t="s">
        <v>15</v>
      </c>
      <c r="I623" t="s">
        <v>23</v>
      </c>
      <c r="J623" t="s">
        <v>42</v>
      </c>
      <c r="K623" t="s">
        <v>40</v>
      </c>
      <c r="L623">
        <v>5</v>
      </c>
      <c r="M623" t="s">
        <v>25</v>
      </c>
      <c r="N623">
        <v>5</v>
      </c>
    </row>
    <row r="624" spans="1:14" x14ac:dyDescent="0.35">
      <c r="A624" s="5">
        <v>45651.532638888886</v>
      </c>
      <c r="B624" s="1" t="str">
        <f>TEXT(Coffee_Sales_Dataset[[#This Row],[Date]],"ddd")</f>
        <v>Wed</v>
      </c>
      <c r="C624">
        <f>HOUR(Coffee_Sales_Dataset[[#This Row],[Date]])</f>
        <v>12</v>
      </c>
      <c r="D624" t="s">
        <v>41</v>
      </c>
      <c r="E624" t="s">
        <v>21</v>
      </c>
      <c r="F624" t="s">
        <v>14</v>
      </c>
      <c r="G624">
        <v>5.56</v>
      </c>
      <c r="H624" t="s">
        <v>28</v>
      </c>
      <c r="I624" t="s">
        <v>23</v>
      </c>
      <c r="J624" t="s">
        <v>17</v>
      </c>
      <c r="K624" t="s">
        <v>32</v>
      </c>
      <c r="L624">
        <v>7</v>
      </c>
      <c r="M624" t="s">
        <v>25</v>
      </c>
      <c r="N624">
        <v>2</v>
      </c>
    </row>
    <row r="625" spans="1:14" x14ac:dyDescent="0.35">
      <c r="A625" s="5">
        <v>45654.45</v>
      </c>
      <c r="B625" s="1" t="str">
        <f>TEXT(Coffee_Sales_Dataset[[#This Row],[Date]],"ddd")</f>
        <v>Sat</v>
      </c>
      <c r="C625">
        <f>HOUR(Coffee_Sales_Dataset[[#This Row],[Date]])</f>
        <v>10</v>
      </c>
      <c r="D625" t="s">
        <v>12</v>
      </c>
      <c r="E625" t="s">
        <v>34</v>
      </c>
      <c r="F625" t="s">
        <v>35</v>
      </c>
      <c r="G625">
        <v>6.73</v>
      </c>
      <c r="H625" t="s">
        <v>28</v>
      </c>
      <c r="I625" t="s">
        <v>23</v>
      </c>
      <c r="J625" t="s">
        <v>45</v>
      </c>
      <c r="K625" t="s">
        <v>40</v>
      </c>
      <c r="L625">
        <v>3</v>
      </c>
      <c r="M625" t="s">
        <v>39</v>
      </c>
      <c r="N625">
        <v>1</v>
      </c>
    </row>
    <row r="626" spans="1:14" x14ac:dyDescent="0.35">
      <c r="A626" s="5">
        <v>45641.347916666666</v>
      </c>
      <c r="B626" s="1" t="str">
        <f>TEXT(Coffee_Sales_Dataset[[#This Row],[Date]],"ddd")</f>
        <v>Sun</v>
      </c>
      <c r="C626">
        <f>HOUR(Coffee_Sales_Dataset[[#This Row],[Date]])</f>
        <v>8</v>
      </c>
      <c r="D626" t="s">
        <v>26</v>
      </c>
      <c r="E626" t="s">
        <v>34</v>
      </c>
      <c r="F626" t="s">
        <v>22</v>
      </c>
      <c r="G626">
        <v>3.81</v>
      </c>
      <c r="H626" t="s">
        <v>30</v>
      </c>
      <c r="I626" t="s">
        <v>23</v>
      </c>
      <c r="J626" t="s">
        <v>24</v>
      </c>
      <c r="K626" t="s">
        <v>40</v>
      </c>
      <c r="L626">
        <v>7</v>
      </c>
      <c r="M626" t="s">
        <v>37</v>
      </c>
      <c r="N626">
        <v>3</v>
      </c>
    </row>
    <row r="627" spans="1:14" x14ac:dyDescent="0.35">
      <c r="A627" s="5">
        <v>45650.645833333336</v>
      </c>
      <c r="B627" s="1" t="str">
        <f>TEXT(Coffee_Sales_Dataset[[#This Row],[Date]],"ddd")</f>
        <v>Tue</v>
      </c>
      <c r="C627">
        <f>HOUR(Coffee_Sales_Dataset[[#This Row],[Date]])</f>
        <v>15</v>
      </c>
      <c r="D627" t="s">
        <v>43</v>
      </c>
      <c r="E627" t="s">
        <v>44</v>
      </c>
      <c r="F627" t="s">
        <v>14</v>
      </c>
      <c r="G627">
        <v>4.16</v>
      </c>
      <c r="H627" t="s">
        <v>30</v>
      </c>
      <c r="I627" t="s">
        <v>23</v>
      </c>
      <c r="J627" t="s">
        <v>17</v>
      </c>
      <c r="K627" t="s">
        <v>40</v>
      </c>
      <c r="L627">
        <v>8</v>
      </c>
      <c r="M627" t="s">
        <v>39</v>
      </c>
      <c r="N627">
        <v>5</v>
      </c>
    </row>
    <row r="628" spans="1:14" x14ac:dyDescent="0.35">
      <c r="A628" s="5">
        <v>45655.590277777781</v>
      </c>
      <c r="B628" s="1" t="str">
        <f>TEXT(Coffee_Sales_Dataset[[#This Row],[Date]],"ddd")</f>
        <v>Sun</v>
      </c>
      <c r="C628">
        <f>HOUR(Coffee_Sales_Dataset[[#This Row],[Date]])</f>
        <v>14</v>
      </c>
      <c r="D628" t="s">
        <v>41</v>
      </c>
      <c r="E628" t="s">
        <v>38</v>
      </c>
      <c r="F628" t="s">
        <v>35</v>
      </c>
      <c r="G628">
        <v>4.88</v>
      </c>
      <c r="H628" t="s">
        <v>15</v>
      </c>
      <c r="I628" t="s">
        <v>23</v>
      </c>
      <c r="J628" t="s">
        <v>29</v>
      </c>
      <c r="K628" t="s">
        <v>18</v>
      </c>
      <c r="L628">
        <v>4</v>
      </c>
      <c r="M628" t="s">
        <v>25</v>
      </c>
      <c r="N628">
        <v>1</v>
      </c>
    </row>
    <row r="629" spans="1:14" x14ac:dyDescent="0.35">
      <c r="A629" s="5">
        <v>45653.455555555556</v>
      </c>
      <c r="B629" s="1" t="str">
        <f>TEXT(Coffee_Sales_Dataset[[#This Row],[Date]],"ddd")</f>
        <v>Fri</v>
      </c>
      <c r="C629">
        <f>HOUR(Coffee_Sales_Dataset[[#This Row],[Date]])</f>
        <v>10</v>
      </c>
      <c r="D629" t="s">
        <v>12</v>
      </c>
      <c r="E629" t="s">
        <v>46</v>
      </c>
      <c r="F629" t="s">
        <v>22</v>
      </c>
      <c r="G629">
        <v>4.91</v>
      </c>
      <c r="H629" t="s">
        <v>30</v>
      </c>
      <c r="I629" t="s">
        <v>16</v>
      </c>
      <c r="J629" t="s">
        <v>42</v>
      </c>
      <c r="K629" t="s">
        <v>18</v>
      </c>
      <c r="L629">
        <v>4</v>
      </c>
      <c r="M629" t="s">
        <v>25</v>
      </c>
      <c r="N629">
        <v>1</v>
      </c>
    </row>
    <row r="630" spans="1:14" x14ac:dyDescent="0.35">
      <c r="A630" s="5">
        <v>45656.723611111112</v>
      </c>
      <c r="B630" s="1" t="str">
        <f>TEXT(Coffee_Sales_Dataset[[#This Row],[Date]],"ddd")</f>
        <v>Mon</v>
      </c>
      <c r="C630">
        <f>HOUR(Coffee_Sales_Dataset[[#This Row],[Date]])</f>
        <v>17</v>
      </c>
      <c r="D630" t="s">
        <v>43</v>
      </c>
      <c r="E630" t="s">
        <v>13</v>
      </c>
      <c r="F630" t="s">
        <v>22</v>
      </c>
      <c r="G630">
        <v>3.28</v>
      </c>
      <c r="H630" t="s">
        <v>30</v>
      </c>
      <c r="I630" t="s">
        <v>16</v>
      </c>
      <c r="J630" t="s">
        <v>45</v>
      </c>
      <c r="K630" t="s">
        <v>32</v>
      </c>
      <c r="L630">
        <v>4</v>
      </c>
      <c r="M630" t="s">
        <v>39</v>
      </c>
      <c r="N630">
        <v>2</v>
      </c>
    </row>
    <row r="631" spans="1:14" x14ac:dyDescent="0.35">
      <c r="A631" s="5">
        <v>45656.554166666669</v>
      </c>
      <c r="B631" s="1" t="str">
        <f>TEXT(Coffee_Sales_Dataset[[#This Row],[Date]],"ddd")</f>
        <v>Mon</v>
      </c>
      <c r="C631">
        <f>HOUR(Coffee_Sales_Dataset[[#This Row],[Date]])</f>
        <v>13</v>
      </c>
      <c r="D631" t="s">
        <v>26</v>
      </c>
      <c r="E631" t="s">
        <v>34</v>
      </c>
      <c r="F631" t="s">
        <v>35</v>
      </c>
      <c r="G631">
        <v>6.93</v>
      </c>
      <c r="H631" t="s">
        <v>15</v>
      </c>
      <c r="I631" t="s">
        <v>23</v>
      </c>
      <c r="J631" t="s">
        <v>31</v>
      </c>
      <c r="K631" t="s">
        <v>18</v>
      </c>
      <c r="L631">
        <v>8</v>
      </c>
      <c r="M631" t="s">
        <v>36</v>
      </c>
      <c r="N631">
        <v>3</v>
      </c>
    </row>
    <row r="632" spans="1:14" x14ac:dyDescent="0.35">
      <c r="A632" s="5">
        <v>45654.480555555558</v>
      </c>
      <c r="B632" s="1" t="str">
        <f>TEXT(Coffee_Sales_Dataset[[#This Row],[Date]],"ddd")</f>
        <v>Sat</v>
      </c>
      <c r="C632">
        <f>HOUR(Coffee_Sales_Dataset[[#This Row],[Date]])</f>
        <v>11</v>
      </c>
      <c r="D632" t="s">
        <v>43</v>
      </c>
      <c r="E632" t="s">
        <v>38</v>
      </c>
      <c r="F632" t="s">
        <v>14</v>
      </c>
      <c r="G632">
        <v>4.96</v>
      </c>
      <c r="H632" t="s">
        <v>30</v>
      </c>
      <c r="I632" t="s">
        <v>23</v>
      </c>
      <c r="J632" t="s">
        <v>45</v>
      </c>
      <c r="K632" t="s">
        <v>40</v>
      </c>
      <c r="L632">
        <v>6</v>
      </c>
      <c r="M632" t="s">
        <v>47</v>
      </c>
      <c r="N632">
        <v>4</v>
      </c>
    </row>
    <row r="633" spans="1:14" x14ac:dyDescent="0.35">
      <c r="A633" s="5">
        <v>45656.543055555558</v>
      </c>
      <c r="B633" s="1" t="str">
        <f>TEXT(Coffee_Sales_Dataset[[#This Row],[Date]],"ddd")</f>
        <v>Mon</v>
      </c>
      <c r="C633">
        <f>HOUR(Coffee_Sales_Dataset[[#This Row],[Date]])</f>
        <v>13</v>
      </c>
      <c r="D633" t="s">
        <v>43</v>
      </c>
      <c r="E633" t="s">
        <v>44</v>
      </c>
      <c r="F633" t="s">
        <v>35</v>
      </c>
      <c r="G633">
        <v>4.83</v>
      </c>
      <c r="H633" t="s">
        <v>30</v>
      </c>
      <c r="I633" t="s">
        <v>16</v>
      </c>
      <c r="J633" t="s">
        <v>31</v>
      </c>
      <c r="K633" t="s">
        <v>40</v>
      </c>
      <c r="L633">
        <v>4</v>
      </c>
      <c r="M633" t="s">
        <v>33</v>
      </c>
      <c r="N633">
        <v>5</v>
      </c>
    </row>
    <row r="634" spans="1:14" x14ac:dyDescent="0.35">
      <c r="A634" s="5">
        <v>45641.709027777775</v>
      </c>
      <c r="B634" s="1" t="str">
        <f>TEXT(Coffee_Sales_Dataset[[#This Row],[Date]],"ddd")</f>
        <v>Sun</v>
      </c>
      <c r="C634">
        <f>HOUR(Coffee_Sales_Dataset[[#This Row],[Date]])</f>
        <v>17</v>
      </c>
      <c r="D634" t="s">
        <v>43</v>
      </c>
      <c r="E634" t="s">
        <v>46</v>
      </c>
      <c r="F634" t="s">
        <v>14</v>
      </c>
      <c r="G634">
        <v>6.62</v>
      </c>
      <c r="H634" t="s">
        <v>15</v>
      </c>
      <c r="I634" t="s">
        <v>16</v>
      </c>
      <c r="J634" t="s">
        <v>29</v>
      </c>
      <c r="K634" t="s">
        <v>18</v>
      </c>
      <c r="L634">
        <v>6</v>
      </c>
      <c r="M634" t="s">
        <v>19</v>
      </c>
      <c r="N634">
        <v>4</v>
      </c>
    </row>
    <row r="635" spans="1:14" x14ac:dyDescent="0.35">
      <c r="A635" s="5">
        <v>45646.70416666667</v>
      </c>
      <c r="B635" s="1" t="str">
        <f>TEXT(Coffee_Sales_Dataset[[#This Row],[Date]],"ddd")</f>
        <v>Fri</v>
      </c>
      <c r="C635">
        <f>HOUR(Coffee_Sales_Dataset[[#This Row],[Date]])</f>
        <v>16</v>
      </c>
      <c r="D635" t="s">
        <v>12</v>
      </c>
      <c r="E635" t="s">
        <v>46</v>
      </c>
      <c r="F635" t="s">
        <v>35</v>
      </c>
      <c r="G635">
        <v>4.37</v>
      </c>
      <c r="H635" t="s">
        <v>15</v>
      </c>
      <c r="I635" t="s">
        <v>16</v>
      </c>
      <c r="J635" t="s">
        <v>31</v>
      </c>
      <c r="K635" t="s">
        <v>40</v>
      </c>
      <c r="L635">
        <v>9</v>
      </c>
      <c r="M635" t="s">
        <v>47</v>
      </c>
      <c r="N635">
        <v>3</v>
      </c>
    </row>
    <row r="636" spans="1:14" x14ac:dyDescent="0.35">
      <c r="A636" s="5">
        <v>45642.665277777778</v>
      </c>
      <c r="B636" s="1" t="str">
        <f>TEXT(Coffee_Sales_Dataset[[#This Row],[Date]],"ddd")</f>
        <v>Mon</v>
      </c>
      <c r="C636">
        <f>HOUR(Coffee_Sales_Dataset[[#This Row],[Date]])</f>
        <v>15</v>
      </c>
      <c r="D636" t="s">
        <v>26</v>
      </c>
      <c r="E636" t="s">
        <v>21</v>
      </c>
      <c r="F636" t="s">
        <v>35</v>
      </c>
      <c r="G636">
        <v>6.65</v>
      </c>
      <c r="H636" t="s">
        <v>28</v>
      </c>
      <c r="I636" t="s">
        <v>23</v>
      </c>
      <c r="J636" t="s">
        <v>29</v>
      </c>
      <c r="K636" t="s">
        <v>40</v>
      </c>
      <c r="L636">
        <v>3</v>
      </c>
      <c r="M636" t="s">
        <v>36</v>
      </c>
      <c r="N636">
        <v>1</v>
      </c>
    </row>
    <row r="637" spans="1:14" x14ac:dyDescent="0.35">
      <c r="A637" s="5">
        <v>45643.381249999999</v>
      </c>
      <c r="B637" s="1" t="str">
        <f>TEXT(Coffee_Sales_Dataset[[#This Row],[Date]],"ddd")</f>
        <v>Tue</v>
      </c>
      <c r="C637">
        <f>HOUR(Coffee_Sales_Dataset[[#This Row],[Date]])</f>
        <v>9</v>
      </c>
      <c r="D637" t="s">
        <v>41</v>
      </c>
      <c r="E637" t="s">
        <v>21</v>
      </c>
      <c r="F637" t="s">
        <v>14</v>
      </c>
      <c r="G637">
        <v>6.12</v>
      </c>
      <c r="H637" t="s">
        <v>30</v>
      </c>
      <c r="I637" t="s">
        <v>23</v>
      </c>
      <c r="J637" t="s">
        <v>45</v>
      </c>
      <c r="K637" t="s">
        <v>40</v>
      </c>
      <c r="L637">
        <v>7</v>
      </c>
      <c r="M637" t="s">
        <v>33</v>
      </c>
      <c r="N637">
        <v>5</v>
      </c>
    </row>
    <row r="638" spans="1:14" x14ac:dyDescent="0.35">
      <c r="A638" s="5">
        <v>45642.736111111109</v>
      </c>
      <c r="B638" s="1" t="str">
        <f>TEXT(Coffee_Sales_Dataset[[#This Row],[Date]],"ddd")</f>
        <v>Mon</v>
      </c>
      <c r="C638">
        <f>HOUR(Coffee_Sales_Dataset[[#This Row],[Date]])</f>
        <v>17</v>
      </c>
      <c r="D638" t="s">
        <v>12</v>
      </c>
      <c r="E638" t="s">
        <v>44</v>
      </c>
      <c r="F638" t="s">
        <v>22</v>
      </c>
      <c r="G638">
        <v>6.14</v>
      </c>
      <c r="H638" t="s">
        <v>30</v>
      </c>
      <c r="I638" t="s">
        <v>23</v>
      </c>
      <c r="J638" t="s">
        <v>29</v>
      </c>
      <c r="K638" t="s">
        <v>18</v>
      </c>
      <c r="L638">
        <v>4</v>
      </c>
      <c r="M638" t="s">
        <v>36</v>
      </c>
      <c r="N638">
        <v>1</v>
      </c>
    </row>
    <row r="639" spans="1:14" x14ac:dyDescent="0.35">
      <c r="A639" s="5">
        <v>45643.375</v>
      </c>
      <c r="B639" s="1" t="str">
        <f>TEXT(Coffee_Sales_Dataset[[#This Row],[Date]],"ddd")</f>
        <v>Tue</v>
      </c>
      <c r="C639">
        <f>HOUR(Coffee_Sales_Dataset[[#This Row],[Date]])</f>
        <v>9</v>
      </c>
      <c r="D639" t="s">
        <v>12</v>
      </c>
      <c r="E639" t="s">
        <v>21</v>
      </c>
      <c r="F639" t="s">
        <v>35</v>
      </c>
      <c r="G639">
        <v>3.93</v>
      </c>
      <c r="H639" t="s">
        <v>30</v>
      </c>
      <c r="I639" t="s">
        <v>23</v>
      </c>
      <c r="J639" t="s">
        <v>42</v>
      </c>
      <c r="K639" t="s">
        <v>32</v>
      </c>
      <c r="L639">
        <v>10</v>
      </c>
      <c r="M639" t="s">
        <v>36</v>
      </c>
      <c r="N639">
        <v>4</v>
      </c>
    </row>
    <row r="640" spans="1:14" x14ac:dyDescent="0.35">
      <c r="A640" s="5">
        <v>45654.651388888888</v>
      </c>
      <c r="B640" s="1" t="str">
        <f>TEXT(Coffee_Sales_Dataset[[#This Row],[Date]],"ddd")</f>
        <v>Sat</v>
      </c>
      <c r="C640">
        <f>HOUR(Coffee_Sales_Dataset[[#This Row],[Date]])</f>
        <v>15</v>
      </c>
      <c r="D640" t="s">
        <v>20</v>
      </c>
      <c r="E640" t="s">
        <v>46</v>
      </c>
      <c r="F640" t="s">
        <v>22</v>
      </c>
      <c r="G640">
        <v>5.93</v>
      </c>
      <c r="H640" t="s">
        <v>28</v>
      </c>
      <c r="I640" t="s">
        <v>23</v>
      </c>
      <c r="J640" t="s">
        <v>42</v>
      </c>
      <c r="K640" t="s">
        <v>40</v>
      </c>
      <c r="L640">
        <v>10</v>
      </c>
      <c r="M640" t="s">
        <v>39</v>
      </c>
      <c r="N640">
        <v>1</v>
      </c>
    </row>
    <row r="641" spans="1:14" x14ac:dyDescent="0.35">
      <c r="A641" s="5">
        <v>45643.469444444447</v>
      </c>
      <c r="B641" s="1" t="str">
        <f>TEXT(Coffee_Sales_Dataset[[#This Row],[Date]],"ddd")</f>
        <v>Tue</v>
      </c>
      <c r="C641">
        <f>HOUR(Coffee_Sales_Dataset[[#This Row],[Date]])</f>
        <v>11</v>
      </c>
      <c r="D641" t="s">
        <v>20</v>
      </c>
      <c r="E641" t="s">
        <v>38</v>
      </c>
      <c r="F641" t="s">
        <v>35</v>
      </c>
      <c r="G641">
        <v>6.89</v>
      </c>
      <c r="H641" t="s">
        <v>28</v>
      </c>
      <c r="I641" t="s">
        <v>23</v>
      </c>
      <c r="J641" t="s">
        <v>45</v>
      </c>
      <c r="K641" t="s">
        <v>40</v>
      </c>
      <c r="L641">
        <v>5</v>
      </c>
      <c r="M641" t="s">
        <v>36</v>
      </c>
      <c r="N641">
        <v>3</v>
      </c>
    </row>
    <row r="642" spans="1:14" x14ac:dyDescent="0.35">
      <c r="A642" s="5">
        <v>45653.465277777781</v>
      </c>
      <c r="B642" s="1" t="str">
        <f>TEXT(Coffee_Sales_Dataset[[#This Row],[Date]],"ddd")</f>
        <v>Fri</v>
      </c>
      <c r="C642">
        <f>HOUR(Coffee_Sales_Dataset[[#This Row],[Date]])</f>
        <v>11</v>
      </c>
      <c r="D642" t="s">
        <v>12</v>
      </c>
      <c r="E642" t="s">
        <v>44</v>
      </c>
      <c r="F642" t="s">
        <v>35</v>
      </c>
      <c r="G642">
        <v>4.1900000000000004</v>
      </c>
      <c r="H642" t="s">
        <v>15</v>
      </c>
      <c r="I642" t="s">
        <v>16</v>
      </c>
      <c r="J642" t="s">
        <v>17</v>
      </c>
      <c r="K642" t="s">
        <v>32</v>
      </c>
      <c r="L642">
        <v>6</v>
      </c>
      <c r="M642" t="s">
        <v>33</v>
      </c>
      <c r="N642">
        <v>3</v>
      </c>
    </row>
    <row r="643" spans="1:14" x14ac:dyDescent="0.35">
      <c r="A643" s="5">
        <v>45652.666666666664</v>
      </c>
      <c r="B643" s="1" t="str">
        <f>TEXT(Coffee_Sales_Dataset[[#This Row],[Date]],"ddd")</f>
        <v>Thu</v>
      </c>
      <c r="C643">
        <f>HOUR(Coffee_Sales_Dataset[[#This Row],[Date]])</f>
        <v>16</v>
      </c>
      <c r="D643" t="s">
        <v>43</v>
      </c>
      <c r="E643" t="s">
        <v>34</v>
      </c>
      <c r="F643" t="s">
        <v>14</v>
      </c>
      <c r="G643">
        <v>3.26</v>
      </c>
      <c r="H643" t="s">
        <v>30</v>
      </c>
      <c r="I643" t="s">
        <v>16</v>
      </c>
      <c r="J643" t="s">
        <v>24</v>
      </c>
      <c r="K643" t="s">
        <v>18</v>
      </c>
      <c r="L643">
        <v>2</v>
      </c>
      <c r="M643" t="s">
        <v>37</v>
      </c>
      <c r="N643">
        <v>4</v>
      </c>
    </row>
    <row r="644" spans="1:14" x14ac:dyDescent="0.35">
      <c r="A644" s="5">
        <v>45642.625</v>
      </c>
      <c r="B644" s="1" t="str">
        <f>TEXT(Coffee_Sales_Dataset[[#This Row],[Date]],"ddd")</f>
        <v>Mon</v>
      </c>
      <c r="C644">
        <f>HOUR(Coffee_Sales_Dataset[[#This Row],[Date]])</f>
        <v>15</v>
      </c>
      <c r="D644" t="s">
        <v>26</v>
      </c>
      <c r="E644" t="s">
        <v>34</v>
      </c>
      <c r="F644" t="s">
        <v>35</v>
      </c>
      <c r="G644">
        <v>6.09</v>
      </c>
      <c r="H644" t="s">
        <v>15</v>
      </c>
      <c r="I644" t="s">
        <v>23</v>
      </c>
      <c r="J644" t="s">
        <v>31</v>
      </c>
      <c r="K644" t="s">
        <v>32</v>
      </c>
      <c r="L644">
        <v>7</v>
      </c>
      <c r="M644" t="s">
        <v>25</v>
      </c>
      <c r="N644">
        <v>3</v>
      </c>
    </row>
    <row r="645" spans="1:14" x14ac:dyDescent="0.35">
      <c r="A645" s="5">
        <v>45652.640972222223</v>
      </c>
      <c r="B645" s="1" t="str">
        <f>TEXT(Coffee_Sales_Dataset[[#This Row],[Date]],"ddd")</f>
        <v>Thu</v>
      </c>
      <c r="C645">
        <f>HOUR(Coffee_Sales_Dataset[[#This Row],[Date]])</f>
        <v>15</v>
      </c>
      <c r="D645" t="s">
        <v>12</v>
      </c>
      <c r="E645" t="s">
        <v>34</v>
      </c>
      <c r="F645" t="s">
        <v>22</v>
      </c>
      <c r="G645">
        <v>4.25</v>
      </c>
      <c r="H645" t="s">
        <v>28</v>
      </c>
      <c r="I645" t="s">
        <v>23</v>
      </c>
      <c r="J645" t="s">
        <v>17</v>
      </c>
      <c r="K645" t="s">
        <v>18</v>
      </c>
      <c r="L645">
        <v>4</v>
      </c>
      <c r="M645" t="s">
        <v>39</v>
      </c>
      <c r="N645">
        <v>3</v>
      </c>
    </row>
    <row r="646" spans="1:14" x14ac:dyDescent="0.35">
      <c r="A646" s="5">
        <v>45647.638888888891</v>
      </c>
      <c r="B646" s="1" t="str">
        <f>TEXT(Coffee_Sales_Dataset[[#This Row],[Date]],"ddd")</f>
        <v>Sat</v>
      </c>
      <c r="C646">
        <f>HOUR(Coffee_Sales_Dataset[[#This Row],[Date]])</f>
        <v>15</v>
      </c>
      <c r="D646" t="s">
        <v>12</v>
      </c>
      <c r="E646" t="s">
        <v>46</v>
      </c>
      <c r="F646" t="s">
        <v>22</v>
      </c>
      <c r="G646">
        <v>4.8099999999999996</v>
      </c>
      <c r="H646" t="s">
        <v>30</v>
      </c>
      <c r="I646" t="s">
        <v>16</v>
      </c>
      <c r="J646" t="s">
        <v>42</v>
      </c>
      <c r="K646" t="s">
        <v>40</v>
      </c>
      <c r="L646">
        <v>4</v>
      </c>
      <c r="M646" t="s">
        <v>33</v>
      </c>
      <c r="N646">
        <v>3</v>
      </c>
    </row>
    <row r="647" spans="1:14" x14ac:dyDescent="0.35">
      <c r="A647" s="5">
        <v>45647.434027777781</v>
      </c>
      <c r="B647" s="1" t="str">
        <f>TEXT(Coffee_Sales_Dataset[[#This Row],[Date]],"ddd")</f>
        <v>Sat</v>
      </c>
      <c r="C647">
        <f>HOUR(Coffee_Sales_Dataset[[#This Row],[Date]])</f>
        <v>10</v>
      </c>
      <c r="D647" t="s">
        <v>43</v>
      </c>
      <c r="E647" t="s">
        <v>13</v>
      </c>
      <c r="F647" t="s">
        <v>22</v>
      </c>
      <c r="G647">
        <v>6.17</v>
      </c>
      <c r="H647" t="s">
        <v>28</v>
      </c>
      <c r="I647" t="s">
        <v>23</v>
      </c>
      <c r="J647" t="s">
        <v>17</v>
      </c>
      <c r="K647" t="s">
        <v>18</v>
      </c>
      <c r="L647">
        <v>4</v>
      </c>
      <c r="M647" t="s">
        <v>36</v>
      </c>
      <c r="N647">
        <v>1</v>
      </c>
    </row>
    <row r="648" spans="1:14" x14ac:dyDescent="0.35">
      <c r="A648" s="5">
        <v>45641.631249999999</v>
      </c>
      <c r="B648" s="1" t="str">
        <f>TEXT(Coffee_Sales_Dataset[[#This Row],[Date]],"ddd")</f>
        <v>Sun</v>
      </c>
      <c r="C648">
        <f>HOUR(Coffee_Sales_Dataset[[#This Row],[Date]])</f>
        <v>15</v>
      </c>
      <c r="D648" t="s">
        <v>43</v>
      </c>
      <c r="E648" t="s">
        <v>34</v>
      </c>
      <c r="F648" t="s">
        <v>14</v>
      </c>
      <c r="G648">
        <v>3.09</v>
      </c>
      <c r="H648" t="s">
        <v>15</v>
      </c>
      <c r="I648" t="s">
        <v>23</v>
      </c>
      <c r="J648" t="s">
        <v>24</v>
      </c>
      <c r="K648" t="s">
        <v>18</v>
      </c>
      <c r="L648">
        <v>6</v>
      </c>
      <c r="M648" t="s">
        <v>36</v>
      </c>
      <c r="N648">
        <v>2</v>
      </c>
    </row>
    <row r="649" spans="1:14" x14ac:dyDescent="0.35">
      <c r="A649" s="5">
        <v>45648.643750000003</v>
      </c>
      <c r="B649" s="1" t="str">
        <f>TEXT(Coffee_Sales_Dataset[[#This Row],[Date]],"ddd")</f>
        <v>Sun</v>
      </c>
      <c r="C649">
        <f>HOUR(Coffee_Sales_Dataset[[#This Row],[Date]])</f>
        <v>15</v>
      </c>
      <c r="D649" t="s">
        <v>12</v>
      </c>
      <c r="E649" t="s">
        <v>21</v>
      </c>
      <c r="F649" t="s">
        <v>14</v>
      </c>
      <c r="G649">
        <v>4.95</v>
      </c>
      <c r="H649" t="s">
        <v>28</v>
      </c>
      <c r="I649" t="s">
        <v>23</v>
      </c>
      <c r="J649" t="s">
        <v>24</v>
      </c>
      <c r="K649" t="s">
        <v>40</v>
      </c>
      <c r="L649">
        <v>3</v>
      </c>
      <c r="M649" t="s">
        <v>47</v>
      </c>
      <c r="N649">
        <v>4</v>
      </c>
    </row>
    <row r="650" spans="1:14" x14ac:dyDescent="0.35">
      <c r="A650" s="5">
        <v>45650.427083333336</v>
      </c>
      <c r="B650" s="1" t="str">
        <f>TEXT(Coffee_Sales_Dataset[[#This Row],[Date]],"ddd")</f>
        <v>Tue</v>
      </c>
      <c r="C650">
        <f>HOUR(Coffee_Sales_Dataset[[#This Row],[Date]])</f>
        <v>10</v>
      </c>
      <c r="D650" t="s">
        <v>41</v>
      </c>
      <c r="E650" t="s">
        <v>46</v>
      </c>
      <c r="F650" t="s">
        <v>14</v>
      </c>
      <c r="G650">
        <v>4.67</v>
      </c>
      <c r="H650" t="s">
        <v>30</v>
      </c>
      <c r="I650" t="s">
        <v>16</v>
      </c>
      <c r="J650" t="s">
        <v>45</v>
      </c>
      <c r="K650" t="s">
        <v>40</v>
      </c>
      <c r="L650">
        <v>7</v>
      </c>
      <c r="M650" t="s">
        <v>19</v>
      </c>
      <c r="N650">
        <v>3</v>
      </c>
    </row>
    <row r="651" spans="1:14" x14ac:dyDescent="0.35">
      <c r="A651" s="5">
        <v>45651.61041666667</v>
      </c>
      <c r="B651" s="1" t="str">
        <f>TEXT(Coffee_Sales_Dataset[[#This Row],[Date]],"ddd")</f>
        <v>Wed</v>
      </c>
      <c r="C651">
        <f>HOUR(Coffee_Sales_Dataset[[#This Row],[Date]])</f>
        <v>14</v>
      </c>
      <c r="D651" t="s">
        <v>26</v>
      </c>
      <c r="E651" t="s">
        <v>38</v>
      </c>
      <c r="F651" t="s">
        <v>14</v>
      </c>
      <c r="G651">
        <v>5.12</v>
      </c>
      <c r="H651" t="s">
        <v>15</v>
      </c>
      <c r="I651" t="s">
        <v>16</v>
      </c>
      <c r="J651" t="s">
        <v>45</v>
      </c>
      <c r="K651" t="s">
        <v>40</v>
      </c>
      <c r="L651">
        <v>7</v>
      </c>
      <c r="M651" t="s">
        <v>37</v>
      </c>
      <c r="N651">
        <v>4</v>
      </c>
    </row>
    <row r="652" spans="1:14" x14ac:dyDescent="0.35">
      <c r="A652" s="5">
        <v>45642.640972222223</v>
      </c>
      <c r="B652" s="1" t="str">
        <f>TEXT(Coffee_Sales_Dataset[[#This Row],[Date]],"ddd")</f>
        <v>Mon</v>
      </c>
      <c r="C652">
        <f>HOUR(Coffee_Sales_Dataset[[#This Row],[Date]])</f>
        <v>15</v>
      </c>
      <c r="D652" t="s">
        <v>12</v>
      </c>
      <c r="E652" t="s">
        <v>27</v>
      </c>
      <c r="F652" t="s">
        <v>14</v>
      </c>
      <c r="G652">
        <v>6.78</v>
      </c>
      <c r="H652" t="s">
        <v>28</v>
      </c>
      <c r="I652" t="s">
        <v>23</v>
      </c>
      <c r="J652" t="s">
        <v>24</v>
      </c>
      <c r="K652" t="s">
        <v>18</v>
      </c>
      <c r="L652">
        <v>9</v>
      </c>
      <c r="M652" t="s">
        <v>33</v>
      </c>
      <c r="N652">
        <v>3</v>
      </c>
    </row>
    <row r="653" spans="1:14" x14ac:dyDescent="0.35">
      <c r="A653" s="5">
        <v>45649.743055555555</v>
      </c>
      <c r="B653" s="1" t="str">
        <f>TEXT(Coffee_Sales_Dataset[[#This Row],[Date]],"ddd")</f>
        <v>Mon</v>
      </c>
      <c r="C653">
        <f>HOUR(Coffee_Sales_Dataset[[#This Row],[Date]])</f>
        <v>17</v>
      </c>
      <c r="D653" t="s">
        <v>43</v>
      </c>
      <c r="E653" t="s">
        <v>44</v>
      </c>
      <c r="F653" t="s">
        <v>14</v>
      </c>
      <c r="G653">
        <v>6.61</v>
      </c>
      <c r="H653" t="s">
        <v>15</v>
      </c>
      <c r="I653" t="s">
        <v>23</v>
      </c>
      <c r="J653" t="s">
        <v>45</v>
      </c>
      <c r="K653" t="s">
        <v>18</v>
      </c>
      <c r="L653">
        <v>5</v>
      </c>
      <c r="M653" t="s">
        <v>33</v>
      </c>
      <c r="N653">
        <v>2</v>
      </c>
    </row>
    <row r="654" spans="1:14" x14ac:dyDescent="0.35">
      <c r="A654" s="5">
        <v>45648.663888888892</v>
      </c>
      <c r="B654" s="1" t="str">
        <f>TEXT(Coffee_Sales_Dataset[[#This Row],[Date]],"ddd")</f>
        <v>Sun</v>
      </c>
      <c r="C654">
        <f>HOUR(Coffee_Sales_Dataset[[#This Row],[Date]])</f>
        <v>15</v>
      </c>
      <c r="D654" t="s">
        <v>26</v>
      </c>
      <c r="E654" t="s">
        <v>34</v>
      </c>
      <c r="F654" t="s">
        <v>35</v>
      </c>
      <c r="G654">
        <v>6.52</v>
      </c>
      <c r="H654" t="s">
        <v>15</v>
      </c>
      <c r="I654" t="s">
        <v>23</v>
      </c>
      <c r="J654" t="s">
        <v>31</v>
      </c>
      <c r="K654" t="s">
        <v>32</v>
      </c>
      <c r="L654">
        <v>3</v>
      </c>
      <c r="M654" t="s">
        <v>37</v>
      </c>
      <c r="N654">
        <v>4</v>
      </c>
    </row>
    <row r="655" spans="1:14" x14ac:dyDescent="0.35">
      <c r="A655" s="5">
        <v>45648.50277777778</v>
      </c>
      <c r="B655" s="1" t="str">
        <f>TEXT(Coffee_Sales_Dataset[[#This Row],[Date]],"ddd")</f>
        <v>Sun</v>
      </c>
      <c r="C655">
        <f>HOUR(Coffee_Sales_Dataset[[#This Row],[Date]])</f>
        <v>12</v>
      </c>
      <c r="D655" t="s">
        <v>12</v>
      </c>
      <c r="E655" t="s">
        <v>46</v>
      </c>
      <c r="F655" t="s">
        <v>14</v>
      </c>
      <c r="G655">
        <v>6.17</v>
      </c>
      <c r="H655" t="s">
        <v>15</v>
      </c>
      <c r="I655" t="s">
        <v>23</v>
      </c>
      <c r="J655" t="s">
        <v>24</v>
      </c>
      <c r="K655" t="s">
        <v>40</v>
      </c>
      <c r="L655">
        <v>9</v>
      </c>
      <c r="M655" t="s">
        <v>36</v>
      </c>
      <c r="N655">
        <v>2</v>
      </c>
    </row>
    <row r="656" spans="1:14" x14ac:dyDescent="0.35">
      <c r="A656" s="5">
        <v>45651.556944444441</v>
      </c>
      <c r="B656" s="1" t="str">
        <f>TEXT(Coffee_Sales_Dataset[[#This Row],[Date]],"ddd")</f>
        <v>Wed</v>
      </c>
      <c r="C656">
        <f>HOUR(Coffee_Sales_Dataset[[#This Row],[Date]])</f>
        <v>13</v>
      </c>
      <c r="D656" t="s">
        <v>41</v>
      </c>
      <c r="E656" t="s">
        <v>46</v>
      </c>
      <c r="F656" t="s">
        <v>35</v>
      </c>
      <c r="G656">
        <v>3.58</v>
      </c>
      <c r="H656" t="s">
        <v>15</v>
      </c>
      <c r="I656" t="s">
        <v>16</v>
      </c>
      <c r="J656" t="s">
        <v>42</v>
      </c>
      <c r="K656" t="s">
        <v>32</v>
      </c>
      <c r="L656">
        <v>10</v>
      </c>
      <c r="M656" t="s">
        <v>36</v>
      </c>
      <c r="N656">
        <v>2</v>
      </c>
    </row>
    <row r="657" spans="1:14" x14ac:dyDescent="0.35">
      <c r="A657" s="5">
        <v>45656.734722222223</v>
      </c>
      <c r="B657" s="1" t="str">
        <f>TEXT(Coffee_Sales_Dataset[[#This Row],[Date]],"ddd")</f>
        <v>Mon</v>
      </c>
      <c r="C657">
        <f>HOUR(Coffee_Sales_Dataset[[#This Row],[Date]])</f>
        <v>17</v>
      </c>
      <c r="D657" t="s">
        <v>26</v>
      </c>
      <c r="E657" t="s">
        <v>34</v>
      </c>
      <c r="F657" t="s">
        <v>35</v>
      </c>
      <c r="G657">
        <v>3.24</v>
      </c>
      <c r="H657" t="s">
        <v>30</v>
      </c>
      <c r="I657" t="s">
        <v>16</v>
      </c>
      <c r="J657" t="s">
        <v>17</v>
      </c>
      <c r="K657" t="s">
        <v>32</v>
      </c>
      <c r="L657">
        <v>8</v>
      </c>
      <c r="M657" t="s">
        <v>19</v>
      </c>
      <c r="N657">
        <v>1</v>
      </c>
    </row>
    <row r="658" spans="1:14" x14ac:dyDescent="0.35">
      <c r="A658" s="5">
        <v>45645.464583333334</v>
      </c>
      <c r="B658" s="1" t="str">
        <f>TEXT(Coffee_Sales_Dataset[[#This Row],[Date]],"ddd")</f>
        <v>Thu</v>
      </c>
      <c r="C658">
        <f>HOUR(Coffee_Sales_Dataset[[#This Row],[Date]])</f>
        <v>11</v>
      </c>
      <c r="D658" t="s">
        <v>43</v>
      </c>
      <c r="E658" t="s">
        <v>13</v>
      </c>
      <c r="F658" t="s">
        <v>14</v>
      </c>
      <c r="G658">
        <v>5.61</v>
      </c>
      <c r="H658" t="s">
        <v>15</v>
      </c>
      <c r="I658" t="s">
        <v>23</v>
      </c>
      <c r="J658" t="s">
        <v>24</v>
      </c>
      <c r="K658" t="s">
        <v>32</v>
      </c>
      <c r="L658">
        <v>4</v>
      </c>
      <c r="M658" t="s">
        <v>25</v>
      </c>
      <c r="N658">
        <v>4</v>
      </c>
    </row>
    <row r="659" spans="1:14" x14ac:dyDescent="0.35">
      <c r="A659" s="5">
        <v>45649.727777777778</v>
      </c>
      <c r="B659" s="1" t="str">
        <f>TEXT(Coffee_Sales_Dataset[[#This Row],[Date]],"ddd")</f>
        <v>Mon</v>
      </c>
      <c r="C659">
        <f>HOUR(Coffee_Sales_Dataset[[#This Row],[Date]])</f>
        <v>17</v>
      </c>
      <c r="D659" t="s">
        <v>43</v>
      </c>
      <c r="E659" t="s">
        <v>13</v>
      </c>
      <c r="F659" t="s">
        <v>22</v>
      </c>
      <c r="G659">
        <v>4.82</v>
      </c>
      <c r="H659" t="s">
        <v>30</v>
      </c>
      <c r="I659" t="s">
        <v>16</v>
      </c>
      <c r="J659" t="s">
        <v>24</v>
      </c>
      <c r="K659" t="s">
        <v>40</v>
      </c>
      <c r="L659">
        <v>4</v>
      </c>
      <c r="M659" t="s">
        <v>47</v>
      </c>
      <c r="N659">
        <v>1</v>
      </c>
    </row>
    <row r="660" spans="1:14" x14ac:dyDescent="0.35">
      <c r="A660" s="5">
        <v>45642.565972222219</v>
      </c>
      <c r="B660" s="1" t="str">
        <f>TEXT(Coffee_Sales_Dataset[[#This Row],[Date]],"ddd")</f>
        <v>Mon</v>
      </c>
      <c r="C660">
        <f>HOUR(Coffee_Sales_Dataset[[#This Row],[Date]])</f>
        <v>13</v>
      </c>
      <c r="D660" t="s">
        <v>12</v>
      </c>
      <c r="E660" t="s">
        <v>34</v>
      </c>
      <c r="F660" t="s">
        <v>14</v>
      </c>
      <c r="G660">
        <v>4.26</v>
      </c>
      <c r="H660" t="s">
        <v>28</v>
      </c>
      <c r="I660" t="s">
        <v>16</v>
      </c>
      <c r="J660" t="s">
        <v>31</v>
      </c>
      <c r="K660" t="s">
        <v>40</v>
      </c>
      <c r="L660">
        <v>8</v>
      </c>
      <c r="M660" t="s">
        <v>19</v>
      </c>
      <c r="N660">
        <v>3</v>
      </c>
    </row>
    <row r="661" spans="1:14" x14ac:dyDescent="0.35">
      <c r="A661" s="5">
        <v>45647.568749999999</v>
      </c>
      <c r="B661" s="1" t="str">
        <f>TEXT(Coffee_Sales_Dataset[[#This Row],[Date]],"ddd")</f>
        <v>Sat</v>
      </c>
      <c r="C661">
        <f>HOUR(Coffee_Sales_Dataset[[#This Row],[Date]])</f>
        <v>13</v>
      </c>
      <c r="D661" t="s">
        <v>26</v>
      </c>
      <c r="E661" t="s">
        <v>44</v>
      </c>
      <c r="F661" t="s">
        <v>22</v>
      </c>
      <c r="G661">
        <v>4.3</v>
      </c>
      <c r="H661" t="s">
        <v>28</v>
      </c>
      <c r="I661" t="s">
        <v>23</v>
      </c>
      <c r="J661" t="s">
        <v>31</v>
      </c>
      <c r="K661" t="s">
        <v>40</v>
      </c>
      <c r="L661">
        <v>4</v>
      </c>
      <c r="M661" t="s">
        <v>25</v>
      </c>
      <c r="N661">
        <v>1</v>
      </c>
    </row>
    <row r="662" spans="1:14" x14ac:dyDescent="0.35">
      <c r="A662" s="5">
        <v>45655.42291666667</v>
      </c>
      <c r="B662" s="1" t="str">
        <f>TEXT(Coffee_Sales_Dataset[[#This Row],[Date]],"ddd")</f>
        <v>Sun</v>
      </c>
      <c r="C662">
        <f>HOUR(Coffee_Sales_Dataset[[#This Row],[Date]])</f>
        <v>10</v>
      </c>
      <c r="D662" t="s">
        <v>26</v>
      </c>
      <c r="E662" t="s">
        <v>38</v>
      </c>
      <c r="F662" t="s">
        <v>14</v>
      </c>
      <c r="G662">
        <v>6.76</v>
      </c>
      <c r="H662" t="s">
        <v>30</v>
      </c>
      <c r="I662" t="s">
        <v>23</v>
      </c>
      <c r="J662" t="s">
        <v>24</v>
      </c>
      <c r="K662" t="s">
        <v>32</v>
      </c>
      <c r="L662">
        <v>7</v>
      </c>
      <c r="M662" t="s">
        <v>39</v>
      </c>
      <c r="N662">
        <v>4</v>
      </c>
    </row>
    <row r="663" spans="1:14" x14ac:dyDescent="0.35">
      <c r="A663" s="5">
        <v>45646.396527777775</v>
      </c>
      <c r="B663" s="1" t="str">
        <f>TEXT(Coffee_Sales_Dataset[[#This Row],[Date]],"ddd")</f>
        <v>Fri</v>
      </c>
      <c r="C663">
        <f>HOUR(Coffee_Sales_Dataset[[#This Row],[Date]])</f>
        <v>9</v>
      </c>
      <c r="D663" t="s">
        <v>12</v>
      </c>
      <c r="E663" t="s">
        <v>38</v>
      </c>
      <c r="F663" t="s">
        <v>14</v>
      </c>
      <c r="G663">
        <v>5.0999999999999996</v>
      </c>
      <c r="H663" t="s">
        <v>28</v>
      </c>
      <c r="I663" t="s">
        <v>16</v>
      </c>
      <c r="J663" t="s">
        <v>45</v>
      </c>
      <c r="K663" t="s">
        <v>40</v>
      </c>
      <c r="L663">
        <v>10</v>
      </c>
      <c r="M663" t="s">
        <v>33</v>
      </c>
      <c r="N663">
        <v>1</v>
      </c>
    </row>
    <row r="664" spans="1:14" x14ac:dyDescent="0.35">
      <c r="A664" s="5">
        <v>45654.631944444445</v>
      </c>
      <c r="B664" s="1" t="str">
        <f>TEXT(Coffee_Sales_Dataset[[#This Row],[Date]],"ddd")</f>
        <v>Sat</v>
      </c>
      <c r="C664">
        <f>HOUR(Coffee_Sales_Dataset[[#This Row],[Date]])</f>
        <v>15</v>
      </c>
      <c r="D664" t="s">
        <v>26</v>
      </c>
      <c r="E664" t="s">
        <v>21</v>
      </c>
      <c r="F664" t="s">
        <v>22</v>
      </c>
      <c r="G664">
        <v>3.91</v>
      </c>
      <c r="H664" t="s">
        <v>30</v>
      </c>
      <c r="I664" t="s">
        <v>23</v>
      </c>
      <c r="J664" t="s">
        <v>29</v>
      </c>
      <c r="K664" t="s">
        <v>18</v>
      </c>
      <c r="L664">
        <v>5</v>
      </c>
      <c r="M664" t="s">
        <v>25</v>
      </c>
      <c r="N664">
        <v>1</v>
      </c>
    </row>
    <row r="665" spans="1:14" x14ac:dyDescent="0.35">
      <c r="A665" s="5">
        <v>45641.464583333334</v>
      </c>
      <c r="B665" s="1" t="str">
        <f>TEXT(Coffee_Sales_Dataset[[#This Row],[Date]],"ddd")</f>
        <v>Sun</v>
      </c>
      <c r="C665">
        <f>HOUR(Coffee_Sales_Dataset[[#This Row],[Date]])</f>
        <v>11</v>
      </c>
      <c r="D665" t="s">
        <v>20</v>
      </c>
      <c r="E665" t="s">
        <v>38</v>
      </c>
      <c r="F665" t="s">
        <v>22</v>
      </c>
      <c r="G665">
        <v>4.29</v>
      </c>
      <c r="H665" t="s">
        <v>28</v>
      </c>
      <c r="I665" t="s">
        <v>16</v>
      </c>
      <c r="J665" t="s">
        <v>29</v>
      </c>
      <c r="K665" t="s">
        <v>18</v>
      </c>
      <c r="L665">
        <v>6</v>
      </c>
      <c r="M665" t="s">
        <v>25</v>
      </c>
      <c r="N665">
        <v>1</v>
      </c>
    </row>
    <row r="666" spans="1:14" x14ac:dyDescent="0.35">
      <c r="A666" s="5">
        <v>45651.607638888891</v>
      </c>
      <c r="B666" s="1" t="str">
        <f>TEXT(Coffee_Sales_Dataset[[#This Row],[Date]],"ddd")</f>
        <v>Wed</v>
      </c>
      <c r="C666">
        <f>HOUR(Coffee_Sales_Dataset[[#This Row],[Date]])</f>
        <v>14</v>
      </c>
      <c r="D666" t="s">
        <v>26</v>
      </c>
      <c r="E666" t="s">
        <v>13</v>
      </c>
      <c r="F666" t="s">
        <v>14</v>
      </c>
      <c r="G666">
        <v>5.36</v>
      </c>
      <c r="H666" t="s">
        <v>30</v>
      </c>
      <c r="I666" t="s">
        <v>23</v>
      </c>
      <c r="J666" t="s">
        <v>31</v>
      </c>
      <c r="K666" t="s">
        <v>32</v>
      </c>
      <c r="L666">
        <v>2</v>
      </c>
      <c r="M666" t="s">
        <v>47</v>
      </c>
      <c r="N666">
        <v>1</v>
      </c>
    </row>
    <row r="667" spans="1:14" x14ac:dyDescent="0.35">
      <c r="A667" s="5">
        <v>45650.563888888886</v>
      </c>
      <c r="B667" s="1" t="str">
        <f>TEXT(Coffee_Sales_Dataset[[#This Row],[Date]],"ddd")</f>
        <v>Tue</v>
      </c>
      <c r="C667">
        <f>HOUR(Coffee_Sales_Dataset[[#This Row],[Date]])</f>
        <v>13</v>
      </c>
      <c r="D667" t="s">
        <v>20</v>
      </c>
      <c r="E667" t="s">
        <v>46</v>
      </c>
      <c r="F667" t="s">
        <v>14</v>
      </c>
      <c r="G667">
        <v>3.61</v>
      </c>
      <c r="H667" t="s">
        <v>30</v>
      </c>
      <c r="I667" t="s">
        <v>16</v>
      </c>
      <c r="J667" t="s">
        <v>24</v>
      </c>
      <c r="K667" t="s">
        <v>18</v>
      </c>
      <c r="L667">
        <v>7</v>
      </c>
      <c r="M667" t="s">
        <v>37</v>
      </c>
      <c r="N667">
        <v>4</v>
      </c>
    </row>
    <row r="668" spans="1:14" x14ac:dyDescent="0.35">
      <c r="A668" s="5">
        <v>45643.491666666669</v>
      </c>
      <c r="B668" s="1" t="str">
        <f>TEXT(Coffee_Sales_Dataset[[#This Row],[Date]],"ddd")</f>
        <v>Tue</v>
      </c>
      <c r="C668">
        <f>HOUR(Coffee_Sales_Dataset[[#This Row],[Date]])</f>
        <v>11</v>
      </c>
      <c r="D668" t="s">
        <v>41</v>
      </c>
      <c r="E668" t="s">
        <v>34</v>
      </c>
      <c r="F668" t="s">
        <v>22</v>
      </c>
      <c r="G668">
        <v>3.78</v>
      </c>
      <c r="H668" t="s">
        <v>15</v>
      </c>
      <c r="I668" t="s">
        <v>16</v>
      </c>
      <c r="J668" t="s">
        <v>29</v>
      </c>
      <c r="K668" t="s">
        <v>18</v>
      </c>
      <c r="L668">
        <v>6</v>
      </c>
      <c r="M668" t="s">
        <v>25</v>
      </c>
      <c r="N668">
        <v>1</v>
      </c>
    </row>
    <row r="669" spans="1:14" x14ac:dyDescent="0.35">
      <c r="A669" s="5">
        <v>45648.700694444444</v>
      </c>
      <c r="B669" s="1" t="str">
        <f>TEXT(Coffee_Sales_Dataset[[#This Row],[Date]],"ddd")</f>
        <v>Sun</v>
      </c>
      <c r="C669">
        <f>HOUR(Coffee_Sales_Dataset[[#This Row],[Date]])</f>
        <v>16</v>
      </c>
      <c r="D669" t="s">
        <v>12</v>
      </c>
      <c r="E669" t="s">
        <v>27</v>
      </c>
      <c r="F669" t="s">
        <v>14</v>
      </c>
      <c r="G669">
        <v>3.45</v>
      </c>
      <c r="H669" t="s">
        <v>15</v>
      </c>
      <c r="I669" t="s">
        <v>23</v>
      </c>
      <c r="J669" t="s">
        <v>45</v>
      </c>
      <c r="K669" t="s">
        <v>40</v>
      </c>
      <c r="L669">
        <v>5</v>
      </c>
      <c r="M669" t="s">
        <v>33</v>
      </c>
      <c r="N669">
        <v>5</v>
      </c>
    </row>
    <row r="670" spans="1:14" x14ac:dyDescent="0.35">
      <c r="A670" s="5">
        <v>45652.536805555559</v>
      </c>
      <c r="B670" s="1" t="str">
        <f>TEXT(Coffee_Sales_Dataset[[#This Row],[Date]],"ddd")</f>
        <v>Thu</v>
      </c>
      <c r="C670">
        <f>HOUR(Coffee_Sales_Dataset[[#This Row],[Date]])</f>
        <v>12</v>
      </c>
      <c r="D670" t="s">
        <v>20</v>
      </c>
      <c r="E670" t="s">
        <v>38</v>
      </c>
      <c r="F670" t="s">
        <v>22</v>
      </c>
      <c r="G670">
        <v>4.4400000000000004</v>
      </c>
      <c r="H670" t="s">
        <v>30</v>
      </c>
      <c r="I670" t="s">
        <v>23</v>
      </c>
      <c r="J670" t="s">
        <v>31</v>
      </c>
      <c r="K670" t="s">
        <v>32</v>
      </c>
      <c r="L670">
        <v>5</v>
      </c>
      <c r="M670" t="s">
        <v>37</v>
      </c>
      <c r="N670">
        <v>1</v>
      </c>
    </row>
    <row r="671" spans="1:14" x14ac:dyDescent="0.35">
      <c r="A671" s="5">
        <v>45645.495138888888</v>
      </c>
      <c r="B671" s="1" t="str">
        <f>TEXT(Coffee_Sales_Dataset[[#This Row],[Date]],"ddd")</f>
        <v>Thu</v>
      </c>
      <c r="C671">
        <f>HOUR(Coffee_Sales_Dataset[[#This Row],[Date]])</f>
        <v>11</v>
      </c>
      <c r="D671" t="s">
        <v>20</v>
      </c>
      <c r="E671" t="s">
        <v>21</v>
      </c>
      <c r="F671" t="s">
        <v>22</v>
      </c>
      <c r="G671">
        <v>3.83</v>
      </c>
      <c r="H671" t="s">
        <v>28</v>
      </c>
      <c r="I671" t="s">
        <v>16</v>
      </c>
      <c r="J671" t="s">
        <v>45</v>
      </c>
      <c r="K671" t="s">
        <v>32</v>
      </c>
      <c r="L671">
        <v>9</v>
      </c>
      <c r="M671" t="s">
        <v>25</v>
      </c>
      <c r="N671">
        <v>5</v>
      </c>
    </row>
    <row r="672" spans="1:14" x14ac:dyDescent="0.35">
      <c r="A672" s="5">
        <v>45653.645833333336</v>
      </c>
      <c r="B672" s="1" t="str">
        <f>TEXT(Coffee_Sales_Dataset[[#This Row],[Date]],"ddd")</f>
        <v>Fri</v>
      </c>
      <c r="C672">
        <f>HOUR(Coffee_Sales_Dataset[[#This Row],[Date]])</f>
        <v>15</v>
      </c>
      <c r="D672" t="s">
        <v>41</v>
      </c>
      <c r="E672" t="s">
        <v>38</v>
      </c>
      <c r="F672" t="s">
        <v>22</v>
      </c>
      <c r="G672">
        <v>6.18</v>
      </c>
      <c r="H672" t="s">
        <v>28</v>
      </c>
      <c r="I672" t="s">
        <v>23</v>
      </c>
      <c r="J672" t="s">
        <v>29</v>
      </c>
      <c r="K672" t="s">
        <v>18</v>
      </c>
      <c r="L672">
        <v>3</v>
      </c>
      <c r="M672" t="s">
        <v>39</v>
      </c>
      <c r="N672">
        <v>1</v>
      </c>
    </row>
    <row r="673" spans="1:14" x14ac:dyDescent="0.35">
      <c r="A673" s="5">
        <v>45650.345138888886</v>
      </c>
      <c r="B673" s="1" t="str">
        <f>TEXT(Coffee_Sales_Dataset[[#This Row],[Date]],"ddd")</f>
        <v>Tue</v>
      </c>
      <c r="C673">
        <f>HOUR(Coffee_Sales_Dataset[[#This Row],[Date]])</f>
        <v>8</v>
      </c>
      <c r="D673" t="s">
        <v>26</v>
      </c>
      <c r="E673" t="s">
        <v>34</v>
      </c>
      <c r="F673" t="s">
        <v>22</v>
      </c>
      <c r="G673">
        <v>4.53</v>
      </c>
      <c r="H673" t="s">
        <v>28</v>
      </c>
      <c r="I673" t="s">
        <v>23</v>
      </c>
      <c r="J673" t="s">
        <v>29</v>
      </c>
      <c r="K673" t="s">
        <v>40</v>
      </c>
      <c r="L673">
        <v>7</v>
      </c>
      <c r="M673" t="s">
        <v>36</v>
      </c>
      <c r="N673">
        <v>2</v>
      </c>
    </row>
    <row r="674" spans="1:14" x14ac:dyDescent="0.35">
      <c r="A674" s="5">
        <v>45656.544444444444</v>
      </c>
      <c r="B674" s="1" t="str">
        <f>TEXT(Coffee_Sales_Dataset[[#This Row],[Date]],"ddd")</f>
        <v>Mon</v>
      </c>
      <c r="C674">
        <f>HOUR(Coffee_Sales_Dataset[[#This Row],[Date]])</f>
        <v>13</v>
      </c>
      <c r="D674" t="s">
        <v>43</v>
      </c>
      <c r="E674" t="s">
        <v>46</v>
      </c>
      <c r="F674" t="s">
        <v>35</v>
      </c>
      <c r="G674">
        <v>3.09</v>
      </c>
      <c r="H674" t="s">
        <v>30</v>
      </c>
      <c r="I674" t="s">
        <v>23</v>
      </c>
      <c r="J674" t="s">
        <v>24</v>
      </c>
      <c r="K674" t="s">
        <v>40</v>
      </c>
      <c r="L674">
        <v>6</v>
      </c>
      <c r="M674" t="s">
        <v>25</v>
      </c>
      <c r="N674">
        <v>2</v>
      </c>
    </row>
    <row r="675" spans="1:14" x14ac:dyDescent="0.35">
      <c r="A675" s="5">
        <v>45642.37222222222</v>
      </c>
      <c r="B675" s="1" t="str">
        <f>TEXT(Coffee_Sales_Dataset[[#This Row],[Date]],"ddd")</f>
        <v>Mon</v>
      </c>
      <c r="C675">
        <f>HOUR(Coffee_Sales_Dataset[[#This Row],[Date]])</f>
        <v>8</v>
      </c>
      <c r="D675" t="s">
        <v>12</v>
      </c>
      <c r="E675" t="s">
        <v>27</v>
      </c>
      <c r="F675" t="s">
        <v>14</v>
      </c>
      <c r="G675">
        <v>3.45</v>
      </c>
      <c r="H675" t="s">
        <v>28</v>
      </c>
      <c r="I675" t="s">
        <v>23</v>
      </c>
      <c r="J675" t="s">
        <v>42</v>
      </c>
      <c r="K675" t="s">
        <v>18</v>
      </c>
      <c r="L675">
        <v>10</v>
      </c>
      <c r="M675" t="s">
        <v>47</v>
      </c>
      <c r="N675">
        <v>3</v>
      </c>
    </row>
    <row r="676" spans="1:14" x14ac:dyDescent="0.35">
      <c r="A676" s="5">
        <v>45641.729166666664</v>
      </c>
      <c r="B676" s="1" t="str">
        <f>TEXT(Coffee_Sales_Dataset[[#This Row],[Date]],"ddd")</f>
        <v>Sun</v>
      </c>
      <c r="C676">
        <f>HOUR(Coffee_Sales_Dataset[[#This Row],[Date]])</f>
        <v>17</v>
      </c>
      <c r="D676" t="s">
        <v>26</v>
      </c>
      <c r="E676" t="s">
        <v>44</v>
      </c>
      <c r="F676" t="s">
        <v>35</v>
      </c>
      <c r="G676">
        <v>3.61</v>
      </c>
      <c r="H676" t="s">
        <v>30</v>
      </c>
      <c r="I676" t="s">
        <v>16</v>
      </c>
      <c r="J676" t="s">
        <v>45</v>
      </c>
      <c r="K676" t="s">
        <v>32</v>
      </c>
      <c r="L676">
        <v>2</v>
      </c>
      <c r="M676" t="s">
        <v>39</v>
      </c>
      <c r="N676">
        <v>4</v>
      </c>
    </row>
    <row r="677" spans="1:14" x14ac:dyDescent="0.35">
      <c r="A677" s="5">
        <v>45647.643055555556</v>
      </c>
      <c r="B677" s="1" t="str">
        <f>TEXT(Coffee_Sales_Dataset[[#This Row],[Date]],"ddd")</f>
        <v>Sat</v>
      </c>
      <c r="C677">
        <f>HOUR(Coffee_Sales_Dataset[[#This Row],[Date]])</f>
        <v>15</v>
      </c>
      <c r="D677" t="s">
        <v>20</v>
      </c>
      <c r="E677" t="s">
        <v>13</v>
      </c>
      <c r="F677" t="s">
        <v>35</v>
      </c>
      <c r="G677">
        <v>6.59</v>
      </c>
      <c r="H677" t="s">
        <v>28</v>
      </c>
      <c r="I677" t="s">
        <v>23</v>
      </c>
      <c r="J677" t="s">
        <v>24</v>
      </c>
      <c r="K677" t="s">
        <v>18</v>
      </c>
      <c r="L677">
        <v>6</v>
      </c>
      <c r="M677" t="s">
        <v>19</v>
      </c>
      <c r="N677">
        <v>4</v>
      </c>
    </row>
    <row r="678" spans="1:14" x14ac:dyDescent="0.35">
      <c r="A678" s="5">
        <v>45644.500694444447</v>
      </c>
      <c r="B678" s="1" t="str">
        <f>TEXT(Coffee_Sales_Dataset[[#This Row],[Date]],"ddd")</f>
        <v>Wed</v>
      </c>
      <c r="C678">
        <f>HOUR(Coffee_Sales_Dataset[[#This Row],[Date]])</f>
        <v>12</v>
      </c>
      <c r="D678" t="s">
        <v>43</v>
      </c>
      <c r="E678" t="s">
        <v>21</v>
      </c>
      <c r="F678" t="s">
        <v>14</v>
      </c>
      <c r="G678">
        <v>3.94</v>
      </c>
      <c r="H678" t="s">
        <v>15</v>
      </c>
      <c r="I678" t="s">
        <v>23</v>
      </c>
      <c r="J678" t="s">
        <v>45</v>
      </c>
      <c r="K678" t="s">
        <v>40</v>
      </c>
      <c r="L678">
        <v>8</v>
      </c>
      <c r="M678" t="s">
        <v>37</v>
      </c>
      <c r="N678">
        <v>4</v>
      </c>
    </row>
    <row r="679" spans="1:14" x14ac:dyDescent="0.35">
      <c r="A679" s="5">
        <v>45653.345833333333</v>
      </c>
      <c r="B679" s="1" t="str">
        <f>TEXT(Coffee_Sales_Dataset[[#This Row],[Date]],"ddd")</f>
        <v>Fri</v>
      </c>
      <c r="C679">
        <f>HOUR(Coffee_Sales_Dataset[[#This Row],[Date]])</f>
        <v>8</v>
      </c>
      <c r="D679" t="s">
        <v>43</v>
      </c>
      <c r="E679" t="s">
        <v>13</v>
      </c>
      <c r="F679" t="s">
        <v>35</v>
      </c>
      <c r="G679">
        <v>4.47</v>
      </c>
      <c r="H679" t="s">
        <v>15</v>
      </c>
      <c r="I679" t="s">
        <v>23</v>
      </c>
      <c r="J679" t="s">
        <v>24</v>
      </c>
      <c r="K679" t="s">
        <v>18</v>
      </c>
      <c r="L679">
        <v>7</v>
      </c>
      <c r="M679" t="s">
        <v>19</v>
      </c>
      <c r="N679">
        <v>5</v>
      </c>
    </row>
    <row r="680" spans="1:14" x14ac:dyDescent="0.35">
      <c r="A680" s="5">
        <v>45649.574305555558</v>
      </c>
      <c r="B680" s="1" t="str">
        <f>TEXT(Coffee_Sales_Dataset[[#This Row],[Date]],"ddd")</f>
        <v>Mon</v>
      </c>
      <c r="C680">
        <f>HOUR(Coffee_Sales_Dataset[[#This Row],[Date]])</f>
        <v>13</v>
      </c>
      <c r="D680" t="s">
        <v>43</v>
      </c>
      <c r="E680" t="s">
        <v>46</v>
      </c>
      <c r="F680" t="s">
        <v>14</v>
      </c>
      <c r="G680">
        <v>5.32</v>
      </c>
      <c r="H680" t="s">
        <v>15</v>
      </c>
      <c r="I680" t="s">
        <v>16</v>
      </c>
      <c r="J680" t="s">
        <v>24</v>
      </c>
      <c r="K680" t="s">
        <v>32</v>
      </c>
      <c r="L680">
        <v>4</v>
      </c>
      <c r="M680" t="s">
        <v>33</v>
      </c>
      <c r="N680">
        <v>4</v>
      </c>
    </row>
    <row r="681" spans="1:14" x14ac:dyDescent="0.35">
      <c r="A681" s="5">
        <v>45651.599305555559</v>
      </c>
      <c r="B681" s="1" t="str">
        <f>TEXT(Coffee_Sales_Dataset[[#This Row],[Date]],"ddd")</f>
        <v>Wed</v>
      </c>
      <c r="C681">
        <f>HOUR(Coffee_Sales_Dataset[[#This Row],[Date]])</f>
        <v>14</v>
      </c>
      <c r="D681" t="s">
        <v>12</v>
      </c>
      <c r="E681" t="s">
        <v>13</v>
      </c>
      <c r="F681" t="s">
        <v>35</v>
      </c>
      <c r="G681">
        <v>4.01</v>
      </c>
      <c r="H681" t="s">
        <v>30</v>
      </c>
      <c r="I681" t="s">
        <v>16</v>
      </c>
      <c r="J681" t="s">
        <v>24</v>
      </c>
      <c r="K681" t="s">
        <v>18</v>
      </c>
      <c r="L681">
        <v>9</v>
      </c>
      <c r="M681" t="s">
        <v>25</v>
      </c>
      <c r="N681">
        <v>5</v>
      </c>
    </row>
    <row r="682" spans="1:14" x14ac:dyDescent="0.35">
      <c r="A682" s="5">
        <v>45654.455555555556</v>
      </c>
      <c r="B682" s="1" t="str">
        <f>TEXT(Coffee_Sales_Dataset[[#This Row],[Date]],"ddd")</f>
        <v>Sat</v>
      </c>
      <c r="C682">
        <f>HOUR(Coffee_Sales_Dataset[[#This Row],[Date]])</f>
        <v>10</v>
      </c>
      <c r="D682" t="s">
        <v>26</v>
      </c>
      <c r="E682" t="s">
        <v>34</v>
      </c>
      <c r="F682" t="s">
        <v>35</v>
      </c>
      <c r="G682">
        <v>6.67</v>
      </c>
      <c r="H682" t="s">
        <v>28</v>
      </c>
      <c r="I682" t="s">
        <v>23</v>
      </c>
      <c r="J682" t="s">
        <v>31</v>
      </c>
      <c r="K682" t="s">
        <v>32</v>
      </c>
      <c r="L682">
        <v>10</v>
      </c>
      <c r="M682" t="s">
        <v>19</v>
      </c>
      <c r="N682">
        <v>2</v>
      </c>
    </row>
    <row r="683" spans="1:14" x14ac:dyDescent="0.35">
      <c r="A683" s="5">
        <v>45654.713888888888</v>
      </c>
      <c r="B683" s="1" t="str">
        <f>TEXT(Coffee_Sales_Dataset[[#This Row],[Date]],"ddd")</f>
        <v>Sat</v>
      </c>
      <c r="C683">
        <f>HOUR(Coffee_Sales_Dataset[[#This Row],[Date]])</f>
        <v>17</v>
      </c>
      <c r="D683" t="s">
        <v>20</v>
      </c>
      <c r="E683" t="s">
        <v>21</v>
      </c>
      <c r="F683" t="s">
        <v>35</v>
      </c>
      <c r="G683">
        <v>4.59</v>
      </c>
      <c r="H683" t="s">
        <v>15</v>
      </c>
      <c r="I683" t="s">
        <v>23</v>
      </c>
      <c r="J683" t="s">
        <v>31</v>
      </c>
      <c r="K683" t="s">
        <v>18</v>
      </c>
      <c r="L683">
        <v>2</v>
      </c>
      <c r="M683" t="s">
        <v>37</v>
      </c>
      <c r="N683">
        <v>1</v>
      </c>
    </row>
    <row r="684" spans="1:14" x14ac:dyDescent="0.35">
      <c r="A684" s="5">
        <v>45650.540972222225</v>
      </c>
      <c r="B684" s="1" t="str">
        <f>TEXT(Coffee_Sales_Dataset[[#This Row],[Date]],"ddd")</f>
        <v>Tue</v>
      </c>
      <c r="C684">
        <f>HOUR(Coffee_Sales_Dataset[[#This Row],[Date]])</f>
        <v>12</v>
      </c>
      <c r="D684" t="s">
        <v>41</v>
      </c>
      <c r="E684" t="s">
        <v>44</v>
      </c>
      <c r="F684" t="s">
        <v>14</v>
      </c>
      <c r="G684">
        <v>5.96</v>
      </c>
      <c r="H684" t="s">
        <v>28</v>
      </c>
      <c r="I684" t="s">
        <v>16</v>
      </c>
      <c r="J684" t="s">
        <v>42</v>
      </c>
      <c r="K684" t="s">
        <v>40</v>
      </c>
      <c r="L684">
        <v>7</v>
      </c>
      <c r="M684" t="s">
        <v>19</v>
      </c>
      <c r="N684">
        <v>3</v>
      </c>
    </row>
    <row r="685" spans="1:14" x14ac:dyDescent="0.35">
      <c r="A685" s="5">
        <v>45649.606249999997</v>
      </c>
      <c r="B685" s="1" t="str">
        <f>TEXT(Coffee_Sales_Dataset[[#This Row],[Date]],"ddd")</f>
        <v>Mon</v>
      </c>
      <c r="C685">
        <f>HOUR(Coffee_Sales_Dataset[[#This Row],[Date]])</f>
        <v>14</v>
      </c>
      <c r="D685" t="s">
        <v>12</v>
      </c>
      <c r="E685" t="s">
        <v>27</v>
      </c>
      <c r="F685" t="s">
        <v>35</v>
      </c>
      <c r="G685">
        <v>4.4000000000000004</v>
      </c>
      <c r="H685" t="s">
        <v>15</v>
      </c>
      <c r="I685" t="s">
        <v>23</v>
      </c>
      <c r="J685" t="s">
        <v>17</v>
      </c>
      <c r="K685" t="s">
        <v>18</v>
      </c>
      <c r="L685">
        <v>9</v>
      </c>
      <c r="M685" t="s">
        <v>36</v>
      </c>
      <c r="N685">
        <v>2</v>
      </c>
    </row>
    <row r="686" spans="1:14" x14ac:dyDescent="0.35">
      <c r="A686" s="5">
        <v>45652.70208333333</v>
      </c>
      <c r="B686" s="1" t="str">
        <f>TEXT(Coffee_Sales_Dataset[[#This Row],[Date]],"ddd")</f>
        <v>Thu</v>
      </c>
      <c r="C686">
        <f>HOUR(Coffee_Sales_Dataset[[#This Row],[Date]])</f>
        <v>16</v>
      </c>
      <c r="D686" t="s">
        <v>26</v>
      </c>
      <c r="E686" t="s">
        <v>46</v>
      </c>
      <c r="F686" t="s">
        <v>14</v>
      </c>
      <c r="G686">
        <v>6.66</v>
      </c>
      <c r="H686" t="s">
        <v>28</v>
      </c>
      <c r="I686" t="s">
        <v>16</v>
      </c>
      <c r="J686" t="s">
        <v>17</v>
      </c>
      <c r="K686" t="s">
        <v>32</v>
      </c>
      <c r="L686">
        <v>6</v>
      </c>
      <c r="M686" t="s">
        <v>33</v>
      </c>
      <c r="N686">
        <v>2</v>
      </c>
    </row>
    <row r="687" spans="1:14" x14ac:dyDescent="0.35">
      <c r="A687" s="5">
        <v>45649.411111111112</v>
      </c>
      <c r="B687" s="1" t="str">
        <f>TEXT(Coffee_Sales_Dataset[[#This Row],[Date]],"ddd")</f>
        <v>Mon</v>
      </c>
      <c r="C687">
        <f>HOUR(Coffee_Sales_Dataset[[#This Row],[Date]])</f>
        <v>9</v>
      </c>
      <c r="D687" t="s">
        <v>20</v>
      </c>
      <c r="E687" t="s">
        <v>13</v>
      </c>
      <c r="F687" t="s">
        <v>14</v>
      </c>
      <c r="G687">
        <v>3.12</v>
      </c>
      <c r="H687" t="s">
        <v>30</v>
      </c>
      <c r="I687" t="s">
        <v>23</v>
      </c>
      <c r="J687" t="s">
        <v>17</v>
      </c>
      <c r="K687" t="s">
        <v>18</v>
      </c>
      <c r="L687">
        <v>3</v>
      </c>
      <c r="M687" t="s">
        <v>39</v>
      </c>
      <c r="N687">
        <v>3</v>
      </c>
    </row>
    <row r="688" spans="1:14" x14ac:dyDescent="0.35">
      <c r="A688" s="5">
        <v>45648.393750000003</v>
      </c>
      <c r="B688" s="1" t="str">
        <f>TEXT(Coffee_Sales_Dataset[[#This Row],[Date]],"ddd")</f>
        <v>Sun</v>
      </c>
      <c r="C688">
        <f>HOUR(Coffee_Sales_Dataset[[#This Row],[Date]])</f>
        <v>9</v>
      </c>
      <c r="D688" t="s">
        <v>43</v>
      </c>
      <c r="E688" t="s">
        <v>44</v>
      </c>
      <c r="F688" t="s">
        <v>22</v>
      </c>
      <c r="G688">
        <v>3.04</v>
      </c>
      <c r="H688" t="s">
        <v>28</v>
      </c>
      <c r="I688" t="s">
        <v>16</v>
      </c>
      <c r="J688" t="s">
        <v>24</v>
      </c>
      <c r="K688" t="s">
        <v>32</v>
      </c>
      <c r="L688">
        <v>7</v>
      </c>
      <c r="M688" t="s">
        <v>36</v>
      </c>
      <c r="N688">
        <v>3</v>
      </c>
    </row>
    <row r="689" spans="1:14" x14ac:dyDescent="0.35">
      <c r="A689" s="5">
        <v>45647.748611111114</v>
      </c>
      <c r="B689" s="1" t="str">
        <f>TEXT(Coffee_Sales_Dataset[[#This Row],[Date]],"ddd")</f>
        <v>Sat</v>
      </c>
      <c r="C689">
        <f>HOUR(Coffee_Sales_Dataset[[#This Row],[Date]])</f>
        <v>17</v>
      </c>
      <c r="D689" t="s">
        <v>12</v>
      </c>
      <c r="E689" t="s">
        <v>44</v>
      </c>
      <c r="F689" t="s">
        <v>35</v>
      </c>
      <c r="G689">
        <v>5.37</v>
      </c>
      <c r="H689" t="s">
        <v>28</v>
      </c>
      <c r="I689" t="s">
        <v>16</v>
      </c>
      <c r="J689" t="s">
        <v>29</v>
      </c>
      <c r="K689" t="s">
        <v>32</v>
      </c>
      <c r="L689">
        <v>7</v>
      </c>
      <c r="M689" t="s">
        <v>47</v>
      </c>
      <c r="N689">
        <v>1</v>
      </c>
    </row>
    <row r="690" spans="1:14" x14ac:dyDescent="0.35">
      <c r="A690" s="5">
        <v>45645.663194444445</v>
      </c>
      <c r="B690" s="1" t="str">
        <f>TEXT(Coffee_Sales_Dataset[[#This Row],[Date]],"ddd")</f>
        <v>Thu</v>
      </c>
      <c r="C690">
        <f>HOUR(Coffee_Sales_Dataset[[#This Row],[Date]])</f>
        <v>15</v>
      </c>
      <c r="D690" t="s">
        <v>12</v>
      </c>
      <c r="E690" t="s">
        <v>21</v>
      </c>
      <c r="F690" t="s">
        <v>35</v>
      </c>
      <c r="G690">
        <v>6.08</v>
      </c>
      <c r="H690" t="s">
        <v>15</v>
      </c>
      <c r="I690" t="s">
        <v>16</v>
      </c>
      <c r="J690" t="s">
        <v>45</v>
      </c>
      <c r="K690" t="s">
        <v>32</v>
      </c>
      <c r="L690">
        <v>2</v>
      </c>
      <c r="M690" t="s">
        <v>25</v>
      </c>
      <c r="N690">
        <v>1</v>
      </c>
    </row>
    <row r="691" spans="1:14" x14ac:dyDescent="0.35">
      <c r="A691" s="5">
        <v>45656.395833333336</v>
      </c>
      <c r="B691" s="1" t="str">
        <f>TEXT(Coffee_Sales_Dataset[[#This Row],[Date]],"ddd")</f>
        <v>Mon</v>
      </c>
      <c r="C691">
        <f>HOUR(Coffee_Sales_Dataset[[#This Row],[Date]])</f>
        <v>9</v>
      </c>
      <c r="D691" t="s">
        <v>43</v>
      </c>
      <c r="E691" t="s">
        <v>38</v>
      </c>
      <c r="F691" t="s">
        <v>14</v>
      </c>
      <c r="G691">
        <v>3.33</v>
      </c>
      <c r="H691" t="s">
        <v>28</v>
      </c>
      <c r="I691" t="s">
        <v>23</v>
      </c>
      <c r="J691" t="s">
        <v>42</v>
      </c>
      <c r="K691" t="s">
        <v>32</v>
      </c>
      <c r="L691">
        <v>7</v>
      </c>
      <c r="M691" t="s">
        <v>36</v>
      </c>
      <c r="N691">
        <v>5</v>
      </c>
    </row>
    <row r="692" spans="1:14" x14ac:dyDescent="0.35">
      <c r="A692" s="5">
        <v>45656.347222222219</v>
      </c>
      <c r="B692" s="1" t="str">
        <f>TEXT(Coffee_Sales_Dataset[[#This Row],[Date]],"ddd")</f>
        <v>Mon</v>
      </c>
      <c r="C692">
        <f>HOUR(Coffee_Sales_Dataset[[#This Row],[Date]])</f>
        <v>8</v>
      </c>
      <c r="D692" t="s">
        <v>43</v>
      </c>
      <c r="E692" t="s">
        <v>38</v>
      </c>
      <c r="F692" t="s">
        <v>35</v>
      </c>
      <c r="G692">
        <v>6.42</v>
      </c>
      <c r="H692" t="s">
        <v>30</v>
      </c>
      <c r="I692" t="s">
        <v>16</v>
      </c>
      <c r="J692" t="s">
        <v>29</v>
      </c>
      <c r="K692" t="s">
        <v>40</v>
      </c>
      <c r="L692">
        <v>4</v>
      </c>
      <c r="M692" t="s">
        <v>37</v>
      </c>
      <c r="N692">
        <v>1</v>
      </c>
    </row>
    <row r="693" spans="1:14" x14ac:dyDescent="0.35">
      <c r="A693" s="5">
        <v>45655.62777777778</v>
      </c>
      <c r="B693" s="1" t="str">
        <f>TEXT(Coffee_Sales_Dataset[[#This Row],[Date]],"ddd")</f>
        <v>Sun</v>
      </c>
      <c r="C693">
        <f>HOUR(Coffee_Sales_Dataset[[#This Row],[Date]])</f>
        <v>15</v>
      </c>
      <c r="D693" t="s">
        <v>41</v>
      </c>
      <c r="E693" t="s">
        <v>27</v>
      </c>
      <c r="F693" t="s">
        <v>22</v>
      </c>
      <c r="G693">
        <v>4.0999999999999996</v>
      </c>
      <c r="H693" t="s">
        <v>28</v>
      </c>
      <c r="I693" t="s">
        <v>16</v>
      </c>
      <c r="J693" t="s">
        <v>31</v>
      </c>
      <c r="K693" t="s">
        <v>18</v>
      </c>
      <c r="L693">
        <v>2</v>
      </c>
      <c r="M693" t="s">
        <v>47</v>
      </c>
      <c r="N693">
        <v>5</v>
      </c>
    </row>
    <row r="694" spans="1:14" x14ac:dyDescent="0.35">
      <c r="A694" s="5">
        <v>45642.688194444447</v>
      </c>
      <c r="B694" s="1" t="str">
        <f>TEXT(Coffee_Sales_Dataset[[#This Row],[Date]],"ddd")</f>
        <v>Mon</v>
      </c>
      <c r="C694">
        <f>HOUR(Coffee_Sales_Dataset[[#This Row],[Date]])</f>
        <v>16</v>
      </c>
      <c r="D694" t="s">
        <v>20</v>
      </c>
      <c r="E694" t="s">
        <v>46</v>
      </c>
      <c r="F694" t="s">
        <v>22</v>
      </c>
      <c r="G694">
        <v>6.41</v>
      </c>
      <c r="H694" t="s">
        <v>30</v>
      </c>
      <c r="I694" t="s">
        <v>16</v>
      </c>
      <c r="J694" t="s">
        <v>31</v>
      </c>
      <c r="K694" t="s">
        <v>32</v>
      </c>
      <c r="L694">
        <v>8</v>
      </c>
      <c r="M694" t="s">
        <v>39</v>
      </c>
      <c r="N694">
        <v>2</v>
      </c>
    </row>
    <row r="695" spans="1:14" x14ac:dyDescent="0.35">
      <c r="A695" s="5">
        <v>45656.383333333331</v>
      </c>
      <c r="B695" s="1" t="str">
        <f>TEXT(Coffee_Sales_Dataset[[#This Row],[Date]],"ddd")</f>
        <v>Mon</v>
      </c>
      <c r="C695">
        <f>HOUR(Coffee_Sales_Dataset[[#This Row],[Date]])</f>
        <v>9</v>
      </c>
      <c r="D695" t="s">
        <v>12</v>
      </c>
      <c r="E695" t="s">
        <v>46</v>
      </c>
      <c r="F695" t="s">
        <v>14</v>
      </c>
      <c r="G695">
        <v>3.02</v>
      </c>
      <c r="H695" t="s">
        <v>28</v>
      </c>
      <c r="I695" t="s">
        <v>23</v>
      </c>
      <c r="J695" t="s">
        <v>42</v>
      </c>
      <c r="K695" t="s">
        <v>40</v>
      </c>
      <c r="L695">
        <v>6</v>
      </c>
      <c r="M695" t="s">
        <v>36</v>
      </c>
      <c r="N695">
        <v>2</v>
      </c>
    </row>
    <row r="696" spans="1:14" x14ac:dyDescent="0.35">
      <c r="A696" s="5">
        <v>45646.745833333334</v>
      </c>
      <c r="B696" s="1" t="str">
        <f>TEXT(Coffee_Sales_Dataset[[#This Row],[Date]],"ddd")</f>
        <v>Fri</v>
      </c>
      <c r="C696">
        <f>HOUR(Coffee_Sales_Dataset[[#This Row],[Date]])</f>
        <v>17</v>
      </c>
      <c r="D696" t="s">
        <v>12</v>
      </c>
      <c r="E696" t="s">
        <v>27</v>
      </c>
      <c r="F696" t="s">
        <v>35</v>
      </c>
      <c r="G696">
        <v>4.78</v>
      </c>
      <c r="H696" t="s">
        <v>28</v>
      </c>
      <c r="I696" t="s">
        <v>23</v>
      </c>
      <c r="J696" t="s">
        <v>29</v>
      </c>
      <c r="K696" t="s">
        <v>40</v>
      </c>
      <c r="L696">
        <v>4</v>
      </c>
      <c r="M696" t="s">
        <v>36</v>
      </c>
      <c r="N696">
        <v>5</v>
      </c>
    </row>
    <row r="697" spans="1:14" x14ac:dyDescent="0.35">
      <c r="A697" s="5">
        <v>45650.646527777775</v>
      </c>
      <c r="B697" s="1" t="str">
        <f>TEXT(Coffee_Sales_Dataset[[#This Row],[Date]],"ddd")</f>
        <v>Tue</v>
      </c>
      <c r="C697">
        <f>HOUR(Coffee_Sales_Dataset[[#This Row],[Date]])</f>
        <v>15</v>
      </c>
      <c r="D697" t="s">
        <v>43</v>
      </c>
      <c r="E697" t="s">
        <v>21</v>
      </c>
      <c r="F697" t="s">
        <v>35</v>
      </c>
      <c r="G697">
        <v>4.72</v>
      </c>
      <c r="H697" t="s">
        <v>28</v>
      </c>
      <c r="I697" t="s">
        <v>16</v>
      </c>
      <c r="J697" t="s">
        <v>45</v>
      </c>
      <c r="K697" t="s">
        <v>18</v>
      </c>
      <c r="L697">
        <v>3</v>
      </c>
      <c r="M697" t="s">
        <v>25</v>
      </c>
      <c r="N697">
        <v>4</v>
      </c>
    </row>
    <row r="698" spans="1:14" x14ac:dyDescent="0.35">
      <c r="A698" s="5">
        <v>45641.607638888891</v>
      </c>
      <c r="B698" s="1" t="str">
        <f>TEXT(Coffee_Sales_Dataset[[#This Row],[Date]],"ddd")</f>
        <v>Sun</v>
      </c>
      <c r="C698">
        <f>HOUR(Coffee_Sales_Dataset[[#This Row],[Date]])</f>
        <v>14</v>
      </c>
      <c r="D698" t="s">
        <v>12</v>
      </c>
      <c r="E698" t="s">
        <v>13</v>
      </c>
      <c r="F698" t="s">
        <v>14</v>
      </c>
      <c r="G698">
        <v>3.35</v>
      </c>
      <c r="H698" t="s">
        <v>28</v>
      </c>
      <c r="I698" t="s">
        <v>16</v>
      </c>
      <c r="J698" t="s">
        <v>42</v>
      </c>
      <c r="K698" t="s">
        <v>32</v>
      </c>
      <c r="L698">
        <v>10</v>
      </c>
      <c r="M698" t="s">
        <v>36</v>
      </c>
      <c r="N698">
        <v>2</v>
      </c>
    </row>
    <row r="699" spans="1:14" x14ac:dyDescent="0.35">
      <c r="A699" s="5">
        <v>45642.420138888891</v>
      </c>
      <c r="B699" s="1" t="str">
        <f>TEXT(Coffee_Sales_Dataset[[#This Row],[Date]],"ddd")</f>
        <v>Mon</v>
      </c>
      <c r="C699">
        <f>HOUR(Coffee_Sales_Dataset[[#This Row],[Date]])</f>
        <v>10</v>
      </c>
      <c r="D699" t="s">
        <v>41</v>
      </c>
      <c r="E699" t="s">
        <v>27</v>
      </c>
      <c r="F699" t="s">
        <v>35</v>
      </c>
      <c r="G699">
        <v>3.79</v>
      </c>
      <c r="H699" t="s">
        <v>28</v>
      </c>
      <c r="I699" t="s">
        <v>16</v>
      </c>
      <c r="J699" t="s">
        <v>31</v>
      </c>
      <c r="K699" t="s">
        <v>32</v>
      </c>
      <c r="L699">
        <v>9</v>
      </c>
      <c r="M699" t="s">
        <v>39</v>
      </c>
      <c r="N699">
        <v>2</v>
      </c>
    </row>
    <row r="700" spans="1:14" x14ac:dyDescent="0.35">
      <c r="A700" s="5">
        <v>45650.399305555555</v>
      </c>
      <c r="B700" s="1" t="str">
        <f>TEXT(Coffee_Sales_Dataset[[#This Row],[Date]],"ddd")</f>
        <v>Tue</v>
      </c>
      <c r="C700">
        <f>HOUR(Coffee_Sales_Dataset[[#This Row],[Date]])</f>
        <v>9</v>
      </c>
      <c r="D700" t="s">
        <v>26</v>
      </c>
      <c r="E700" t="s">
        <v>27</v>
      </c>
      <c r="F700" t="s">
        <v>14</v>
      </c>
      <c r="G700">
        <v>3.59</v>
      </c>
      <c r="H700" t="s">
        <v>30</v>
      </c>
      <c r="I700" t="s">
        <v>16</v>
      </c>
      <c r="J700" t="s">
        <v>29</v>
      </c>
      <c r="K700" t="s">
        <v>32</v>
      </c>
      <c r="L700">
        <v>2</v>
      </c>
      <c r="M700" t="s">
        <v>37</v>
      </c>
      <c r="N700">
        <v>1</v>
      </c>
    </row>
    <row r="701" spans="1:14" x14ac:dyDescent="0.35">
      <c r="A701" s="5">
        <v>45642.525694444441</v>
      </c>
      <c r="B701" s="1" t="str">
        <f>TEXT(Coffee_Sales_Dataset[[#This Row],[Date]],"ddd")</f>
        <v>Mon</v>
      </c>
      <c r="C701">
        <f>HOUR(Coffee_Sales_Dataset[[#This Row],[Date]])</f>
        <v>12</v>
      </c>
      <c r="D701" t="s">
        <v>41</v>
      </c>
      <c r="E701" t="s">
        <v>13</v>
      </c>
      <c r="F701" t="s">
        <v>22</v>
      </c>
      <c r="G701">
        <v>6.52</v>
      </c>
      <c r="H701" t="s">
        <v>30</v>
      </c>
      <c r="I701" t="s">
        <v>16</v>
      </c>
      <c r="J701" t="s">
        <v>17</v>
      </c>
      <c r="K701" t="s">
        <v>32</v>
      </c>
      <c r="L701">
        <v>5</v>
      </c>
      <c r="M701" t="s">
        <v>36</v>
      </c>
      <c r="N701">
        <v>4</v>
      </c>
    </row>
    <row r="702" spans="1:14" x14ac:dyDescent="0.35">
      <c r="A702" s="5">
        <v>45648.462500000001</v>
      </c>
      <c r="B702" s="1" t="str">
        <f>TEXT(Coffee_Sales_Dataset[[#This Row],[Date]],"ddd")</f>
        <v>Sun</v>
      </c>
      <c r="C702">
        <f>HOUR(Coffee_Sales_Dataset[[#This Row],[Date]])</f>
        <v>11</v>
      </c>
      <c r="D702" t="s">
        <v>20</v>
      </c>
      <c r="E702" t="s">
        <v>46</v>
      </c>
      <c r="F702" t="s">
        <v>35</v>
      </c>
      <c r="G702">
        <v>5.53</v>
      </c>
      <c r="H702" t="s">
        <v>28</v>
      </c>
      <c r="I702" t="s">
        <v>23</v>
      </c>
      <c r="J702" t="s">
        <v>17</v>
      </c>
      <c r="K702" t="s">
        <v>18</v>
      </c>
      <c r="L702">
        <v>4</v>
      </c>
      <c r="M702" t="s">
        <v>33</v>
      </c>
      <c r="N702">
        <v>5</v>
      </c>
    </row>
    <row r="703" spans="1:14" x14ac:dyDescent="0.35">
      <c r="A703" s="5">
        <v>45643.395833333336</v>
      </c>
      <c r="B703" s="1" t="str">
        <f>TEXT(Coffee_Sales_Dataset[[#This Row],[Date]],"ddd")</f>
        <v>Tue</v>
      </c>
      <c r="C703">
        <f>HOUR(Coffee_Sales_Dataset[[#This Row],[Date]])</f>
        <v>9</v>
      </c>
      <c r="D703" t="s">
        <v>41</v>
      </c>
      <c r="E703" t="s">
        <v>13</v>
      </c>
      <c r="F703" t="s">
        <v>35</v>
      </c>
      <c r="G703">
        <v>3.66</v>
      </c>
      <c r="H703" t="s">
        <v>28</v>
      </c>
      <c r="I703" t="s">
        <v>16</v>
      </c>
      <c r="J703" t="s">
        <v>45</v>
      </c>
      <c r="K703" t="s">
        <v>32</v>
      </c>
      <c r="L703">
        <v>5</v>
      </c>
      <c r="M703" t="s">
        <v>33</v>
      </c>
      <c r="N703">
        <v>3</v>
      </c>
    </row>
    <row r="704" spans="1:14" x14ac:dyDescent="0.35">
      <c r="A704" s="5">
        <v>45647.584722222222</v>
      </c>
      <c r="B704" s="1" t="str">
        <f>TEXT(Coffee_Sales_Dataset[[#This Row],[Date]],"ddd")</f>
        <v>Sat</v>
      </c>
      <c r="C704">
        <f>HOUR(Coffee_Sales_Dataset[[#This Row],[Date]])</f>
        <v>14</v>
      </c>
      <c r="D704" t="s">
        <v>43</v>
      </c>
      <c r="E704" t="s">
        <v>21</v>
      </c>
      <c r="F704" t="s">
        <v>22</v>
      </c>
      <c r="G704">
        <v>3.11</v>
      </c>
      <c r="H704" t="s">
        <v>28</v>
      </c>
      <c r="I704" t="s">
        <v>16</v>
      </c>
      <c r="J704" t="s">
        <v>42</v>
      </c>
      <c r="K704" t="s">
        <v>32</v>
      </c>
      <c r="L704">
        <v>5</v>
      </c>
      <c r="M704" t="s">
        <v>19</v>
      </c>
      <c r="N704">
        <v>2</v>
      </c>
    </row>
    <row r="705" spans="1:14" x14ac:dyDescent="0.35">
      <c r="A705" s="5">
        <v>45648.705555555556</v>
      </c>
      <c r="B705" s="1" t="str">
        <f>TEXT(Coffee_Sales_Dataset[[#This Row],[Date]],"ddd")</f>
        <v>Sun</v>
      </c>
      <c r="C705">
        <f>HOUR(Coffee_Sales_Dataset[[#This Row],[Date]])</f>
        <v>16</v>
      </c>
      <c r="D705" t="s">
        <v>12</v>
      </c>
      <c r="E705" t="s">
        <v>44</v>
      </c>
      <c r="F705" t="s">
        <v>35</v>
      </c>
      <c r="G705">
        <v>3.63</v>
      </c>
      <c r="H705" t="s">
        <v>28</v>
      </c>
      <c r="I705" t="s">
        <v>16</v>
      </c>
      <c r="J705" t="s">
        <v>42</v>
      </c>
      <c r="K705" t="s">
        <v>40</v>
      </c>
      <c r="L705">
        <v>8</v>
      </c>
      <c r="M705" t="s">
        <v>37</v>
      </c>
      <c r="N705">
        <v>1</v>
      </c>
    </row>
    <row r="706" spans="1:14" x14ac:dyDescent="0.35">
      <c r="A706" s="5">
        <v>45647.670138888891</v>
      </c>
      <c r="B706" s="1" t="str">
        <f>TEXT(Coffee_Sales_Dataset[[#This Row],[Date]],"ddd")</f>
        <v>Sat</v>
      </c>
      <c r="C706">
        <f>HOUR(Coffee_Sales_Dataset[[#This Row],[Date]])</f>
        <v>16</v>
      </c>
      <c r="D706" t="s">
        <v>20</v>
      </c>
      <c r="E706" t="s">
        <v>21</v>
      </c>
      <c r="F706" t="s">
        <v>35</v>
      </c>
      <c r="G706">
        <v>3.16</v>
      </c>
      <c r="H706" t="s">
        <v>15</v>
      </c>
      <c r="I706" t="s">
        <v>16</v>
      </c>
      <c r="J706" t="s">
        <v>24</v>
      </c>
      <c r="K706" t="s">
        <v>32</v>
      </c>
      <c r="L706">
        <v>7</v>
      </c>
      <c r="M706" t="s">
        <v>47</v>
      </c>
      <c r="N706">
        <v>5</v>
      </c>
    </row>
    <row r="707" spans="1:14" x14ac:dyDescent="0.35">
      <c r="A707" s="5">
        <v>45650.537499999999</v>
      </c>
      <c r="B707" s="1" t="str">
        <f>TEXT(Coffee_Sales_Dataset[[#This Row],[Date]],"ddd")</f>
        <v>Tue</v>
      </c>
      <c r="C707">
        <f>HOUR(Coffee_Sales_Dataset[[#This Row],[Date]])</f>
        <v>12</v>
      </c>
      <c r="D707" t="s">
        <v>12</v>
      </c>
      <c r="E707" t="s">
        <v>38</v>
      </c>
      <c r="F707" t="s">
        <v>22</v>
      </c>
      <c r="G707">
        <v>4.54</v>
      </c>
      <c r="H707" t="s">
        <v>28</v>
      </c>
      <c r="I707" t="s">
        <v>23</v>
      </c>
      <c r="J707" t="s">
        <v>42</v>
      </c>
      <c r="K707" t="s">
        <v>32</v>
      </c>
      <c r="L707">
        <v>3</v>
      </c>
      <c r="M707" t="s">
        <v>19</v>
      </c>
      <c r="N707">
        <v>4</v>
      </c>
    </row>
    <row r="708" spans="1:14" x14ac:dyDescent="0.35">
      <c r="A708" s="5">
        <v>45656.689583333333</v>
      </c>
      <c r="B708" s="1" t="str">
        <f>TEXT(Coffee_Sales_Dataset[[#This Row],[Date]],"ddd")</f>
        <v>Mon</v>
      </c>
      <c r="C708">
        <f>HOUR(Coffee_Sales_Dataset[[#This Row],[Date]])</f>
        <v>16</v>
      </c>
      <c r="D708" t="s">
        <v>41</v>
      </c>
      <c r="E708" t="s">
        <v>44</v>
      </c>
      <c r="F708" t="s">
        <v>14</v>
      </c>
      <c r="G708">
        <v>4.01</v>
      </c>
      <c r="H708" t="s">
        <v>15</v>
      </c>
      <c r="I708" t="s">
        <v>16</v>
      </c>
      <c r="J708" t="s">
        <v>24</v>
      </c>
      <c r="K708" t="s">
        <v>18</v>
      </c>
      <c r="L708">
        <v>10</v>
      </c>
      <c r="M708" t="s">
        <v>36</v>
      </c>
      <c r="N708">
        <v>3</v>
      </c>
    </row>
    <row r="709" spans="1:14" x14ac:dyDescent="0.35">
      <c r="A709" s="5">
        <v>45655.581944444442</v>
      </c>
      <c r="B709" s="1" t="str">
        <f>TEXT(Coffee_Sales_Dataset[[#This Row],[Date]],"ddd")</f>
        <v>Sun</v>
      </c>
      <c r="C709">
        <f>HOUR(Coffee_Sales_Dataset[[#This Row],[Date]])</f>
        <v>13</v>
      </c>
      <c r="D709" t="s">
        <v>20</v>
      </c>
      <c r="E709" t="s">
        <v>38</v>
      </c>
      <c r="F709" t="s">
        <v>14</v>
      </c>
      <c r="G709">
        <v>4.3899999999999997</v>
      </c>
      <c r="H709" t="s">
        <v>15</v>
      </c>
      <c r="I709" t="s">
        <v>23</v>
      </c>
      <c r="J709" t="s">
        <v>24</v>
      </c>
      <c r="K709" t="s">
        <v>18</v>
      </c>
      <c r="L709">
        <v>8</v>
      </c>
      <c r="M709" t="s">
        <v>47</v>
      </c>
      <c r="N709">
        <v>3</v>
      </c>
    </row>
    <row r="710" spans="1:14" x14ac:dyDescent="0.35">
      <c r="A710" s="5">
        <v>45650.492361111108</v>
      </c>
      <c r="B710" s="1" t="str">
        <f>TEXT(Coffee_Sales_Dataset[[#This Row],[Date]],"ddd")</f>
        <v>Tue</v>
      </c>
      <c r="C710">
        <f>HOUR(Coffee_Sales_Dataset[[#This Row],[Date]])</f>
        <v>11</v>
      </c>
      <c r="D710" t="s">
        <v>41</v>
      </c>
      <c r="E710" t="s">
        <v>21</v>
      </c>
      <c r="F710" t="s">
        <v>14</v>
      </c>
      <c r="G710">
        <v>6.21</v>
      </c>
      <c r="H710" t="s">
        <v>28</v>
      </c>
      <c r="I710" t="s">
        <v>16</v>
      </c>
      <c r="J710" t="s">
        <v>17</v>
      </c>
      <c r="K710" t="s">
        <v>18</v>
      </c>
      <c r="L710">
        <v>7</v>
      </c>
      <c r="M710" t="s">
        <v>19</v>
      </c>
      <c r="N710">
        <v>5</v>
      </c>
    </row>
    <row r="711" spans="1:14" x14ac:dyDescent="0.35">
      <c r="A711" s="5">
        <v>45649.493750000001</v>
      </c>
      <c r="B711" s="1" t="str">
        <f>TEXT(Coffee_Sales_Dataset[[#This Row],[Date]],"ddd")</f>
        <v>Mon</v>
      </c>
      <c r="C711">
        <f>HOUR(Coffee_Sales_Dataset[[#This Row],[Date]])</f>
        <v>11</v>
      </c>
      <c r="D711" t="s">
        <v>12</v>
      </c>
      <c r="E711" t="s">
        <v>38</v>
      </c>
      <c r="F711" t="s">
        <v>35</v>
      </c>
      <c r="G711">
        <v>3.69</v>
      </c>
      <c r="H711" t="s">
        <v>28</v>
      </c>
      <c r="I711" t="s">
        <v>16</v>
      </c>
      <c r="J711" t="s">
        <v>45</v>
      </c>
      <c r="K711" t="s">
        <v>40</v>
      </c>
      <c r="L711">
        <v>5</v>
      </c>
      <c r="M711" t="s">
        <v>37</v>
      </c>
      <c r="N711">
        <v>3</v>
      </c>
    </row>
    <row r="712" spans="1:14" x14ac:dyDescent="0.35">
      <c r="A712" s="5">
        <v>45643.640972222223</v>
      </c>
      <c r="B712" s="1" t="str">
        <f>TEXT(Coffee_Sales_Dataset[[#This Row],[Date]],"ddd")</f>
        <v>Tue</v>
      </c>
      <c r="C712">
        <f>HOUR(Coffee_Sales_Dataset[[#This Row],[Date]])</f>
        <v>15</v>
      </c>
      <c r="D712" t="s">
        <v>20</v>
      </c>
      <c r="E712" t="s">
        <v>46</v>
      </c>
      <c r="F712" t="s">
        <v>22</v>
      </c>
      <c r="G712">
        <v>5.87</v>
      </c>
      <c r="H712" t="s">
        <v>28</v>
      </c>
      <c r="I712" t="s">
        <v>16</v>
      </c>
      <c r="J712" t="s">
        <v>31</v>
      </c>
      <c r="K712" t="s">
        <v>32</v>
      </c>
      <c r="L712">
        <v>4</v>
      </c>
      <c r="M712" t="s">
        <v>47</v>
      </c>
      <c r="N712">
        <v>5</v>
      </c>
    </row>
    <row r="713" spans="1:14" x14ac:dyDescent="0.35">
      <c r="A713" s="5">
        <v>45642.39166666667</v>
      </c>
      <c r="B713" s="1" t="str">
        <f>TEXT(Coffee_Sales_Dataset[[#This Row],[Date]],"ddd")</f>
        <v>Mon</v>
      </c>
      <c r="C713">
        <f>HOUR(Coffee_Sales_Dataset[[#This Row],[Date]])</f>
        <v>9</v>
      </c>
      <c r="D713" t="s">
        <v>41</v>
      </c>
      <c r="E713" t="s">
        <v>46</v>
      </c>
      <c r="F713" t="s">
        <v>14</v>
      </c>
      <c r="G713">
        <v>3.27</v>
      </c>
      <c r="H713" t="s">
        <v>15</v>
      </c>
      <c r="I713" t="s">
        <v>16</v>
      </c>
      <c r="J713" t="s">
        <v>42</v>
      </c>
      <c r="K713" t="s">
        <v>18</v>
      </c>
      <c r="L713">
        <v>6</v>
      </c>
      <c r="M713" t="s">
        <v>37</v>
      </c>
      <c r="N713">
        <v>5</v>
      </c>
    </row>
    <row r="714" spans="1:14" x14ac:dyDescent="0.35">
      <c r="A714" s="5">
        <v>45647.502083333333</v>
      </c>
      <c r="B714" s="1" t="str">
        <f>TEXT(Coffee_Sales_Dataset[[#This Row],[Date]],"ddd")</f>
        <v>Sat</v>
      </c>
      <c r="C714">
        <f>HOUR(Coffee_Sales_Dataset[[#This Row],[Date]])</f>
        <v>12</v>
      </c>
      <c r="D714" t="s">
        <v>12</v>
      </c>
      <c r="E714" t="s">
        <v>44</v>
      </c>
      <c r="F714" t="s">
        <v>22</v>
      </c>
      <c r="G714">
        <v>5.38</v>
      </c>
      <c r="H714" t="s">
        <v>15</v>
      </c>
      <c r="I714" t="s">
        <v>16</v>
      </c>
      <c r="J714" t="s">
        <v>42</v>
      </c>
      <c r="K714" t="s">
        <v>32</v>
      </c>
      <c r="L714">
        <v>3</v>
      </c>
      <c r="M714" t="s">
        <v>36</v>
      </c>
      <c r="N714">
        <v>2</v>
      </c>
    </row>
    <row r="715" spans="1:14" x14ac:dyDescent="0.35">
      <c r="A715" s="5">
        <v>45642.334722222222</v>
      </c>
      <c r="B715" s="1" t="str">
        <f>TEXT(Coffee_Sales_Dataset[[#This Row],[Date]],"ddd")</f>
        <v>Mon</v>
      </c>
      <c r="C715">
        <f>HOUR(Coffee_Sales_Dataset[[#This Row],[Date]])</f>
        <v>8</v>
      </c>
      <c r="D715" t="s">
        <v>26</v>
      </c>
      <c r="E715" t="s">
        <v>34</v>
      </c>
      <c r="F715" t="s">
        <v>14</v>
      </c>
      <c r="G715">
        <v>5.19</v>
      </c>
      <c r="H715" t="s">
        <v>15</v>
      </c>
      <c r="I715" t="s">
        <v>23</v>
      </c>
      <c r="J715" t="s">
        <v>29</v>
      </c>
      <c r="K715" t="s">
        <v>18</v>
      </c>
      <c r="L715">
        <v>8</v>
      </c>
      <c r="M715" t="s">
        <v>36</v>
      </c>
      <c r="N715">
        <v>1</v>
      </c>
    </row>
    <row r="716" spans="1:14" x14ac:dyDescent="0.35">
      <c r="A716" s="5">
        <v>45655.710416666669</v>
      </c>
      <c r="B716" s="1" t="str">
        <f>TEXT(Coffee_Sales_Dataset[[#This Row],[Date]],"ddd")</f>
        <v>Sun</v>
      </c>
      <c r="C716">
        <f>HOUR(Coffee_Sales_Dataset[[#This Row],[Date]])</f>
        <v>17</v>
      </c>
      <c r="D716" t="s">
        <v>26</v>
      </c>
      <c r="E716" t="s">
        <v>13</v>
      </c>
      <c r="F716" t="s">
        <v>22</v>
      </c>
      <c r="G716">
        <v>6.91</v>
      </c>
      <c r="H716" t="s">
        <v>28</v>
      </c>
      <c r="I716" t="s">
        <v>16</v>
      </c>
      <c r="J716" t="s">
        <v>24</v>
      </c>
      <c r="K716" t="s">
        <v>32</v>
      </c>
      <c r="L716">
        <v>5</v>
      </c>
      <c r="M716" t="s">
        <v>36</v>
      </c>
      <c r="N716">
        <v>2</v>
      </c>
    </row>
    <row r="717" spans="1:14" x14ac:dyDescent="0.35">
      <c r="A717" s="5">
        <v>45650.741666666669</v>
      </c>
      <c r="B717" s="1" t="str">
        <f>TEXT(Coffee_Sales_Dataset[[#This Row],[Date]],"ddd")</f>
        <v>Tue</v>
      </c>
      <c r="C717">
        <f>HOUR(Coffee_Sales_Dataset[[#This Row],[Date]])</f>
        <v>17</v>
      </c>
      <c r="D717" t="s">
        <v>43</v>
      </c>
      <c r="E717" t="s">
        <v>38</v>
      </c>
      <c r="F717" t="s">
        <v>22</v>
      </c>
      <c r="G717">
        <v>6.36</v>
      </c>
      <c r="H717" t="s">
        <v>30</v>
      </c>
      <c r="I717" t="s">
        <v>23</v>
      </c>
      <c r="J717" t="s">
        <v>31</v>
      </c>
      <c r="K717" t="s">
        <v>18</v>
      </c>
      <c r="L717">
        <v>7</v>
      </c>
      <c r="M717" t="s">
        <v>33</v>
      </c>
      <c r="N717">
        <v>2</v>
      </c>
    </row>
    <row r="718" spans="1:14" x14ac:dyDescent="0.35">
      <c r="A718" s="5">
        <v>45643.592361111114</v>
      </c>
      <c r="B718" s="1" t="str">
        <f>TEXT(Coffee_Sales_Dataset[[#This Row],[Date]],"ddd")</f>
        <v>Tue</v>
      </c>
      <c r="C718">
        <f>HOUR(Coffee_Sales_Dataset[[#This Row],[Date]])</f>
        <v>14</v>
      </c>
      <c r="D718" t="s">
        <v>41</v>
      </c>
      <c r="E718" t="s">
        <v>38</v>
      </c>
      <c r="F718" t="s">
        <v>14</v>
      </c>
      <c r="G718">
        <v>6.82</v>
      </c>
      <c r="H718" t="s">
        <v>30</v>
      </c>
      <c r="I718" t="s">
        <v>16</v>
      </c>
      <c r="J718" t="s">
        <v>42</v>
      </c>
      <c r="K718" t="s">
        <v>40</v>
      </c>
      <c r="L718">
        <v>3</v>
      </c>
      <c r="M718" t="s">
        <v>36</v>
      </c>
      <c r="N718">
        <v>4</v>
      </c>
    </row>
    <row r="719" spans="1:14" x14ac:dyDescent="0.35">
      <c r="A719" s="5">
        <v>45644.652083333334</v>
      </c>
      <c r="B719" s="1" t="str">
        <f>TEXT(Coffee_Sales_Dataset[[#This Row],[Date]],"ddd")</f>
        <v>Wed</v>
      </c>
      <c r="C719">
        <f>HOUR(Coffee_Sales_Dataset[[#This Row],[Date]])</f>
        <v>15</v>
      </c>
      <c r="D719" t="s">
        <v>20</v>
      </c>
      <c r="E719" t="s">
        <v>27</v>
      </c>
      <c r="F719" t="s">
        <v>14</v>
      </c>
      <c r="G719">
        <v>4.12</v>
      </c>
      <c r="H719" t="s">
        <v>30</v>
      </c>
      <c r="I719" t="s">
        <v>23</v>
      </c>
      <c r="J719" t="s">
        <v>45</v>
      </c>
      <c r="K719" t="s">
        <v>32</v>
      </c>
      <c r="L719">
        <v>8</v>
      </c>
      <c r="M719" t="s">
        <v>37</v>
      </c>
      <c r="N719">
        <v>5</v>
      </c>
    </row>
    <row r="720" spans="1:14" x14ac:dyDescent="0.35">
      <c r="A720" s="5">
        <v>45654.634027777778</v>
      </c>
      <c r="B720" s="1" t="str">
        <f>TEXT(Coffee_Sales_Dataset[[#This Row],[Date]],"ddd")</f>
        <v>Sat</v>
      </c>
      <c r="C720">
        <f>HOUR(Coffee_Sales_Dataset[[#This Row],[Date]])</f>
        <v>15</v>
      </c>
      <c r="D720" t="s">
        <v>20</v>
      </c>
      <c r="E720" t="s">
        <v>13</v>
      </c>
      <c r="F720" t="s">
        <v>14</v>
      </c>
      <c r="G720">
        <v>4.63</v>
      </c>
      <c r="H720" t="s">
        <v>15</v>
      </c>
      <c r="I720" t="s">
        <v>16</v>
      </c>
      <c r="J720" t="s">
        <v>17</v>
      </c>
      <c r="K720" t="s">
        <v>18</v>
      </c>
      <c r="L720">
        <v>8</v>
      </c>
      <c r="M720" t="s">
        <v>33</v>
      </c>
      <c r="N720">
        <v>5</v>
      </c>
    </row>
    <row r="721" spans="1:14" x14ac:dyDescent="0.35">
      <c r="A721" s="5">
        <v>45653.356944444444</v>
      </c>
      <c r="B721" s="1" t="str">
        <f>TEXT(Coffee_Sales_Dataset[[#This Row],[Date]],"ddd")</f>
        <v>Fri</v>
      </c>
      <c r="C721">
        <f>HOUR(Coffee_Sales_Dataset[[#This Row],[Date]])</f>
        <v>8</v>
      </c>
      <c r="D721" t="s">
        <v>43</v>
      </c>
      <c r="E721" t="s">
        <v>27</v>
      </c>
      <c r="F721" t="s">
        <v>35</v>
      </c>
      <c r="G721">
        <v>4.97</v>
      </c>
      <c r="H721" t="s">
        <v>28</v>
      </c>
      <c r="I721" t="s">
        <v>16</v>
      </c>
      <c r="J721" t="s">
        <v>24</v>
      </c>
      <c r="K721" t="s">
        <v>40</v>
      </c>
      <c r="L721">
        <v>9</v>
      </c>
      <c r="M721" t="s">
        <v>37</v>
      </c>
      <c r="N721">
        <v>5</v>
      </c>
    </row>
    <row r="722" spans="1:14" x14ac:dyDescent="0.35">
      <c r="A722" s="5">
        <v>45647.651388888888</v>
      </c>
      <c r="B722" s="1" t="str">
        <f>TEXT(Coffee_Sales_Dataset[[#This Row],[Date]],"ddd")</f>
        <v>Sat</v>
      </c>
      <c r="C722">
        <f>HOUR(Coffee_Sales_Dataset[[#This Row],[Date]])</f>
        <v>15</v>
      </c>
      <c r="D722" t="s">
        <v>20</v>
      </c>
      <c r="E722" t="s">
        <v>34</v>
      </c>
      <c r="F722" t="s">
        <v>14</v>
      </c>
      <c r="G722">
        <v>5.81</v>
      </c>
      <c r="H722" t="s">
        <v>28</v>
      </c>
      <c r="I722" t="s">
        <v>16</v>
      </c>
      <c r="J722" t="s">
        <v>17</v>
      </c>
      <c r="K722" t="s">
        <v>32</v>
      </c>
      <c r="L722">
        <v>5</v>
      </c>
      <c r="M722" t="s">
        <v>36</v>
      </c>
      <c r="N722">
        <v>3</v>
      </c>
    </row>
    <row r="723" spans="1:14" x14ac:dyDescent="0.35">
      <c r="A723" s="5">
        <v>45646.510416666664</v>
      </c>
      <c r="B723" s="1" t="str">
        <f>TEXT(Coffee_Sales_Dataset[[#This Row],[Date]],"ddd")</f>
        <v>Fri</v>
      </c>
      <c r="C723">
        <f>HOUR(Coffee_Sales_Dataset[[#This Row],[Date]])</f>
        <v>12</v>
      </c>
      <c r="D723" t="s">
        <v>43</v>
      </c>
      <c r="E723" t="s">
        <v>27</v>
      </c>
      <c r="F723" t="s">
        <v>22</v>
      </c>
      <c r="G723">
        <v>5.4</v>
      </c>
      <c r="H723" t="s">
        <v>15</v>
      </c>
      <c r="I723" t="s">
        <v>23</v>
      </c>
      <c r="J723" t="s">
        <v>45</v>
      </c>
      <c r="K723" t="s">
        <v>18</v>
      </c>
      <c r="L723">
        <v>5</v>
      </c>
      <c r="M723" t="s">
        <v>19</v>
      </c>
      <c r="N723">
        <v>1</v>
      </c>
    </row>
    <row r="724" spans="1:14" x14ac:dyDescent="0.35">
      <c r="A724" s="5">
        <v>45648.35</v>
      </c>
      <c r="B724" s="1" t="str">
        <f>TEXT(Coffee_Sales_Dataset[[#This Row],[Date]],"ddd")</f>
        <v>Sun</v>
      </c>
      <c r="C724">
        <f>HOUR(Coffee_Sales_Dataset[[#This Row],[Date]])</f>
        <v>8</v>
      </c>
      <c r="D724" t="s">
        <v>41</v>
      </c>
      <c r="E724" t="s">
        <v>34</v>
      </c>
      <c r="F724" t="s">
        <v>22</v>
      </c>
      <c r="G724">
        <v>4.5199999999999996</v>
      </c>
      <c r="H724" t="s">
        <v>15</v>
      </c>
      <c r="I724" t="s">
        <v>16</v>
      </c>
      <c r="J724" t="s">
        <v>45</v>
      </c>
      <c r="K724" t="s">
        <v>32</v>
      </c>
      <c r="L724">
        <v>8</v>
      </c>
      <c r="M724" t="s">
        <v>39</v>
      </c>
      <c r="N724">
        <v>4</v>
      </c>
    </row>
    <row r="725" spans="1:14" x14ac:dyDescent="0.35">
      <c r="A725" s="5">
        <v>45645.470138888886</v>
      </c>
      <c r="B725" s="1" t="str">
        <f>TEXT(Coffee_Sales_Dataset[[#This Row],[Date]],"ddd")</f>
        <v>Thu</v>
      </c>
      <c r="C725">
        <f>HOUR(Coffee_Sales_Dataset[[#This Row],[Date]])</f>
        <v>11</v>
      </c>
      <c r="D725" t="s">
        <v>43</v>
      </c>
      <c r="E725" t="s">
        <v>34</v>
      </c>
      <c r="F725" t="s">
        <v>22</v>
      </c>
      <c r="G725">
        <v>3.63</v>
      </c>
      <c r="H725" t="s">
        <v>30</v>
      </c>
      <c r="I725" t="s">
        <v>23</v>
      </c>
      <c r="J725" t="s">
        <v>29</v>
      </c>
      <c r="K725" t="s">
        <v>32</v>
      </c>
      <c r="L725">
        <v>7</v>
      </c>
      <c r="M725" t="s">
        <v>39</v>
      </c>
      <c r="N725">
        <v>2</v>
      </c>
    </row>
    <row r="726" spans="1:14" x14ac:dyDescent="0.35">
      <c r="A726" s="5">
        <v>45642.420138888891</v>
      </c>
      <c r="B726" s="1" t="str">
        <f>TEXT(Coffee_Sales_Dataset[[#This Row],[Date]],"ddd")</f>
        <v>Mon</v>
      </c>
      <c r="C726">
        <f>HOUR(Coffee_Sales_Dataset[[#This Row],[Date]])</f>
        <v>10</v>
      </c>
      <c r="D726" t="s">
        <v>41</v>
      </c>
      <c r="E726" t="s">
        <v>44</v>
      </c>
      <c r="F726" t="s">
        <v>35</v>
      </c>
      <c r="G726">
        <v>3.2</v>
      </c>
      <c r="H726" t="s">
        <v>30</v>
      </c>
      <c r="I726" t="s">
        <v>16</v>
      </c>
      <c r="J726" t="s">
        <v>42</v>
      </c>
      <c r="K726" t="s">
        <v>40</v>
      </c>
      <c r="L726">
        <v>6</v>
      </c>
      <c r="M726" t="s">
        <v>36</v>
      </c>
      <c r="N726">
        <v>4</v>
      </c>
    </row>
    <row r="727" spans="1:14" x14ac:dyDescent="0.35">
      <c r="A727" s="5">
        <v>45645.426388888889</v>
      </c>
      <c r="B727" s="1" t="str">
        <f>TEXT(Coffee_Sales_Dataset[[#This Row],[Date]],"ddd")</f>
        <v>Thu</v>
      </c>
      <c r="C727">
        <f>HOUR(Coffee_Sales_Dataset[[#This Row],[Date]])</f>
        <v>10</v>
      </c>
      <c r="D727" t="s">
        <v>12</v>
      </c>
      <c r="E727" t="s">
        <v>34</v>
      </c>
      <c r="F727" t="s">
        <v>14</v>
      </c>
      <c r="G727">
        <v>5.08</v>
      </c>
      <c r="H727" t="s">
        <v>30</v>
      </c>
      <c r="I727" t="s">
        <v>23</v>
      </c>
      <c r="J727" t="s">
        <v>31</v>
      </c>
      <c r="K727" t="s">
        <v>40</v>
      </c>
      <c r="L727">
        <v>4</v>
      </c>
      <c r="M727" t="s">
        <v>47</v>
      </c>
      <c r="N727">
        <v>5</v>
      </c>
    </row>
    <row r="728" spans="1:14" x14ac:dyDescent="0.35">
      <c r="A728" s="5">
        <v>45648.622916666667</v>
      </c>
      <c r="B728" s="1" t="str">
        <f>TEXT(Coffee_Sales_Dataset[[#This Row],[Date]],"ddd")</f>
        <v>Sun</v>
      </c>
      <c r="C728">
        <f>HOUR(Coffee_Sales_Dataset[[#This Row],[Date]])</f>
        <v>14</v>
      </c>
      <c r="D728" t="s">
        <v>20</v>
      </c>
      <c r="E728" t="s">
        <v>27</v>
      </c>
      <c r="F728" t="s">
        <v>14</v>
      </c>
      <c r="G728">
        <v>6.23</v>
      </c>
      <c r="H728" t="s">
        <v>30</v>
      </c>
      <c r="I728" t="s">
        <v>23</v>
      </c>
      <c r="J728" t="s">
        <v>29</v>
      </c>
      <c r="K728" t="s">
        <v>40</v>
      </c>
      <c r="L728">
        <v>6</v>
      </c>
      <c r="M728" t="s">
        <v>33</v>
      </c>
      <c r="N728">
        <v>2</v>
      </c>
    </row>
    <row r="729" spans="1:14" x14ac:dyDescent="0.35">
      <c r="A729" s="5">
        <v>45649.649305555555</v>
      </c>
      <c r="B729" s="1" t="str">
        <f>TEXT(Coffee_Sales_Dataset[[#This Row],[Date]],"ddd")</f>
        <v>Mon</v>
      </c>
      <c r="C729">
        <f>HOUR(Coffee_Sales_Dataset[[#This Row],[Date]])</f>
        <v>15</v>
      </c>
      <c r="D729" t="s">
        <v>43</v>
      </c>
      <c r="E729" t="s">
        <v>44</v>
      </c>
      <c r="F729" t="s">
        <v>14</v>
      </c>
      <c r="G729">
        <v>3.61</v>
      </c>
      <c r="H729" t="s">
        <v>30</v>
      </c>
      <c r="I729" t="s">
        <v>23</v>
      </c>
      <c r="J729" t="s">
        <v>29</v>
      </c>
      <c r="K729" t="s">
        <v>32</v>
      </c>
      <c r="L729">
        <v>4</v>
      </c>
      <c r="M729" t="s">
        <v>33</v>
      </c>
      <c r="N729">
        <v>3</v>
      </c>
    </row>
    <row r="730" spans="1:14" x14ac:dyDescent="0.35">
      <c r="A730" s="5">
        <v>45649.355555555558</v>
      </c>
      <c r="B730" s="1" t="str">
        <f>TEXT(Coffee_Sales_Dataset[[#This Row],[Date]],"ddd")</f>
        <v>Mon</v>
      </c>
      <c r="C730">
        <f>HOUR(Coffee_Sales_Dataset[[#This Row],[Date]])</f>
        <v>8</v>
      </c>
      <c r="D730" t="s">
        <v>41</v>
      </c>
      <c r="E730" t="s">
        <v>13</v>
      </c>
      <c r="F730" t="s">
        <v>22</v>
      </c>
      <c r="G730">
        <v>3.54</v>
      </c>
      <c r="H730" t="s">
        <v>30</v>
      </c>
      <c r="I730" t="s">
        <v>16</v>
      </c>
      <c r="J730" t="s">
        <v>17</v>
      </c>
      <c r="K730" t="s">
        <v>40</v>
      </c>
      <c r="L730">
        <v>5</v>
      </c>
      <c r="M730" t="s">
        <v>33</v>
      </c>
      <c r="N730">
        <v>5</v>
      </c>
    </row>
    <row r="731" spans="1:14" x14ac:dyDescent="0.35">
      <c r="A731" s="5">
        <v>45654.743055555555</v>
      </c>
      <c r="B731" s="1" t="str">
        <f>TEXT(Coffee_Sales_Dataset[[#This Row],[Date]],"ddd")</f>
        <v>Sat</v>
      </c>
      <c r="C731">
        <f>HOUR(Coffee_Sales_Dataset[[#This Row],[Date]])</f>
        <v>17</v>
      </c>
      <c r="D731" t="s">
        <v>43</v>
      </c>
      <c r="E731" t="s">
        <v>46</v>
      </c>
      <c r="F731" t="s">
        <v>14</v>
      </c>
      <c r="G731">
        <v>4.82</v>
      </c>
      <c r="H731" t="s">
        <v>28</v>
      </c>
      <c r="I731" t="s">
        <v>23</v>
      </c>
      <c r="J731" t="s">
        <v>45</v>
      </c>
      <c r="K731" t="s">
        <v>40</v>
      </c>
      <c r="L731">
        <v>4</v>
      </c>
      <c r="M731" t="s">
        <v>19</v>
      </c>
      <c r="N731">
        <v>5</v>
      </c>
    </row>
    <row r="732" spans="1:14" x14ac:dyDescent="0.35">
      <c r="A732" s="5">
        <v>45653.39166666667</v>
      </c>
      <c r="B732" s="1" t="str">
        <f>TEXT(Coffee_Sales_Dataset[[#This Row],[Date]],"ddd")</f>
        <v>Fri</v>
      </c>
      <c r="C732">
        <f>HOUR(Coffee_Sales_Dataset[[#This Row],[Date]])</f>
        <v>9</v>
      </c>
      <c r="D732" t="s">
        <v>20</v>
      </c>
      <c r="E732" t="s">
        <v>13</v>
      </c>
      <c r="F732" t="s">
        <v>22</v>
      </c>
      <c r="G732">
        <v>4.84</v>
      </c>
      <c r="H732" t="s">
        <v>15</v>
      </c>
      <c r="I732" t="s">
        <v>16</v>
      </c>
      <c r="J732" t="s">
        <v>31</v>
      </c>
      <c r="K732" t="s">
        <v>18</v>
      </c>
      <c r="L732">
        <v>8</v>
      </c>
      <c r="M732" t="s">
        <v>37</v>
      </c>
      <c r="N732">
        <v>4</v>
      </c>
    </row>
    <row r="733" spans="1:14" x14ac:dyDescent="0.35">
      <c r="A733" s="5">
        <v>45656.681944444441</v>
      </c>
      <c r="B733" s="1" t="str">
        <f>TEXT(Coffee_Sales_Dataset[[#This Row],[Date]],"ddd")</f>
        <v>Mon</v>
      </c>
      <c r="C733">
        <f>HOUR(Coffee_Sales_Dataset[[#This Row],[Date]])</f>
        <v>16</v>
      </c>
      <c r="D733" t="s">
        <v>41</v>
      </c>
      <c r="E733" t="s">
        <v>38</v>
      </c>
      <c r="F733" t="s">
        <v>35</v>
      </c>
      <c r="G733">
        <v>6.35</v>
      </c>
      <c r="H733" t="s">
        <v>15</v>
      </c>
      <c r="I733" t="s">
        <v>16</v>
      </c>
      <c r="J733" t="s">
        <v>31</v>
      </c>
      <c r="K733" t="s">
        <v>32</v>
      </c>
      <c r="L733">
        <v>4</v>
      </c>
      <c r="M733" t="s">
        <v>37</v>
      </c>
      <c r="N733">
        <v>4</v>
      </c>
    </row>
    <row r="734" spans="1:14" x14ac:dyDescent="0.35">
      <c r="A734" s="5">
        <v>45643.342361111114</v>
      </c>
      <c r="B734" s="1" t="str">
        <f>TEXT(Coffee_Sales_Dataset[[#This Row],[Date]],"ddd")</f>
        <v>Tue</v>
      </c>
      <c r="C734">
        <f>HOUR(Coffee_Sales_Dataset[[#This Row],[Date]])</f>
        <v>8</v>
      </c>
      <c r="D734" t="s">
        <v>26</v>
      </c>
      <c r="E734" t="s">
        <v>38</v>
      </c>
      <c r="F734" t="s">
        <v>22</v>
      </c>
      <c r="G734">
        <v>6.37</v>
      </c>
      <c r="H734" t="s">
        <v>30</v>
      </c>
      <c r="I734" t="s">
        <v>16</v>
      </c>
      <c r="J734" t="s">
        <v>42</v>
      </c>
      <c r="K734" t="s">
        <v>32</v>
      </c>
      <c r="L734">
        <v>6</v>
      </c>
      <c r="M734" t="s">
        <v>47</v>
      </c>
      <c r="N734">
        <v>1</v>
      </c>
    </row>
    <row r="735" spans="1:14" x14ac:dyDescent="0.35">
      <c r="A735" s="5">
        <v>45646.491666666669</v>
      </c>
      <c r="B735" s="1" t="str">
        <f>TEXT(Coffee_Sales_Dataset[[#This Row],[Date]],"ddd")</f>
        <v>Fri</v>
      </c>
      <c r="C735">
        <f>HOUR(Coffee_Sales_Dataset[[#This Row],[Date]])</f>
        <v>11</v>
      </c>
      <c r="D735" t="s">
        <v>26</v>
      </c>
      <c r="E735" t="s">
        <v>27</v>
      </c>
      <c r="F735" t="s">
        <v>22</v>
      </c>
      <c r="G735">
        <v>6.1</v>
      </c>
      <c r="H735" t="s">
        <v>30</v>
      </c>
      <c r="I735" t="s">
        <v>16</v>
      </c>
      <c r="J735" t="s">
        <v>31</v>
      </c>
      <c r="K735" t="s">
        <v>18</v>
      </c>
      <c r="L735">
        <v>4</v>
      </c>
      <c r="M735" t="s">
        <v>19</v>
      </c>
      <c r="N735">
        <v>3</v>
      </c>
    </row>
    <row r="736" spans="1:14" x14ac:dyDescent="0.35">
      <c r="A736" s="5">
        <v>45647.417361111111</v>
      </c>
      <c r="B736" s="1" t="str">
        <f>TEXT(Coffee_Sales_Dataset[[#This Row],[Date]],"ddd")</f>
        <v>Sat</v>
      </c>
      <c r="C736">
        <f>HOUR(Coffee_Sales_Dataset[[#This Row],[Date]])</f>
        <v>10</v>
      </c>
      <c r="D736" t="s">
        <v>20</v>
      </c>
      <c r="E736" t="s">
        <v>46</v>
      </c>
      <c r="F736" t="s">
        <v>22</v>
      </c>
      <c r="G736">
        <v>4.95</v>
      </c>
      <c r="H736" t="s">
        <v>15</v>
      </c>
      <c r="I736" t="s">
        <v>16</v>
      </c>
      <c r="J736" t="s">
        <v>24</v>
      </c>
      <c r="K736" t="s">
        <v>40</v>
      </c>
      <c r="L736">
        <v>9</v>
      </c>
      <c r="M736" t="s">
        <v>36</v>
      </c>
      <c r="N736">
        <v>4</v>
      </c>
    </row>
    <row r="737" spans="1:14" x14ac:dyDescent="0.35">
      <c r="A737" s="5">
        <v>45656.464583333334</v>
      </c>
      <c r="B737" s="1" t="str">
        <f>TEXT(Coffee_Sales_Dataset[[#This Row],[Date]],"ddd")</f>
        <v>Mon</v>
      </c>
      <c r="C737">
        <f>HOUR(Coffee_Sales_Dataset[[#This Row],[Date]])</f>
        <v>11</v>
      </c>
      <c r="D737" t="s">
        <v>26</v>
      </c>
      <c r="E737" t="s">
        <v>34</v>
      </c>
      <c r="F737" t="s">
        <v>22</v>
      </c>
      <c r="G737">
        <v>3.21</v>
      </c>
      <c r="H737" t="s">
        <v>15</v>
      </c>
      <c r="I737" t="s">
        <v>16</v>
      </c>
      <c r="J737" t="s">
        <v>45</v>
      </c>
      <c r="K737" t="s">
        <v>32</v>
      </c>
      <c r="L737">
        <v>3</v>
      </c>
      <c r="M737" t="s">
        <v>37</v>
      </c>
      <c r="N737">
        <v>3</v>
      </c>
    </row>
    <row r="738" spans="1:14" x14ac:dyDescent="0.35">
      <c r="A738" s="5">
        <v>45646.690972222219</v>
      </c>
      <c r="B738" s="1" t="str">
        <f>TEXT(Coffee_Sales_Dataset[[#This Row],[Date]],"ddd")</f>
        <v>Fri</v>
      </c>
      <c r="C738">
        <f>HOUR(Coffee_Sales_Dataset[[#This Row],[Date]])</f>
        <v>16</v>
      </c>
      <c r="D738" t="s">
        <v>12</v>
      </c>
      <c r="E738" t="s">
        <v>13</v>
      </c>
      <c r="F738" t="s">
        <v>22</v>
      </c>
      <c r="G738">
        <v>3.27</v>
      </c>
      <c r="H738" t="s">
        <v>15</v>
      </c>
      <c r="I738" t="s">
        <v>23</v>
      </c>
      <c r="J738" t="s">
        <v>24</v>
      </c>
      <c r="K738" t="s">
        <v>18</v>
      </c>
      <c r="L738">
        <v>4</v>
      </c>
      <c r="M738" t="s">
        <v>39</v>
      </c>
      <c r="N738">
        <v>1</v>
      </c>
    </row>
    <row r="739" spans="1:14" x14ac:dyDescent="0.35">
      <c r="A739" s="5">
        <v>45643.678472222222</v>
      </c>
      <c r="B739" s="1" t="str">
        <f>TEXT(Coffee_Sales_Dataset[[#This Row],[Date]],"ddd")</f>
        <v>Tue</v>
      </c>
      <c r="C739">
        <f>HOUR(Coffee_Sales_Dataset[[#This Row],[Date]])</f>
        <v>16</v>
      </c>
      <c r="D739" t="s">
        <v>26</v>
      </c>
      <c r="E739" t="s">
        <v>13</v>
      </c>
      <c r="F739" t="s">
        <v>35</v>
      </c>
      <c r="G739">
        <v>3.87</v>
      </c>
      <c r="H739" t="s">
        <v>28</v>
      </c>
      <c r="I739" t="s">
        <v>16</v>
      </c>
      <c r="J739" t="s">
        <v>29</v>
      </c>
      <c r="K739" t="s">
        <v>32</v>
      </c>
      <c r="L739">
        <v>8</v>
      </c>
      <c r="M739" t="s">
        <v>47</v>
      </c>
      <c r="N739">
        <v>5</v>
      </c>
    </row>
    <row r="740" spans="1:14" x14ac:dyDescent="0.35">
      <c r="A740" s="5">
        <v>45648.722222222219</v>
      </c>
      <c r="B740" s="1" t="str">
        <f>TEXT(Coffee_Sales_Dataset[[#This Row],[Date]],"ddd")</f>
        <v>Sun</v>
      </c>
      <c r="C740">
        <f>HOUR(Coffee_Sales_Dataset[[#This Row],[Date]])</f>
        <v>17</v>
      </c>
      <c r="D740" t="s">
        <v>43</v>
      </c>
      <c r="E740" t="s">
        <v>34</v>
      </c>
      <c r="F740" t="s">
        <v>14</v>
      </c>
      <c r="G740">
        <v>6.2</v>
      </c>
      <c r="H740" t="s">
        <v>28</v>
      </c>
      <c r="I740" t="s">
        <v>23</v>
      </c>
      <c r="J740" t="s">
        <v>42</v>
      </c>
      <c r="K740" t="s">
        <v>32</v>
      </c>
      <c r="L740">
        <v>8</v>
      </c>
      <c r="M740" t="s">
        <v>33</v>
      </c>
      <c r="N740">
        <v>5</v>
      </c>
    </row>
    <row r="741" spans="1:14" x14ac:dyDescent="0.35">
      <c r="A741" s="5">
        <v>45641.698611111111</v>
      </c>
      <c r="B741" s="1" t="str">
        <f>TEXT(Coffee_Sales_Dataset[[#This Row],[Date]],"ddd")</f>
        <v>Sun</v>
      </c>
      <c r="C741">
        <f>HOUR(Coffee_Sales_Dataset[[#This Row],[Date]])</f>
        <v>16</v>
      </c>
      <c r="D741" t="s">
        <v>41</v>
      </c>
      <c r="E741" t="s">
        <v>38</v>
      </c>
      <c r="F741" t="s">
        <v>14</v>
      </c>
      <c r="G741">
        <v>6.99</v>
      </c>
      <c r="H741" t="s">
        <v>30</v>
      </c>
      <c r="I741" t="s">
        <v>16</v>
      </c>
      <c r="J741" t="s">
        <v>24</v>
      </c>
      <c r="K741" t="s">
        <v>18</v>
      </c>
      <c r="L741">
        <v>9</v>
      </c>
      <c r="M741" t="s">
        <v>19</v>
      </c>
      <c r="N741">
        <v>3</v>
      </c>
    </row>
    <row r="742" spans="1:14" x14ac:dyDescent="0.35">
      <c r="A742" s="5">
        <v>45643.461805555555</v>
      </c>
      <c r="B742" s="1" t="str">
        <f>TEXT(Coffee_Sales_Dataset[[#This Row],[Date]],"ddd")</f>
        <v>Tue</v>
      </c>
      <c r="C742">
        <f>HOUR(Coffee_Sales_Dataset[[#This Row],[Date]])</f>
        <v>11</v>
      </c>
      <c r="D742" t="s">
        <v>41</v>
      </c>
      <c r="E742" t="s">
        <v>46</v>
      </c>
      <c r="F742" t="s">
        <v>22</v>
      </c>
      <c r="G742">
        <v>4.58</v>
      </c>
      <c r="H742" t="s">
        <v>30</v>
      </c>
      <c r="I742" t="s">
        <v>23</v>
      </c>
      <c r="J742" t="s">
        <v>24</v>
      </c>
      <c r="K742" t="s">
        <v>40</v>
      </c>
      <c r="L742">
        <v>4</v>
      </c>
      <c r="M742" t="s">
        <v>36</v>
      </c>
      <c r="N742">
        <v>4</v>
      </c>
    </row>
    <row r="743" spans="1:14" x14ac:dyDescent="0.35">
      <c r="A743" s="5">
        <v>45650.618750000001</v>
      </c>
      <c r="B743" s="1" t="str">
        <f>TEXT(Coffee_Sales_Dataset[[#This Row],[Date]],"ddd")</f>
        <v>Tue</v>
      </c>
      <c r="C743">
        <f>HOUR(Coffee_Sales_Dataset[[#This Row],[Date]])</f>
        <v>14</v>
      </c>
      <c r="D743" t="s">
        <v>20</v>
      </c>
      <c r="E743" t="s">
        <v>46</v>
      </c>
      <c r="F743" t="s">
        <v>35</v>
      </c>
      <c r="G743">
        <v>5.27</v>
      </c>
      <c r="H743" t="s">
        <v>30</v>
      </c>
      <c r="I743" t="s">
        <v>23</v>
      </c>
      <c r="J743" t="s">
        <v>29</v>
      </c>
      <c r="K743" t="s">
        <v>40</v>
      </c>
      <c r="L743">
        <v>2</v>
      </c>
      <c r="M743" t="s">
        <v>47</v>
      </c>
      <c r="N743">
        <v>4</v>
      </c>
    </row>
    <row r="744" spans="1:14" x14ac:dyDescent="0.35">
      <c r="A744" s="5">
        <v>45653.478472222225</v>
      </c>
      <c r="B744" s="1" t="str">
        <f>TEXT(Coffee_Sales_Dataset[[#This Row],[Date]],"ddd")</f>
        <v>Fri</v>
      </c>
      <c r="C744">
        <f>HOUR(Coffee_Sales_Dataset[[#This Row],[Date]])</f>
        <v>11</v>
      </c>
      <c r="D744" t="s">
        <v>20</v>
      </c>
      <c r="E744" t="s">
        <v>44</v>
      </c>
      <c r="F744" t="s">
        <v>22</v>
      </c>
      <c r="G744">
        <v>3.46</v>
      </c>
      <c r="H744" t="s">
        <v>28</v>
      </c>
      <c r="I744" t="s">
        <v>16</v>
      </c>
      <c r="J744" t="s">
        <v>24</v>
      </c>
      <c r="K744" t="s">
        <v>18</v>
      </c>
      <c r="L744">
        <v>7</v>
      </c>
      <c r="M744" t="s">
        <v>33</v>
      </c>
      <c r="N744">
        <v>4</v>
      </c>
    </row>
    <row r="745" spans="1:14" x14ac:dyDescent="0.35">
      <c r="A745" s="5">
        <v>45656.525000000001</v>
      </c>
      <c r="B745" s="1" t="str">
        <f>TEXT(Coffee_Sales_Dataset[[#This Row],[Date]],"ddd")</f>
        <v>Mon</v>
      </c>
      <c r="C745">
        <f>HOUR(Coffee_Sales_Dataset[[#This Row],[Date]])</f>
        <v>12</v>
      </c>
      <c r="D745" t="s">
        <v>41</v>
      </c>
      <c r="E745" t="s">
        <v>38</v>
      </c>
      <c r="F745" t="s">
        <v>35</v>
      </c>
      <c r="G745">
        <v>4.32</v>
      </c>
      <c r="H745" t="s">
        <v>28</v>
      </c>
      <c r="I745" t="s">
        <v>16</v>
      </c>
      <c r="J745" t="s">
        <v>31</v>
      </c>
      <c r="K745" t="s">
        <v>40</v>
      </c>
      <c r="L745">
        <v>10</v>
      </c>
      <c r="M745" t="s">
        <v>19</v>
      </c>
      <c r="N745">
        <v>3</v>
      </c>
    </row>
    <row r="746" spans="1:14" x14ac:dyDescent="0.35">
      <c r="A746" s="5">
        <v>45653.468055555553</v>
      </c>
      <c r="B746" s="1" t="str">
        <f>TEXT(Coffee_Sales_Dataset[[#This Row],[Date]],"ddd")</f>
        <v>Fri</v>
      </c>
      <c r="C746">
        <f>HOUR(Coffee_Sales_Dataset[[#This Row],[Date]])</f>
        <v>11</v>
      </c>
      <c r="D746" t="s">
        <v>26</v>
      </c>
      <c r="E746" t="s">
        <v>46</v>
      </c>
      <c r="F746" t="s">
        <v>22</v>
      </c>
      <c r="G746">
        <v>4.09</v>
      </c>
      <c r="H746" t="s">
        <v>28</v>
      </c>
      <c r="I746" t="s">
        <v>16</v>
      </c>
      <c r="J746" t="s">
        <v>42</v>
      </c>
      <c r="K746" t="s">
        <v>18</v>
      </c>
      <c r="L746">
        <v>8</v>
      </c>
      <c r="M746" t="s">
        <v>39</v>
      </c>
      <c r="N746">
        <v>5</v>
      </c>
    </row>
    <row r="747" spans="1:14" x14ac:dyDescent="0.35">
      <c r="A747" s="5">
        <v>45645.504166666666</v>
      </c>
      <c r="B747" s="1" t="str">
        <f>TEXT(Coffee_Sales_Dataset[[#This Row],[Date]],"ddd")</f>
        <v>Thu</v>
      </c>
      <c r="C747">
        <f>HOUR(Coffee_Sales_Dataset[[#This Row],[Date]])</f>
        <v>12</v>
      </c>
      <c r="D747" t="s">
        <v>20</v>
      </c>
      <c r="E747" t="s">
        <v>38</v>
      </c>
      <c r="F747" t="s">
        <v>14</v>
      </c>
      <c r="G747">
        <v>6.38</v>
      </c>
      <c r="H747" t="s">
        <v>30</v>
      </c>
      <c r="I747" t="s">
        <v>23</v>
      </c>
      <c r="J747" t="s">
        <v>42</v>
      </c>
      <c r="K747" t="s">
        <v>40</v>
      </c>
      <c r="L747">
        <v>3</v>
      </c>
      <c r="M747" t="s">
        <v>19</v>
      </c>
      <c r="N747">
        <v>5</v>
      </c>
    </row>
    <row r="748" spans="1:14" x14ac:dyDescent="0.35">
      <c r="A748" s="5">
        <v>45649.615972222222</v>
      </c>
      <c r="B748" s="1" t="str">
        <f>TEXT(Coffee_Sales_Dataset[[#This Row],[Date]],"ddd")</f>
        <v>Mon</v>
      </c>
      <c r="C748">
        <f>HOUR(Coffee_Sales_Dataset[[#This Row],[Date]])</f>
        <v>14</v>
      </c>
      <c r="D748" t="s">
        <v>12</v>
      </c>
      <c r="E748" t="s">
        <v>46</v>
      </c>
      <c r="F748" t="s">
        <v>35</v>
      </c>
      <c r="G748">
        <v>4.32</v>
      </c>
      <c r="H748" t="s">
        <v>30</v>
      </c>
      <c r="I748" t="s">
        <v>23</v>
      </c>
      <c r="J748" t="s">
        <v>17</v>
      </c>
      <c r="K748" t="s">
        <v>18</v>
      </c>
      <c r="L748">
        <v>9</v>
      </c>
      <c r="M748" t="s">
        <v>19</v>
      </c>
      <c r="N748">
        <v>1</v>
      </c>
    </row>
    <row r="749" spans="1:14" x14ac:dyDescent="0.35">
      <c r="A749" s="5">
        <v>45653.352083333331</v>
      </c>
      <c r="B749" s="1" t="str">
        <f>TEXT(Coffee_Sales_Dataset[[#This Row],[Date]],"ddd")</f>
        <v>Fri</v>
      </c>
      <c r="C749">
        <f>HOUR(Coffee_Sales_Dataset[[#This Row],[Date]])</f>
        <v>8</v>
      </c>
      <c r="D749" t="s">
        <v>12</v>
      </c>
      <c r="E749" t="s">
        <v>21</v>
      </c>
      <c r="F749" t="s">
        <v>22</v>
      </c>
      <c r="G749">
        <v>3.62</v>
      </c>
      <c r="H749" t="s">
        <v>15</v>
      </c>
      <c r="I749" t="s">
        <v>23</v>
      </c>
      <c r="J749" t="s">
        <v>24</v>
      </c>
      <c r="K749" t="s">
        <v>32</v>
      </c>
      <c r="L749">
        <v>3</v>
      </c>
      <c r="M749" t="s">
        <v>47</v>
      </c>
      <c r="N749">
        <v>2</v>
      </c>
    </row>
    <row r="750" spans="1:14" x14ac:dyDescent="0.35">
      <c r="A750" s="5">
        <v>45648.665972222225</v>
      </c>
      <c r="B750" s="1" t="str">
        <f>TEXT(Coffee_Sales_Dataset[[#This Row],[Date]],"ddd")</f>
        <v>Sun</v>
      </c>
      <c r="C750">
        <f>HOUR(Coffee_Sales_Dataset[[#This Row],[Date]])</f>
        <v>15</v>
      </c>
      <c r="D750" t="s">
        <v>12</v>
      </c>
      <c r="E750" t="s">
        <v>38</v>
      </c>
      <c r="F750" t="s">
        <v>14</v>
      </c>
      <c r="G750">
        <v>4.62</v>
      </c>
      <c r="H750" t="s">
        <v>30</v>
      </c>
      <c r="I750" t="s">
        <v>16</v>
      </c>
      <c r="J750" t="s">
        <v>17</v>
      </c>
      <c r="K750" t="s">
        <v>18</v>
      </c>
      <c r="L750">
        <v>4</v>
      </c>
      <c r="M750" t="s">
        <v>47</v>
      </c>
      <c r="N750">
        <v>2</v>
      </c>
    </row>
    <row r="751" spans="1:14" x14ac:dyDescent="0.35">
      <c r="A751" s="5">
        <v>45650.724999999999</v>
      </c>
      <c r="B751" s="1" t="str">
        <f>TEXT(Coffee_Sales_Dataset[[#This Row],[Date]],"ddd")</f>
        <v>Tue</v>
      </c>
      <c r="C751">
        <f>HOUR(Coffee_Sales_Dataset[[#This Row],[Date]])</f>
        <v>17</v>
      </c>
      <c r="D751" t="s">
        <v>26</v>
      </c>
      <c r="E751" t="s">
        <v>13</v>
      </c>
      <c r="F751" t="s">
        <v>14</v>
      </c>
      <c r="G751">
        <v>3.33</v>
      </c>
      <c r="H751" t="s">
        <v>28</v>
      </c>
      <c r="I751" t="s">
        <v>23</v>
      </c>
      <c r="J751" t="s">
        <v>17</v>
      </c>
      <c r="K751" t="s">
        <v>18</v>
      </c>
      <c r="L751">
        <v>8</v>
      </c>
      <c r="M751" t="s">
        <v>25</v>
      </c>
      <c r="N751">
        <v>1</v>
      </c>
    </row>
    <row r="752" spans="1:14" x14ac:dyDescent="0.35">
      <c r="A752" s="5">
        <v>45655.418749999997</v>
      </c>
      <c r="B752" s="1" t="str">
        <f>TEXT(Coffee_Sales_Dataset[[#This Row],[Date]],"ddd")</f>
        <v>Sun</v>
      </c>
      <c r="C752">
        <f>HOUR(Coffee_Sales_Dataset[[#This Row],[Date]])</f>
        <v>10</v>
      </c>
      <c r="D752" t="s">
        <v>26</v>
      </c>
      <c r="E752" t="s">
        <v>46</v>
      </c>
      <c r="F752" t="s">
        <v>14</v>
      </c>
      <c r="G752">
        <v>3.13</v>
      </c>
      <c r="H752" t="s">
        <v>15</v>
      </c>
      <c r="I752" t="s">
        <v>16</v>
      </c>
      <c r="J752" t="s">
        <v>45</v>
      </c>
      <c r="K752" t="s">
        <v>18</v>
      </c>
      <c r="L752">
        <v>7</v>
      </c>
      <c r="M752" t="s">
        <v>19</v>
      </c>
      <c r="N752">
        <v>5</v>
      </c>
    </row>
    <row r="753" spans="1:14" x14ac:dyDescent="0.35">
      <c r="A753" s="5">
        <v>45642.456250000003</v>
      </c>
      <c r="B753" s="1" t="str">
        <f>TEXT(Coffee_Sales_Dataset[[#This Row],[Date]],"ddd")</f>
        <v>Mon</v>
      </c>
      <c r="C753">
        <f>HOUR(Coffee_Sales_Dataset[[#This Row],[Date]])</f>
        <v>10</v>
      </c>
      <c r="D753" t="s">
        <v>43</v>
      </c>
      <c r="E753" t="s">
        <v>34</v>
      </c>
      <c r="F753" t="s">
        <v>14</v>
      </c>
      <c r="G753">
        <v>3.16</v>
      </c>
      <c r="H753" t="s">
        <v>28</v>
      </c>
      <c r="I753" t="s">
        <v>23</v>
      </c>
      <c r="J753" t="s">
        <v>29</v>
      </c>
      <c r="K753" t="s">
        <v>18</v>
      </c>
      <c r="L753">
        <v>2</v>
      </c>
      <c r="M753" t="s">
        <v>33</v>
      </c>
      <c r="N753">
        <v>2</v>
      </c>
    </row>
    <row r="754" spans="1:14" x14ac:dyDescent="0.35">
      <c r="A754" s="5">
        <v>45653.619444444441</v>
      </c>
      <c r="B754" s="1" t="str">
        <f>TEXT(Coffee_Sales_Dataset[[#This Row],[Date]],"ddd")</f>
        <v>Fri</v>
      </c>
      <c r="C754">
        <f>HOUR(Coffee_Sales_Dataset[[#This Row],[Date]])</f>
        <v>14</v>
      </c>
      <c r="D754" t="s">
        <v>12</v>
      </c>
      <c r="E754" t="s">
        <v>13</v>
      </c>
      <c r="F754" t="s">
        <v>22</v>
      </c>
      <c r="G754">
        <v>5.37</v>
      </c>
      <c r="H754" t="s">
        <v>28</v>
      </c>
      <c r="I754" t="s">
        <v>23</v>
      </c>
      <c r="J754" t="s">
        <v>31</v>
      </c>
      <c r="K754" t="s">
        <v>32</v>
      </c>
      <c r="L754">
        <v>4</v>
      </c>
      <c r="M754" t="s">
        <v>39</v>
      </c>
      <c r="N754">
        <v>4</v>
      </c>
    </row>
    <row r="755" spans="1:14" x14ac:dyDescent="0.35">
      <c r="A755" s="5">
        <v>45650.506944444445</v>
      </c>
      <c r="B755" s="1" t="str">
        <f>TEXT(Coffee_Sales_Dataset[[#This Row],[Date]],"ddd")</f>
        <v>Tue</v>
      </c>
      <c r="C755">
        <f>HOUR(Coffee_Sales_Dataset[[#This Row],[Date]])</f>
        <v>12</v>
      </c>
      <c r="D755" t="s">
        <v>41</v>
      </c>
      <c r="E755" t="s">
        <v>13</v>
      </c>
      <c r="F755" t="s">
        <v>22</v>
      </c>
      <c r="G755">
        <v>5.43</v>
      </c>
      <c r="H755" t="s">
        <v>28</v>
      </c>
      <c r="I755" t="s">
        <v>16</v>
      </c>
      <c r="J755" t="s">
        <v>29</v>
      </c>
      <c r="K755" t="s">
        <v>32</v>
      </c>
      <c r="L755">
        <v>7</v>
      </c>
      <c r="M755" t="s">
        <v>19</v>
      </c>
      <c r="N755">
        <v>2</v>
      </c>
    </row>
    <row r="756" spans="1:14" x14ac:dyDescent="0.35">
      <c r="A756" s="5">
        <v>45652.640277777777</v>
      </c>
      <c r="B756" s="1" t="str">
        <f>TEXT(Coffee_Sales_Dataset[[#This Row],[Date]],"ddd")</f>
        <v>Thu</v>
      </c>
      <c r="C756">
        <f>HOUR(Coffee_Sales_Dataset[[#This Row],[Date]])</f>
        <v>15</v>
      </c>
      <c r="D756" t="s">
        <v>41</v>
      </c>
      <c r="E756" t="s">
        <v>34</v>
      </c>
      <c r="F756" t="s">
        <v>22</v>
      </c>
      <c r="G756">
        <v>5.61</v>
      </c>
      <c r="H756" t="s">
        <v>15</v>
      </c>
      <c r="I756" t="s">
        <v>16</v>
      </c>
      <c r="J756" t="s">
        <v>17</v>
      </c>
      <c r="K756" t="s">
        <v>32</v>
      </c>
      <c r="L756">
        <v>7</v>
      </c>
      <c r="M756" t="s">
        <v>36</v>
      </c>
      <c r="N756">
        <v>2</v>
      </c>
    </row>
    <row r="757" spans="1:14" x14ac:dyDescent="0.35">
      <c r="A757" s="5">
        <v>45648.418055555558</v>
      </c>
      <c r="B757" s="1" t="str">
        <f>TEXT(Coffee_Sales_Dataset[[#This Row],[Date]],"ddd")</f>
        <v>Sun</v>
      </c>
      <c r="C757">
        <f>HOUR(Coffee_Sales_Dataset[[#This Row],[Date]])</f>
        <v>10</v>
      </c>
      <c r="D757" t="s">
        <v>26</v>
      </c>
      <c r="E757" t="s">
        <v>13</v>
      </c>
      <c r="F757" t="s">
        <v>35</v>
      </c>
      <c r="G757">
        <v>6.5</v>
      </c>
      <c r="H757" t="s">
        <v>30</v>
      </c>
      <c r="I757" t="s">
        <v>23</v>
      </c>
      <c r="J757" t="s">
        <v>42</v>
      </c>
      <c r="K757" t="s">
        <v>40</v>
      </c>
      <c r="L757">
        <v>4</v>
      </c>
      <c r="M757" t="s">
        <v>19</v>
      </c>
      <c r="N757">
        <v>1</v>
      </c>
    </row>
    <row r="758" spans="1:14" x14ac:dyDescent="0.35">
      <c r="A758" s="5">
        <v>45645.572222222225</v>
      </c>
      <c r="B758" s="1" t="str">
        <f>TEXT(Coffee_Sales_Dataset[[#This Row],[Date]],"ddd")</f>
        <v>Thu</v>
      </c>
      <c r="C758">
        <f>HOUR(Coffee_Sales_Dataset[[#This Row],[Date]])</f>
        <v>13</v>
      </c>
      <c r="D758" t="s">
        <v>43</v>
      </c>
      <c r="E758" t="s">
        <v>38</v>
      </c>
      <c r="F758" t="s">
        <v>14</v>
      </c>
      <c r="G758">
        <v>5.87</v>
      </c>
      <c r="H758" t="s">
        <v>15</v>
      </c>
      <c r="I758" t="s">
        <v>16</v>
      </c>
      <c r="J758" t="s">
        <v>29</v>
      </c>
      <c r="K758" t="s">
        <v>18</v>
      </c>
      <c r="L758">
        <v>10</v>
      </c>
      <c r="M758" t="s">
        <v>19</v>
      </c>
      <c r="N758">
        <v>5</v>
      </c>
    </row>
    <row r="759" spans="1:14" x14ac:dyDescent="0.35">
      <c r="A759" s="5">
        <v>45645.497916666667</v>
      </c>
      <c r="B759" s="1" t="str">
        <f>TEXT(Coffee_Sales_Dataset[[#This Row],[Date]],"ddd")</f>
        <v>Thu</v>
      </c>
      <c r="C759">
        <f>HOUR(Coffee_Sales_Dataset[[#This Row],[Date]])</f>
        <v>11</v>
      </c>
      <c r="D759" t="s">
        <v>12</v>
      </c>
      <c r="E759" t="s">
        <v>44</v>
      </c>
      <c r="F759" t="s">
        <v>14</v>
      </c>
      <c r="G759">
        <v>4.46</v>
      </c>
      <c r="H759" t="s">
        <v>15</v>
      </c>
      <c r="I759" t="s">
        <v>23</v>
      </c>
      <c r="J759" t="s">
        <v>24</v>
      </c>
      <c r="K759" t="s">
        <v>40</v>
      </c>
      <c r="L759">
        <v>2</v>
      </c>
      <c r="M759" t="s">
        <v>39</v>
      </c>
      <c r="N759">
        <v>3</v>
      </c>
    </row>
    <row r="760" spans="1:14" x14ac:dyDescent="0.35">
      <c r="A760" s="5">
        <v>45647.645138888889</v>
      </c>
      <c r="B760" s="1" t="str">
        <f>TEXT(Coffee_Sales_Dataset[[#This Row],[Date]],"ddd")</f>
        <v>Sat</v>
      </c>
      <c r="C760">
        <f>HOUR(Coffee_Sales_Dataset[[#This Row],[Date]])</f>
        <v>15</v>
      </c>
      <c r="D760" t="s">
        <v>12</v>
      </c>
      <c r="E760" t="s">
        <v>21</v>
      </c>
      <c r="F760" t="s">
        <v>35</v>
      </c>
      <c r="G760">
        <v>6.45</v>
      </c>
      <c r="H760" t="s">
        <v>15</v>
      </c>
      <c r="I760" t="s">
        <v>23</v>
      </c>
      <c r="J760" t="s">
        <v>24</v>
      </c>
      <c r="K760" t="s">
        <v>18</v>
      </c>
      <c r="L760">
        <v>8</v>
      </c>
      <c r="M760" t="s">
        <v>19</v>
      </c>
      <c r="N760">
        <v>3</v>
      </c>
    </row>
    <row r="761" spans="1:14" x14ac:dyDescent="0.35">
      <c r="A761" s="5">
        <v>45656.746527777781</v>
      </c>
      <c r="B761" s="1" t="str">
        <f>TEXT(Coffee_Sales_Dataset[[#This Row],[Date]],"ddd")</f>
        <v>Mon</v>
      </c>
      <c r="C761">
        <f>HOUR(Coffee_Sales_Dataset[[#This Row],[Date]])</f>
        <v>17</v>
      </c>
      <c r="D761" t="s">
        <v>20</v>
      </c>
      <c r="E761" t="s">
        <v>13</v>
      </c>
      <c r="F761" t="s">
        <v>14</v>
      </c>
      <c r="G761">
        <v>6.82</v>
      </c>
      <c r="H761" t="s">
        <v>15</v>
      </c>
      <c r="I761" t="s">
        <v>23</v>
      </c>
      <c r="J761" t="s">
        <v>42</v>
      </c>
      <c r="K761" t="s">
        <v>32</v>
      </c>
      <c r="L761">
        <v>4</v>
      </c>
      <c r="M761" t="s">
        <v>39</v>
      </c>
      <c r="N761">
        <v>2</v>
      </c>
    </row>
    <row r="762" spans="1:14" x14ac:dyDescent="0.35">
      <c r="A762" s="5">
        <v>45644.729861111111</v>
      </c>
      <c r="B762" s="1" t="str">
        <f>TEXT(Coffee_Sales_Dataset[[#This Row],[Date]],"ddd")</f>
        <v>Wed</v>
      </c>
      <c r="C762">
        <f>HOUR(Coffee_Sales_Dataset[[#This Row],[Date]])</f>
        <v>17</v>
      </c>
      <c r="D762" t="s">
        <v>43</v>
      </c>
      <c r="E762" t="s">
        <v>27</v>
      </c>
      <c r="F762" t="s">
        <v>35</v>
      </c>
      <c r="G762">
        <v>3.72</v>
      </c>
      <c r="H762" t="s">
        <v>30</v>
      </c>
      <c r="I762" t="s">
        <v>23</v>
      </c>
      <c r="J762" t="s">
        <v>45</v>
      </c>
      <c r="K762" t="s">
        <v>32</v>
      </c>
      <c r="L762">
        <v>7</v>
      </c>
      <c r="M762" t="s">
        <v>33</v>
      </c>
      <c r="N762">
        <v>5</v>
      </c>
    </row>
    <row r="763" spans="1:14" x14ac:dyDescent="0.35">
      <c r="A763" s="5">
        <v>45646.337500000001</v>
      </c>
      <c r="B763" s="1" t="str">
        <f>TEXT(Coffee_Sales_Dataset[[#This Row],[Date]],"ddd")</f>
        <v>Fri</v>
      </c>
      <c r="C763">
        <f>HOUR(Coffee_Sales_Dataset[[#This Row],[Date]])</f>
        <v>8</v>
      </c>
      <c r="D763" t="s">
        <v>12</v>
      </c>
      <c r="E763" t="s">
        <v>21</v>
      </c>
      <c r="F763" t="s">
        <v>35</v>
      </c>
      <c r="G763">
        <v>3.81</v>
      </c>
      <c r="H763" t="s">
        <v>30</v>
      </c>
      <c r="I763" t="s">
        <v>16</v>
      </c>
      <c r="J763" t="s">
        <v>45</v>
      </c>
      <c r="K763" t="s">
        <v>18</v>
      </c>
      <c r="L763">
        <v>10</v>
      </c>
      <c r="M763" t="s">
        <v>47</v>
      </c>
      <c r="N763">
        <v>5</v>
      </c>
    </row>
    <row r="764" spans="1:14" x14ac:dyDescent="0.35">
      <c r="A764" s="5">
        <v>45647.692361111112</v>
      </c>
      <c r="B764" s="1" t="str">
        <f>TEXT(Coffee_Sales_Dataset[[#This Row],[Date]],"ddd")</f>
        <v>Sat</v>
      </c>
      <c r="C764">
        <f>HOUR(Coffee_Sales_Dataset[[#This Row],[Date]])</f>
        <v>16</v>
      </c>
      <c r="D764" t="s">
        <v>41</v>
      </c>
      <c r="E764" t="s">
        <v>38</v>
      </c>
      <c r="F764" t="s">
        <v>14</v>
      </c>
      <c r="G764">
        <v>4.74</v>
      </c>
      <c r="H764" t="s">
        <v>28</v>
      </c>
      <c r="I764" t="s">
        <v>23</v>
      </c>
      <c r="J764" t="s">
        <v>42</v>
      </c>
      <c r="K764" t="s">
        <v>18</v>
      </c>
      <c r="L764">
        <v>10</v>
      </c>
      <c r="M764" t="s">
        <v>47</v>
      </c>
      <c r="N764">
        <v>5</v>
      </c>
    </row>
    <row r="765" spans="1:14" x14ac:dyDescent="0.35">
      <c r="A765" s="5">
        <v>45656.626388888886</v>
      </c>
      <c r="B765" s="1" t="str">
        <f>TEXT(Coffee_Sales_Dataset[[#This Row],[Date]],"ddd")</f>
        <v>Mon</v>
      </c>
      <c r="C765">
        <f>HOUR(Coffee_Sales_Dataset[[#This Row],[Date]])</f>
        <v>15</v>
      </c>
      <c r="D765" t="s">
        <v>43</v>
      </c>
      <c r="E765" t="s">
        <v>34</v>
      </c>
      <c r="F765" t="s">
        <v>14</v>
      </c>
      <c r="G765">
        <v>4.63</v>
      </c>
      <c r="H765" t="s">
        <v>28</v>
      </c>
      <c r="I765" t="s">
        <v>23</v>
      </c>
      <c r="J765" t="s">
        <v>42</v>
      </c>
      <c r="K765" t="s">
        <v>32</v>
      </c>
      <c r="L765">
        <v>9</v>
      </c>
      <c r="M765" t="s">
        <v>37</v>
      </c>
      <c r="N765">
        <v>5</v>
      </c>
    </row>
    <row r="766" spans="1:14" x14ac:dyDescent="0.35">
      <c r="A766" s="5">
        <v>45644.578472222223</v>
      </c>
      <c r="B766" s="1" t="str">
        <f>TEXT(Coffee_Sales_Dataset[[#This Row],[Date]],"ddd")</f>
        <v>Wed</v>
      </c>
      <c r="C766">
        <f>HOUR(Coffee_Sales_Dataset[[#This Row],[Date]])</f>
        <v>13</v>
      </c>
      <c r="D766" t="s">
        <v>41</v>
      </c>
      <c r="E766" t="s">
        <v>27</v>
      </c>
      <c r="F766" t="s">
        <v>22</v>
      </c>
      <c r="G766">
        <v>4.0599999999999996</v>
      </c>
      <c r="H766" t="s">
        <v>28</v>
      </c>
      <c r="I766" t="s">
        <v>23</v>
      </c>
      <c r="J766" t="s">
        <v>17</v>
      </c>
      <c r="K766" t="s">
        <v>18</v>
      </c>
      <c r="L766">
        <v>6</v>
      </c>
      <c r="M766" t="s">
        <v>25</v>
      </c>
      <c r="N766">
        <v>3</v>
      </c>
    </row>
    <row r="767" spans="1:14" x14ac:dyDescent="0.35">
      <c r="A767" s="5">
        <v>45641.459722222222</v>
      </c>
      <c r="B767" s="1" t="str">
        <f>TEXT(Coffee_Sales_Dataset[[#This Row],[Date]],"ddd")</f>
        <v>Sun</v>
      </c>
      <c r="C767">
        <f>HOUR(Coffee_Sales_Dataset[[#This Row],[Date]])</f>
        <v>11</v>
      </c>
      <c r="D767" t="s">
        <v>20</v>
      </c>
      <c r="E767" t="s">
        <v>21</v>
      </c>
      <c r="F767" t="s">
        <v>22</v>
      </c>
      <c r="G767">
        <v>3.96</v>
      </c>
      <c r="H767" t="s">
        <v>30</v>
      </c>
      <c r="I767" t="s">
        <v>16</v>
      </c>
      <c r="J767" t="s">
        <v>29</v>
      </c>
      <c r="K767" t="s">
        <v>40</v>
      </c>
      <c r="L767">
        <v>6</v>
      </c>
      <c r="M767" t="s">
        <v>37</v>
      </c>
      <c r="N767">
        <v>5</v>
      </c>
    </row>
    <row r="768" spans="1:14" x14ac:dyDescent="0.35">
      <c r="A768" s="5">
        <v>45656.355555555558</v>
      </c>
      <c r="B768" s="1" t="str">
        <f>TEXT(Coffee_Sales_Dataset[[#This Row],[Date]],"ddd")</f>
        <v>Mon</v>
      </c>
      <c r="C768">
        <f>HOUR(Coffee_Sales_Dataset[[#This Row],[Date]])</f>
        <v>8</v>
      </c>
      <c r="D768" t="s">
        <v>43</v>
      </c>
      <c r="E768" t="s">
        <v>21</v>
      </c>
      <c r="F768" t="s">
        <v>35</v>
      </c>
      <c r="G768">
        <v>5.65</v>
      </c>
      <c r="H768" t="s">
        <v>15</v>
      </c>
      <c r="I768" t="s">
        <v>23</v>
      </c>
      <c r="J768" t="s">
        <v>31</v>
      </c>
      <c r="K768" t="s">
        <v>18</v>
      </c>
      <c r="L768">
        <v>10</v>
      </c>
      <c r="M768" t="s">
        <v>47</v>
      </c>
      <c r="N768">
        <v>1</v>
      </c>
    </row>
    <row r="769" spans="1:14" x14ac:dyDescent="0.35">
      <c r="A769" s="5">
        <v>45654.607638888891</v>
      </c>
      <c r="B769" s="1" t="str">
        <f>TEXT(Coffee_Sales_Dataset[[#This Row],[Date]],"ddd")</f>
        <v>Sat</v>
      </c>
      <c r="C769">
        <f>HOUR(Coffee_Sales_Dataset[[#This Row],[Date]])</f>
        <v>14</v>
      </c>
      <c r="D769" t="s">
        <v>43</v>
      </c>
      <c r="E769" t="s">
        <v>27</v>
      </c>
      <c r="F769" t="s">
        <v>35</v>
      </c>
      <c r="G769">
        <v>5.62</v>
      </c>
      <c r="H769" t="s">
        <v>30</v>
      </c>
      <c r="I769" t="s">
        <v>16</v>
      </c>
      <c r="J769" t="s">
        <v>29</v>
      </c>
      <c r="K769" t="s">
        <v>32</v>
      </c>
      <c r="L769">
        <v>5</v>
      </c>
      <c r="M769" t="s">
        <v>25</v>
      </c>
      <c r="N769">
        <v>1</v>
      </c>
    </row>
    <row r="770" spans="1:14" x14ac:dyDescent="0.35">
      <c r="A770" s="5">
        <v>45642.506944444445</v>
      </c>
      <c r="B770" s="1" t="str">
        <f>TEXT(Coffee_Sales_Dataset[[#This Row],[Date]],"ddd")</f>
        <v>Mon</v>
      </c>
      <c r="C770">
        <f>HOUR(Coffee_Sales_Dataset[[#This Row],[Date]])</f>
        <v>12</v>
      </c>
      <c r="D770" t="s">
        <v>43</v>
      </c>
      <c r="E770" t="s">
        <v>44</v>
      </c>
      <c r="F770" t="s">
        <v>22</v>
      </c>
      <c r="G770">
        <v>4.66</v>
      </c>
      <c r="H770" t="s">
        <v>15</v>
      </c>
      <c r="I770" t="s">
        <v>23</v>
      </c>
      <c r="J770" t="s">
        <v>45</v>
      </c>
      <c r="K770" t="s">
        <v>40</v>
      </c>
      <c r="L770">
        <v>7</v>
      </c>
      <c r="M770" t="s">
        <v>39</v>
      </c>
      <c r="N770">
        <v>3</v>
      </c>
    </row>
    <row r="771" spans="1:14" x14ac:dyDescent="0.35">
      <c r="A771" s="5">
        <v>45645.697222222225</v>
      </c>
      <c r="B771" s="1" t="str">
        <f>TEXT(Coffee_Sales_Dataset[[#This Row],[Date]],"ddd")</f>
        <v>Thu</v>
      </c>
      <c r="C771">
        <f>HOUR(Coffee_Sales_Dataset[[#This Row],[Date]])</f>
        <v>16</v>
      </c>
      <c r="D771" t="s">
        <v>41</v>
      </c>
      <c r="E771" t="s">
        <v>44</v>
      </c>
      <c r="F771" t="s">
        <v>14</v>
      </c>
      <c r="G771">
        <v>3.3</v>
      </c>
      <c r="H771" t="s">
        <v>30</v>
      </c>
      <c r="I771" t="s">
        <v>23</v>
      </c>
      <c r="J771" t="s">
        <v>29</v>
      </c>
      <c r="K771" t="s">
        <v>40</v>
      </c>
      <c r="L771">
        <v>3</v>
      </c>
      <c r="M771" t="s">
        <v>33</v>
      </c>
      <c r="N771">
        <v>3</v>
      </c>
    </row>
    <row r="772" spans="1:14" x14ac:dyDescent="0.35">
      <c r="A772" s="5">
        <v>45656.408333333333</v>
      </c>
      <c r="B772" s="1" t="str">
        <f>TEXT(Coffee_Sales_Dataset[[#This Row],[Date]],"ddd")</f>
        <v>Mon</v>
      </c>
      <c r="C772">
        <f>HOUR(Coffee_Sales_Dataset[[#This Row],[Date]])</f>
        <v>9</v>
      </c>
      <c r="D772" t="s">
        <v>12</v>
      </c>
      <c r="E772" t="s">
        <v>34</v>
      </c>
      <c r="F772" t="s">
        <v>14</v>
      </c>
      <c r="G772">
        <v>5</v>
      </c>
      <c r="H772" t="s">
        <v>28</v>
      </c>
      <c r="I772" t="s">
        <v>16</v>
      </c>
      <c r="J772" t="s">
        <v>31</v>
      </c>
      <c r="K772" t="s">
        <v>40</v>
      </c>
      <c r="L772">
        <v>9</v>
      </c>
      <c r="M772" t="s">
        <v>19</v>
      </c>
      <c r="N772">
        <v>5</v>
      </c>
    </row>
    <row r="773" spans="1:14" x14ac:dyDescent="0.35">
      <c r="A773" s="5">
        <v>45645.390277777777</v>
      </c>
      <c r="B773" s="1" t="str">
        <f>TEXT(Coffee_Sales_Dataset[[#This Row],[Date]],"ddd")</f>
        <v>Thu</v>
      </c>
      <c r="C773">
        <f>HOUR(Coffee_Sales_Dataset[[#This Row],[Date]])</f>
        <v>9</v>
      </c>
      <c r="D773" t="s">
        <v>26</v>
      </c>
      <c r="E773" t="s">
        <v>34</v>
      </c>
      <c r="F773" t="s">
        <v>14</v>
      </c>
      <c r="G773">
        <v>4.55</v>
      </c>
      <c r="H773" t="s">
        <v>30</v>
      </c>
      <c r="I773" t="s">
        <v>16</v>
      </c>
      <c r="J773" t="s">
        <v>45</v>
      </c>
      <c r="K773" t="s">
        <v>40</v>
      </c>
      <c r="L773">
        <v>3</v>
      </c>
      <c r="M773" t="s">
        <v>39</v>
      </c>
      <c r="N773">
        <v>2</v>
      </c>
    </row>
    <row r="774" spans="1:14" x14ac:dyDescent="0.35">
      <c r="A774" s="5">
        <v>45643.439583333333</v>
      </c>
      <c r="B774" s="1" t="str">
        <f>TEXT(Coffee_Sales_Dataset[[#This Row],[Date]],"ddd")</f>
        <v>Tue</v>
      </c>
      <c r="C774">
        <f>HOUR(Coffee_Sales_Dataset[[#This Row],[Date]])</f>
        <v>10</v>
      </c>
      <c r="D774" t="s">
        <v>41</v>
      </c>
      <c r="E774" t="s">
        <v>27</v>
      </c>
      <c r="F774" t="s">
        <v>22</v>
      </c>
      <c r="G774">
        <v>6.96</v>
      </c>
      <c r="H774" t="s">
        <v>28</v>
      </c>
      <c r="I774" t="s">
        <v>16</v>
      </c>
      <c r="J774" t="s">
        <v>29</v>
      </c>
      <c r="K774" t="s">
        <v>32</v>
      </c>
      <c r="L774">
        <v>8</v>
      </c>
      <c r="M774" t="s">
        <v>33</v>
      </c>
      <c r="N774">
        <v>4</v>
      </c>
    </row>
    <row r="775" spans="1:14" x14ac:dyDescent="0.35">
      <c r="A775" s="5">
        <v>45642.700694444444</v>
      </c>
      <c r="B775" s="1" t="str">
        <f>TEXT(Coffee_Sales_Dataset[[#This Row],[Date]],"ddd")</f>
        <v>Mon</v>
      </c>
      <c r="C775">
        <f>HOUR(Coffee_Sales_Dataset[[#This Row],[Date]])</f>
        <v>16</v>
      </c>
      <c r="D775" t="s">
        <v>12</v>
      </c>
      <c r="E775" t="s">
        <v>27</v>
      </c>
      <c r="F775" t="s">
        <v>14</v>
      </c>
      <c r="G775">
        <v>3.76</v>
      </c>
      <c r="H775" t="s">
        <v>28</v>
      </c>
      <c r="I775" t="s">
        <v>16</v>
      </c>
      <c r="J775" t="s">
        <v>31</v>
      </c>
      <c r="K775" t="s">
        <v>18</v>
      </c>
      <c r="L775">
        <v>3</v>
      </c>
      <c r="M775" t="s">
        <v>19</v>
      </c>
      <c r="N775">
        <v>2</v>
      </c>
    </row>
    <row r="776" spans="1:14" x14ac:dyDescent="0.35">
      <c r="A776" s="5">
        <v>45654.649305555555</v>
      </c>
      <c r="B776" s="1" t="str">
        <f>TEXT(Coffee_Sales_Dataset[[#This Row],[Date]],"ddd")</f>
        <v>Sat</v>
      </c>
      <c r="C776">
        <f>HOUR(Coffee_Sales_Dataset[[#This Row],[Date]])</f>
        <v>15</v>
      </c>
      <c r="D776" t="s">
        <v>12</v>
      </c>
      <c r="E776" t="s">
        <v>46</v>
      </c>
      <c r="F776" t="s">
        <v>22</v>
      </c>
      <c r="G776">
        <v>5.57</v>
      </c>
      <c r="H776" t="s">
        <v>30</v>
      </c>
      <c r="I776" t="s">
        <v>23</v>
      </c>
      <c r="J776" t="s">
        <v>29</v>
      </c>
      <c r="K776" t="s">
        <v>32</v>
      </c>
      <c r="L776">
        <v>5</v>
      </c>
      <c r="M776" t="s">
        <v>39</v>
      </c>
      <c r="N776">
        <v>5</v>
      </c>
    </row>
    <row r="777" spans="1:14" x14ac:dyDescent="0.35">
      <c r="A777" s="5">
        <v>45646.570138888892</v>
      </c>
      <c r="B777" s="1" t="str">
        <f>TEXT(Coffee_Sales_Dataset[[#This Row],[Date]],"ddd")</f>
        <v>Fri</v>
      </c>
      <c r="C777">
        <f>HOUR(Coffee_Sales_Dataset[[#This Row],[Date]])</f>
        <v>13</v>
      </c>
      <c r="D777" t="s">
        <v>43</v>
      </c>
      <c r="E777" t="s">
        <v>46</v>
      </c>
      <c r="F777" t="s">
        <v>35</v>
      </c>
      <c r="G777">
        <v>6.35</v>
      </c>
      <c r="H777" t="s">
        <v>15</v>
      </c>
      <c r="I777" t="s">
        <v>16</v>
      </c>
      <c r="J777" t="s">
        <v>29</v>
      </c>
      <c r="K777" t="s">
        <v>40</v>
      </c>
      <c r="L777">
        <v>3</v>
      </c>
      <c r="M777" t="s">
        <v>37</v>
      </c>
      <c r="N777">
        <v>5</v>
      </c>
    </row>
    <row r="778" spans="1:14" x14ac:dyDescent="0.35">
      <c r="A778" s="5">
        <v>45649.400694444441</v>
      </c>
      <c r="B778" s="1" t="str">
        <f>TEXT(Coffee_Sales_Dataset[[#This Row],[Date]],"ddd")</f>
        <v>Mon</v>
      </c>
      <c r="C778">
        <f>HOUR(Coffee_Sales_Dataset[[#This Row],[Date]])</f>
        <v>9</v>
      </c>
      <c r="D778" t="s">
        <v>20</v>
      </c>
      <c r="E778" t="s">
        <v>46</v>
      </c>
      <c r="F778" t="s">
        <v>22</v>
      </c>
      <c r="G778">
        <v>5.21</v>
      </c>
      <c r="H778" t="s">
        <v>28</v>
      </c>
      <c r="I778" t="s">
        <v>16</v>
      </c>
      <c r="J778" t="s">
        <v>29</v>
      </c>
      <c r="K778" t="s">
        <v>18</v>
      </c>
      <c r="L778">
        <v>2</v>
      </c>
      <c r="M778" t="s">
        <v>33</v>
      </c>
      <c r="N778">
        <v>3</v>
      </c>
    </row>
    <row r="779" spans="1:14" x14ac:dyDescent="0.35">
      <c r="A779" s="5">
        <v>45644.702777777777</v>
      </c>
      <c r="B779" s="1" t="str">
        <f>TEXT(Coffee_Sales_Dataset[[#This Row],[Date]],"ddd")</f>
        <v>Wed</v>
      </c>
      <c r="C779">
        <f>HOUR(Coffee_Sales_Dataset[[#This Row],[Date]])</f>
        <v>16</v>
      </c>
      <c r="D779" t="s">
        <v>12</v>
      </c>
      <c r="E779" t="s">
        <v>34</v>
      </c>
      <c r="F779" t="s">
        <v>14</v>
      </c>
      <c r="G779">
        <v>6.43</v>
      </c>
      <c r="H779" t="s">
        <v>30</v>
      </c>
      <c r="I779" t="s">
        <v>16</v>
      </c>
      <c r="J779" t="s">
        <v>45</v>
      </c>
      <c r="K779" t="s">
        <v>40</v>
      </c>
      <c r="L779">
        <v>6</v>
      </c>
      <c r="M779" t="s">
        <v>33</v>
      </c>
      <c r="N779">
        <v>4</v>
      </c>
    </row>
    <row r="780" spans="1:14" x14ac:dyDescent="0.35">
      <c r="A780" s="5">
        <v>45656.51458333333</v>
      </c>
      <c r="B780" s="1" t="str">
        <f>TEXT(Coffee_Sales_Dataset[[#This Row],[Date]],"ddd")</f>
        <v>Mon</v>
      </c>
      <c r="C780">
        <f>HOUR(Coffee_Sales_Dataset[[#This Row],[Date]])</f>
        <v>12</v>
      </c>
      <c r="D780" t="s">
        <v>12</v>
      </c>
      <c r="E780" t="s">
        <v>13</v>
      </c>
      <c r="F780" t="s">
        <v>35</v>
      </c>
      <c r="G780">
        <v>4.46</v>
      </c>
      <c r="H780" t="s">
        <v>15</v>
      </c>
      <c r="I780" t="s">
        <v>16</v>
      </c>
      <c r="J780" t="s">
        <v>45</v>
      </c>
      <c r="K780" t="s">
        <v>32</v>
      </c>
      <c r="L780">
        <v>8</v>
      </c>
      <c r="M780" t="s">
        <v>39</v>
      </c>
      <c r="N780">
        <v>1</v>
      </c>
    </row>
    <row r="781" spans="1:14" x14ac:dyDescent="0.35">
      <c r="A781" s="5">
        <v>45656.549305555556</v>
      </c>
      <c r="B781" s="1" t="str">
        <f>TEXT(Coffee_Sales_Dataset[[#This Row],[Date]],"ddd")</f>
        <v>Mon</v>
      </c>
      <c r="C781">
        <f>HOUR(Coffee_Sales_Dataset[[#This Row],[Date]])</f>
        <v>13</v>
      </c>
      <c r="D781" t="s">
        <v>26</v>
      </c>
      <c r="E781" t="s">
        <v>21</v>
      </c>
      <c r="F781" t="s">
        <v>14</v>
      </c>
      <c r="G781">
        <v>6.73</v>
      </c>
      <c r="H781" t="s">
        <v>28</v>
      </c>
      <c r="I781" t="s">
        <v>23</v>
      </c>
      <c r="J781" t="s">
        <v>24</v>
      </c>
      <c r="K781" t="s">
        <v>40</v>
      </c>
      <c r="L781">
        <v>3</v>
      </c>
      <c r="M781" t="s">
        <v>47</v>
      </c>
      <c r="N781">
        <v>3</v>
      </c>
    </row>
    <row r="782" spans="1:14" x14ac:dyDescent="0.35">
      <c r="A782" s="5">
        <v>45646.382638888892</v>
      </c>
      <c r="B782" s="1" t="str">
        <f>TEXT(Coffee_Sales_Dataset[[#This Row],[Date]],"ddd")</f>
        <v>Fri</v>
      </c>
      <c r="C782">
        <f>HOUR(Coffee_Sales_Dataset[[#This Row],[Date]])</f>
        <v>9</v>
      </c>
      <c r="D782" t="s">
        <v>41</v>
      </c>
      <c r="E782" t="s">
        <v>27</v>
      </c>
      <c r="F782" t="s">
        <v>35</v>
      </c>
      <c r="G782">
        <v>6.2</v>
      </c>
      <c r="H782" t="s">
        <v>30</v>
      </c>
      <c r="I782" t="s">
        <v>23</v>
      </c>
      <c r="J782" t="s">
        <v>24</v>
      </c>
      <c r="K782" t="s">
        <v>32</v>
      </c>
      <c r="L782">
        <v>10</v>
      </c>
      <c r="M782" t="s">
        <v>33</v>
      </c>
      <c r="N782">
        <v>5</v>
      </c>
    </row>
    <row r="783" spans="1:14" x14ac:dyDescent="0.35">
      <c r="A783" s="5">
        <v>45655.410416666666</v>
      </c>
      <c r="B783" s="1" t="str">
        <f>TEXT(Coffee_Sales_Dataset[[#This Row],[Date]],"ddd")</f>
        <v>Sun</v>
      </c>
      <c r="C783">
        <f>HOUR(Coffee_Sales_Dataset[[#This Row],[Date]])</f>
        <v>9</v>
      </c>
      <c r="D783" t="s">
        <v>41</v>
      </c>
      <c r="E783" t="s">
        <v>38</v>
      </c>
      <c r="F783" t="s">
        <v>35</v>
      </c>
      <c r="G783">
        <v>5.18</v>
      </c>
      <c r="H783" t="s">
        <v>28</v>
      </c>
      <c r="I783" t="s">
        <v>16</v>
      </c>
      <c r="J783" t="s">
        <v>29</v>
      </c>
      <c r="K783" t="s">
        <v>32</v>
      </c>
      <c r="L783">
        <v>2</v>
      </c>
      <c r="M783" t="s">
        <v>47</v>
      </c>
      <c r="N783">
        <v>4</v>
      </c>
    </row>
    <row r="784" spans="1:14" x14ac:dyDescent="0.35">
      <c r="A784" s="5">
        <v>45642.553472222222</v>
      </c>
      <c r="B784" s="1" t="str">
        <f>TEXT(Coffee_Sales_Dataset[[#This Row],[Date]],"ddd")</f>
        <v>Mon</v>
      </c>
      <c r="C784">
        <f>HOUR(Coffee_Sales_Dataset[[#This Row],[Date]])</f>
        <v>13</v>
      </c>
      <c r="D784" t="s">
        <v>26</v>
      </c>
      <c r="E784" t="s">
        <v>27</v>
      </c>
      <c r="F784" t="s">
        <v>14</v>
      </c>
      <c r="G784">
        <v>3.38</v>
      </c>
      <c r="H784" t="s">
        <v>28</v>
      </c>
      <c r="I784" t="s">
        <v>23</v>
      </c>
      <c r="J784" t="s">
        <v>29</v>
      </c>
      <c r="K784" t="s">
        <v>32</v>
      </c>
      <c r="L784">
        <v>2</v>
      </c>
      <c r="M784" t="s">
        <v>25</v>
      </c>
      <c r="N784">
        <v>3</v>
      </c>
    </row>
    <row r="785" spans="1:14" x14ac:dyDescent="0.35">
      <c r="A785" s="5">
        <v>45647.386111111111</v>
      </c>
      <c r="B785" s="1" t="str">
        <f>TEXT(Coffee_Sales_Dataset[[#This Row],[Date]],"ddd")</f>
        <v>Sat</v>
      </c>
      <c r="C785">
        <f>HOUR(Coffee_Sales_Dataset[[#This Row],[Date]])</f>
        <v>9</v>
      </c>
      <c r="D785" t="s">
        <v>20</v>
      </c>
      <c r="E785" t="s">
        <v>38</v>
      </c>
      <c r="F785" t="s">
        <v>35</v>
      </c>
      <c r="G785">
        <v>6.58</v>
      </c>
      <c r="H785" t="s">
        <v>30</v>
      </c>
      <c r="I785" t="s">
        <v>23</v>
      </c>
      <c r="J785" t="s">
        <v>24</v>
      </c>
      <c r="K785" t="s">
        <v>40</v>
      </c>
      <c r="L785">
        <v>4</v>
      </c>
      <c r="M785" t="s">
        <v>19</v>
      </c>
      <c r="N785">
        <v>5</v>
      </c>
    </row>
    <row r="786" spans="1:14" x14ac:dyDescent="0.35">
      <c r="A786" s="5">
        <v>45652.402777777781</v>
      </c>
      <c r="B786" s="1" t="str">
        <f>TEXT(Coffee_Sales_Dataset[[#This Row],[Date]],"ddd")</f>
        <v>Thu</v>
      </c>
      <c r="C786">
        <f>HOUR(Coffee_Sales_Dataset[[#This Row],[Date]])</f>
        <v>9</v>
      </c>
      <c r="D786" t="s">
        <v>26</v>
      </c>
      <c r="E786" t="s">
        <v>46</v>
      </c>
      <c r="F786" t="s">
        <v>14</v>
      </c>
      <c r="G786">
        <v>5.91</v>
      </c>
      <c r="H786" t="s">
        <v>30</v>
      </c>
      <c r="I786" t="s">
        <v>23</v>
      </c>
      <c r="J786" t="s">
        <v>45</v>
      </c>
      <c r="K786" t="s">
        <v>18</v>
      </c>
      <c r="L786">
        <v>10</v>
      </c>
      <c r="M786" t="s">
        <v>36</v>
      </c>
      <c r="N786">
        <v>4</v>
      </c>
    </row>
    <row r="787" spans="1:14" x14ac:dyDescent="0.35">
      <c r="A787" s="5">
        <v>45641.705555555556</v>
      </c>
      <c r="B787" s="1" t="str">
        <f>TEXT(Coffee_Sales_Dataset[[#This Row],[Date]],"ddd")</f>
        <v>Sun</v>
      </c>
      <c r="C787">
        <f>HOUR(Coffee_Sales_Dataset[[#This Row],[Date]])</f>
        <v>16</v>
      </c>
      <c r="D787" t="s">
        <v>43</v>
      </c>
      <c r="E787" t="s">
        <v>38</v>
      </c>
      <c r="F787" t="s">
        <v>35</v>
      </c>
      <c r="G787">
        <v>6.11</v>
      </c>
      <c r="H787" t="s">
        <v>30</v>
      </c>
      <c r="I787" t="s">
        <v>16</v>
      </c>
      <c r="J787" t="s">
        <v>31</v>
      </c>
      <c r="K787" t="s">
        <v>40</v>
      </c>
      <c r="L787">
        <v>2</v>
      </c>
      <c r="M787" t="s">
        <v>25</v>
      </c>
      <c r="N787">
        <v>2</v>
      </c>
    </row>
    <row r="788" spans="1:14" x14ac:dyDescent="0.35">
      <c r="A788" s="5">
        <v>45650.591666666667</v>
      </c>
      <c r="B788" s="1" t="str">
        <f>TEXT(Coffee_Sales_Dataset[[#This Row],[Date]],"ddd")</f>
        <v>Tue</v>
      </c>
      <c r="C788">
        <f>HOUR(Coffee_Sales_Dataset[[#This Row],[Date]])</f>
        <v>14</v>
      </c>
      <c r="D788" t="s">
        <v>41</v>
      </c>
      <c r="E788" t="s">
        <v>34</v>
      </c>
      <c r="F788" t="s">
        <v>22</v>
      </c>
      <c r="G788">
        <v>3.54</v>
      </c>
      <c r="H788" t="s">
        <v>28</v>
      </c>
      <c r="I788" t="s">
        <v>16</v>
      </c>
      <c r="J788" t="s">
        <v>31</v>
      </c>
      <c r="K788" t="s">
        <v>32</v>
      </c>
      <c r="L788">
        <v>6</v>
      </c>
      <c r="M788" t="s">
        <v>36</v>
      </c>
      <c r="N788">
        <v>5</v>
      </c>
    </row>
    <row r="789" spans="1:14" x14ac:dyDescent="0.35">
      <c r="A789" s="5">
        <v>45654.40625</v>
      </c>
      <c r="B789" s="1" t="str">
        <f>TEXT(Coffee_Sales_Dataset[[#This Row],[Date]],"ddd")</f>
        <v>Sat</v>
      </c>
      <c r="C789">
        <f>HOUR(Coffee_Sales_Dataset[[#This Row],[Date]])</f>
        <v>9</v>
      </c>
      <c r="D789" t="s">
        <v>12</v>
      </c>
      <c r="E789" t="s">
        <v>34</v>
      </c>
      <c r="F789" t="s">
        <v>35</v>
      </c>
      <c r="G789">
        <v>5.42</v>
      </c>
      <c r="H789" t="s">
        <v>30</v>
      </c>
      <c r="I789" t="s">
        <v>23</v>
      </c>
      <c r="J789" t="s">
        <v>42</v>
      </c>
      <c r="K789" t="s">
        <v>18</v>
      </c>
      <c r="L789">
        <v>5</v>
      </c>
      <c r="M789" t="s">
        <v>19</v>
      </c>
      <c r="N789">
        <v>3</v>
      </c>
    </row>
    <row r="790" spans="1:14" x14ac:dyDescent="0.35">
      <c r="A790" s="5">
        <v>45652.71597222222</v>
      </c>
      <c r="B790" s="1" t="str">
        <f>TEXT(Coffee_Sales_Dataset[[#This Row],[Date]],"ddd")</f>
        <v>Thu</v>
      </c>
      <c r="C790">
        <f>HOUR(Coffee_Sales_Dataset[[#This Row],[Date]])</f>
        <v>17</v>
      </c>
      <c r="D790" t="s">
        <v>41</v>
      </c>
      <c r="E790" t="s">
        <v>13</v>
      </c>
      <c r="F790" t="s">
        <v>35</v>
      </c>
      <c r="G790">
        <v>4</v>
      </c>
      <c r="H790" t="s">
        <v>28</v>
      </c>
      <c r="I790" t="s">
        <v>23</v>
      </c>
      <c r="J790" t="s">
        <v>17</v>
      </c>
      <c r="K790" t="s">
        <v>40</v>
      </c>
      <c r="L790">
        <v>2</v>
      </c>
      <c r="M790" t="s">
        <v>19</v>
      </c>
      <c r="N790">
        <v>1</v>
      </c>
    </row>
    <row r="791" spans="1:14" x14ac:dyDescent="0.35">
      <c r="A791" s="5">
        <v>45651.425694444442</v>
      </c>
      <c r="B791" s="1" t="str">
        <f>TEXT(Coffee_Sales_Dataset[[#This Row],[Date]],"ddd")</f>
        <v>Wed</v>
      </c>
      <c r="C791">
        <f>HOUR(Coffee_Sales_Dataset[[#This Row],[Date]])</f>
        <v>10</v>
      </c>
      <c r="D791" t="s">
        <v>43</v>
      </c>
      <c r="E791" t="s">
        <v>13</v>
      </c>
      <c r="F791" t="s">
        <v>35</v>
      </c>
      <c r="G791">
        <v>3.01</v>
      </c>
      <c r="H791" t="s">
        <v>30</v>
      </c>
      <c r="I791" t="s">
        <v>23</v>
      </c>
      <c r="J791" t="s">
        <v>45</v>
      </c>
      <c r="K791" t="s">
        <v>40</v>
      </c>
      <c r="L791">
        <v>8</v>
      </c>
      <c r="M791" t="s">
        <v>39</v>
      </c>
      <c r="N791">
        <v>3</v>
      </c>
    </row>
    <row r="792" spans="1:14" x14ac:dyDescent="0.35">
      <c r="A792" s="5">
        <v>45644.42291666667</v>
      </c>
      <c r="B792" s="1" t="str">
        <f>TEXT(Coffee_Sales_Dataset[[#This Row],[Date]],"ddd")</f>
        <v>Wed</v>
      </c>
      <c r="C792">
        <f>HOUR(Coffee_Sales_Dataset[[#This Row],[Date]])</f>
        <v>10</v>
      </c>
      <c r="D792" t="s">
        <v>26</v>
      </c>
      <c r="E792" t="s">
        <v>21</v>
      </c>
      <c r="F792" t="s">
        <v>22</v>
      </c>
      <c r="G792">
        <v>4.3</v>
      </c>
      <c r="H792" t="s">
        <v>15</v>
      </c>
      <c r="I792" t="s">
        <v>16</v>
      </c>
      <c r="J792" t="s">
        <v>45</v>
      </c>
      <c r="K792" t="s">
        <v>18</v>
      </c>
      <c r="L792">
        <v>6</v>
      </c>
      <c r="M792" t="s">
        <v>25</v>
      </c>
      <c r="N792">
        <v>2</v>
      </c>
    </row>
    <row r="793" spans="1:14" x14ac:dyDescent="0.35">
      <c r="A793" s="5">
        <v>45654.425694444442</v>
      </c>
      <c r="B793" s="1" t="str">
        <f>TEXT(Coffee_Sales_Dataset[[#This Row],[Date]],"ddd")</f>
        <v>Sat</v>
      </c>
      <c r="C793">
        <f>HOUR(Coffee_Sales_Dataset[[#This Row],[Date]])</f>
        <v>10</v>
      </c>
      <c r="D793" t="s">
        <v>12</v>
      </c>
      <c r="E793" t="s">
        <v>34</v>
      </c>
      <c r="F793" t="s">
        <v>14</v>
      </c>
      <c r="G793">
        <v>6.48</v>
      </c>
      <c r="H793" t="s">
        <v>28</v>
      </c>
      <c r="I793" t="s">
        <v>23</v>
      </c>
      <c r="J793" t="s">
        <v>42</v>
      </c>
      <c r="K793" t="s">
        <v>32</v>
      </c>
      <c r="L793">
        <v>6</v>
      </c>
      <c r="M793" t="s">
        <v>25</v>
      </c>
      <c r="N793">
        <v>1</v>
      </c>
    </row>
    <row r="794" spans="1:14" x14ac:dyDescent="0.35">
      <c r="A794" s="5">
        <v>45645.603472222225</v>
      </c>
      <c r="B794" s="1" t="str">
        <f>TEXT(Coffee_Sales_Dataset[[#This Row],[Date]],"ddd")</f>
        <v>Thu</v>
      </c>
      <c r="C794">
        <f>HOUR(Coffee_Sales_Dataset[[#This Row],[Date]])</f>
        <v>14</v>
      </c>
      <c r="D794" t="s">
        <v>20</v>
      </c>
      <c r="E794" t="s">
        <v>13</v>
      </c>
      <c r="F794" t="s">
        <v>14</v>
      </c>
      <c r="G794">
        <v>5.99</v>
      </c>
      <c r="H794" t="s">
        <v>28</v>
      </c>
      <c r="I794" t="s">
        <v>16</v>
      </c>
      <c r="J794" t="s">
        <v>17</v>
      </c>
      <c r="K794" t="s">
        <v>32</v>
      </c>
      <c r="L794">
        <v>3</v>
      </c>
      <c r="M794" t="s">
        <v>47</v>
      </c>
      <c r="N794">
        <v>2</v>
      </c>
    </row>
    <row r="795" spans="1:14" x14ac:dyDescent="0.35">
      <c r="A795" s="5">
        <v>45645.435416666667</v>
      </c>
      <c r="B795" s="1" t="str">
        <f>TEXT(Coffee_Sales_Dataset[[#This Row],[Date]],"ddd")</f>
        <v>Thu</v>
      </c>
      <c r="C795">
        <f>HOUR(Coffee_Sales_Dataset[[#This Row],[Date]])</f>
        <v>10</v>
      </c>
      <c r="D795" t="s">
        <v>26</v>
      </c>
      <c r="E795" t="s">
        <v>46</v>
      </c>
      <c r="F795" t="s">
        <v>35</v>
      </c>
      <c r="G795">
        <v>3.26</v>
      </c>
      <c r="H795" t="s">
        <v>15</v>
      </c>
      <c r="I795" t="s">
        <v>16</v>
      </c>
      <c r="J795" t="s">
        <v>24</v>
      </c>
      <c r="K795" t="s">
        <v>18</v>
      </c>
      <c r="L795">
        <v>5</v>
      </c>
      <c r="M795" t="s">
        <v>25</v>
      </c>
      <c r="N795">
        <v>2</v>
      </c>
    </row>
    <row r="796" spans="1:14" x14ac:dyDescent="0.35">
      <c r="A796" s="5">
        <v>45652.536805555559</v>
      </c>
      <c r="B796" s="1" t="str">
        <f>TEXT(Coffee_Sales_Dataset[[#This Row],[Date]],"ddd")</f>
        <v>Thu</v>
      </c>
      <c r="C796">
        <f>HOUR(Coffee_Sales_Dataset[[#This Row],[Date]])</f>
        <v>12</v>
      </c>
      <c r="D796" t="s">
        <v>12</v>
      </c>
      <c r="E796" t="s">
        <v>46</v>
      </c>
      <c r="F796" t="s">
        <v>22</v>
      </c>
      <c r="G796">
        <v>3.64</v>
      </c>
      <c r="H796" t="s">
        <v>30</v>
      </c>
      <c r="I796" t="s">
        <v>16</v>
      </c>
      <c r="J796" t="s">
        <v>17</v>
      </c>
      <c r="K796" t="s">
        <v>40</v>
      </c>
      <c r="L796">
        <v>5</v>
      </c>
      <c r="M796" t="s">
        <v>19</v>
      </c>
      <c r="N796">
        <v>4</v>
      </c>
    </row>
    <row r="797" spans="1:14" x14ac:dyDescent="0.35">
      <c r="A797" s="5">
        <v>45647.688888888886</v>
      </c>
      <c r="B797" s="1" t="str">
        <f>TEXT(Coffee_Sales_Dataset[[#This Row],[Date]],"ddd")</f>
        <v>Sat</v>
      </c>
      <c r="C797">
        <f>HOUR(Coffee_Sales_Dataset[[#This Row],[Date]])</f>
        <v>16</v>
      </c>
      <c r="D797" t="s">
        <v>20</v>
      </c>
      <c r="E797" t="s">
        <v>13</v>
      </c>
      <c r="F797" t="s">
        <v>22</v>
      </c>
      <c r="G797">
        <v>5.88</v>
      </c>
      <c r="H797" t="s">
        <v>28</v>
      </c>
      <c r="I797" t="s">
        <v>16</v>
      </c>
      <c r="J797" t="s">
        <v>45</v>
      </c>
      <c r="K797" t="s">
        <v>40</v>
      </c>
      <c r="L797">
        <v>6</v>
      </c>
      <c r="M797" t="s">
        <v>33</v>
      </c>
      <c r="N797">
        <v>5</v>
      </c>
    </row>
    <row r="798" spans="1:14" x14ac:dyDescent="0.35">
      <c r="A798" s="5">
        <v>45653.584027777775</v>
      </c>
      <c r="B798" s="1" t="str">
        <f>TEXT(Coffee_Sales_Dataset[[#This Row],[Date]],"ddd")</f>
        <v>Fri</v>
      </c>
      <c r="C798">
        <f>HOUR(Coffee_Sales_Dataset[[#This Row],[Date]])</f>
        <v>14</v>
      </c>
      <c r="D798" t="s">
        <v>26</v>
      </c>
      <c r="E798" t="s">
        <v>38</v>
      </c>
      <c r="F798" t="s">
        <v>14</v>
      </c>
      <c r="G798">
        <v>3.96</v>
      </c>
      <c r="H798" t="s">
        <v>15</v>
      </c>
      <c r="I798" t="s">
        <v>16</v>
      </c>
      <c r="J798" t="s">
        <v>17</v>
      </c>
      <c r="K798" t="s">
        <v>18</v>
      </c>
      <c r="L798">
        <v>10</v>
      </c>
      <c r="M798" t="s">
        <v>33</v>
      </c>
      <c r="N798">
        <v>5</v>
      </c>
    </row>
    <row r="799" spans="1:14" x14ac:dyDescent="0.35">
      <c r="A799" s="5">
        <v>45650.706944444442</v>
      </c>
      <c r="B799" s="1" t="str">
        <f>TEXT(Coffee_Sales_Dataset[[#This Row],[Date]],"ddd")</f>
        <v>Tue</v>
      </c>
      <c r="C799">
        <f>HOUR(Coffee_Sales_Dataset[[#This Row],[Date]])</f>
        <v>16</v>
      </c>
      <c r="D799" t="s">
        <v>20</v>
      </c>
      <c r="E799" t="s">
        <v>44</v>
      </c>
      <c r="F799" t="s">
        <v>22</v>
      </c>
      <c r="G799">
        <v>6.91</v>
      </c>
      <c r="H799" t="s">
        <v>30</v>
      </c>
      <c r="I799" t="s">
        <v>23</v>
      </c>
      <c r="J799" t="s">
        <v>29</v>
      </c>
      <c r="K799" t="s">
        <v>32</v>
      </c>
      <c r="L799">
        <v>10</v>
      </c>
      <c r="M799" t="s">
        <v>25</v>
      </c>
      <c r="N799">
        <v>5</v>
      </c>
    </row>
    <row r="800" spans="1:14" x14ac:dyDescent="0.35">
      <c r="A800" s="5">
        <v>45646.633333333331</v>
      </c>
      <c r="B800" s="1" t="str">
        <f>TEXT(Coffee_Sales_Dataset[[#This Row],[Date]],"ddd")</f>
        <v>Fri</v>
      </c>
      <c r="C800">
        <f>HOUR(Coffee_Sales_Dataset[[#This Row],[Date]])</f>
        <v>15</v>
      </c>
      <c r="D800" t="s">
        <v>20</v>
      </c>
      <c r="E800" t="s">
        <v>13</v>
      </c>
      <c r="F800" t="s">
        <v>35</v>
      </c>
      <c r="G800">
        <v>4.2300000000000004</v>
      </c>
      <c r="H800" t="s">
        <v>15</v>
      </c>
      <c r="I800" t="s">
        <v>16</v>
      </c>
      <c r="J800" t="s">
        <v>45</v>
      </c>
      <c r="K800" t="s">
        <v>32</v>
      </c>
      <c r="L800">
        <v>5</v>
      </c>
      <c r="M800" t="s">
        <v>19</v>
      </c>
      <c r="N800">
        <v>4</v>
      </c>
    </row>
    <row r="801" spans="1:14" x14ac:dyDescent="0.35">
      <c r="A801" s="5">
        <v>45651.73333333333</v>
      </c>
      <c r="B801" s="1" t="str">
        <f>TEXT(Coffee_Sales_Dataset[[#This Row],[Date]],"ddd")</f>
        <v>Wed</v>
      </c>
      <c r="C801">
        <f>HOUR(Coffee_Sales_Dataset[[#This Row],[Date]])</f>
        <v>17</v>
      </c>
      <c r="D801" t="s">
        <v>41</v>
      </c>
      <c r="E801" t="s">
        <v>34</v>
      </c>
      <c r="F801" t="s">
        <v>14</v>
      </c>
      <c r="G801">
        <v>4.5199999999999996</v>
      </c>
      <c r="H801" t="s">
        <v>28</v>
      </c>
      <c r="I801" t="s">
        <v>23</v>
      </c>
      <c r="J801" t="s">
        <v>17</v>
      </c>
      <c r="K801" t="s">
        <v>32</v>
      </c>
      <c r="L801">
        <v>2</v>
      </c>
      <c r="M801" t="s">
        <v>33</v>
      </c>
      <c r="N801">
        <v>3</v>
      </c>
    </row>
    <row r="802" spans="1:14" x14ac:dyDescent="0.35">
      <c r="A802" s="5">
        <v>45646.481944444444</v>
      </c>
      <c r="B802" s="1" t="str">
        <f>TEXT(Coffee_Sales_Dataset[[#This Row],[Date]],"ddd")</f>
        <v>Fri</v>
      </c>
      <c r="C802">
        <f>HOUR(Coffee_Sales_Dataset[[#This Row],[Date]])</f>
        <v>11</v>
      </c>
      <c r="D802" t="s">
        <v>43</v>
      </c>
      <c r="E802" t="s">
        <v>46</v>
      </c>
      <c r="F802" t="s">
        <v>14</v>
      </c>
      <c r="G802">
        <v>4.72</v>
      </c>
      <c r="H802" t="s">
        <v>28</v>
      </c>
      <c r="I802" t="s">
        <v>23</v>
      </c>
      <c r="J802" t="s">
        <v>45</v>
      </c>
      <c r="K802" t="s">
        <v>40</v>
      </c>
      <c r="L802">
        <v>3</v>
      </c>
      <c r="M802" t="s">
        <v>37</v>
      </c>
      <c r="N802">
        <v>2</v>
      </c>
    </row>
    <row r="803" spans="1:14" x14ac:dyDescent="0.35">
      <c r="A803" s="5">
        <v>45644.342361111114</v>
      </c>
      <c r="B803" s="1" t="str">
        <f>TEXT(Coffee_Sales_Dataset[[#This Row],[Date]],"ddd")</f>
        <v>Wed</v>
      </c>
      <c r="C803">
        <f>HOUR(Coffee_Sales_Dataset[[#This Row],[Date]])</f>
        <v>8</v>
      </c>
      <c r="D803" t="s">
        <v>12</v>
      </c>
      <c r="E803" t="s">
        <v>46</v>
      </c>
      <c r="F803" t="s">
        <v>35</v>
      </c>
      <c r="G803">
        <v>6.98</v>
      </c>
      <c r="H803" t="s">
        <v>30</v>
      </c>
      <c r="I803" t="s">
        <v>23</v>
      </c>
      <c r="J803" t="s">
        <v>45</v>
      </c>
      <c r="K803" t="s">
        <v>18</v>
      </c>
      <c r="L803">
        <v>9</v>
      </c>
      <c r="M803" t="s">
        <v>19</v>
      </c>
      <c r="N803">
        <v>2</v>
      </c>
    </row>
    <row r="804" spans="1:14" x14ac:dyDescent="0.35">
      <c r="A804" s="5">
        <v>45644.467361111114</v>
      </c>
      <c r="B804" s="1" t="str">
        <f>TEXT(Coffee_Sales_Dataset[[#This Row],[Date]],"ddd")</f>
        <v>Wed</v>
      </c>
      <c r="C804">
        <f>HOUR(Coffee_Sales_Dataset[[#This Row],[Date]])</f>
        <v>11</v>
      </c>
      <c r="D804" t="s">
        <v>43</v>
      </c>
      <c r="E804" t="s">
        <v>13</v>
      </c>
      <c r="F804" t="s">
        <v>14</v>
      </c>
      <c r="G804">
        <v>4.03</v>
      </c>
      <c r="H804" t="s">
        <v>28</v>
      </c>
      <c r="I804" t="s">
        <v>16</v>
      </c>
      <c r="J804" t="s">
        <v>29</v>
      </c>
      <c r="K804" t="s">
        <v>32</v>
      </c>
      <c r="L804">
        <v>9</v>
      </c>
      <c r="M804" t="s">
        <v>36</v>
      </c>
      <c r="N804">
        <v>1</v>
      </c>
    </row>
    <row r="805" spans="1:14" x14ac:dyDescent="0.35">
      <c r="A805" s="5">
        <v>45646.48541666667</v>
      </c>
      <c r="B805" s="1" t="str">
        <f>TEXT(Coffee_Sales_Dataset[[#This Row],[Date]],"ddd")</f>
        <v>Fri</v>
      </c>
      <c r="C805">
        <f>HOUR(Coffee_Sales_Dataset[[#This Row],[Date]])</f>
        <v>11</v>
      </c>
      <c r="D805" t="s">
        <v>26</v>
      </c>
      <c r="E805" t="s">
        <v>13</v>
      </c>
      <c r="F805" t="s">
        <v>22</v>
      </c>
      <c r="G805">
        <v>6.16</v>
      </c>
      <c r="H805" t="s">
        <v>28</v>
      </c>
      <c r="I805" t="s">
        <v>23</v>
      </c>
      <c r="J805" t="s">
        <v>29</v>
      </c>
      <c r="K805" t="s">
        <v>32</v>
      </c>
      <c r="L805">
        <v>6</v>
      </c>
      <c r="M805" t="s">
        <v>37</v>
      </c>
      <c r="N805">
        <v>2</v>
      </c>
    </row>
    <row r="806" spans="1:14" x14ac:dyDescent="0.35">
      <c r="A806" s="5">
        <v>45651.374305555553</v>
      </c>
      <c r="B806" s="1" t="str">
        <f>TEXT(Coffee_Sales_Dataset[[#This Row],[Date]],"ddd")</f>
        <v>Wed</v>
      </c>
      <c r="C806">
        <f>HOUR(Coffee_Sales_Dataset[[#This Row],[Date]])</f>
        <v>8</v>
      </c>
      <c r="D806" t="s">
        <v>12</v>
      </c>
      <c r="E806" t="s">
        <v>21</v>
      </c>
      <c r="F806" t="s">
        <v>14</v>
      </c>
      <c r="G806">
        <v>6.18</v>
      </c>
      <c r="H806" t="s">
        <v>15</v>
      </c>
      <c r="I806" t="s">
        <v>23</v>
      </c>
      <c r="J806" t="s">
        <v>29</v>
      </c>
      <c r="K806" t="s">
        <v>18</v>
      </c>
      <c r="L806">
        <v>5</v>
      </c>
      <c r="M806" t="s">
        <v>37</v>
      </c>
      <c r="N806">
        <v>3</v>
      </c>
    </row>
    <row r="807" spans="1:14" x14ac:dyDescent="0.35">
      <c r="A807" s="5">
        <v>45641.582638888889</v>
      </c>
      <c r="B807" s="1" t="str">
        <f>TEXT(Coffee_Sales_Dataset[[#This Row],[Date]],"ddd")</f>
        <v>Sun</v>
      </c>
      <c r="C807">
        <f>HOUR(Coffee_Sales_Dataset[[#This Row],[Date]])</f>
        <v>13</v>
      </c>
      <c r="D807" t="s">
        <v>43</v>
      </c>
      <c r="E807" t="s">
        <v>21</v>
      </c>
      <c r="F807" t="s">
        <v>22</v>
      </c>
      <c r="G807">
        <v>5.23</v>
      </c>
      <c r="H807" t="s">
        <v>30</v>
      </c>
      <c r="I807" t="s">
        <v>23</v>
      </c>
      <c r="J807" t="s">
        <v>45</v>
      </c>
      <c r="K807" t="s">
        <v>40</v>
      </c>
      <c r="L807">
        <v>2</v>
      </c>
      <c r="M807" t="s">
        <v>19</v>
      </c>
      <c r="N807">
        <v>3</v>
      </c>
    </row>
    <row r="808" spans="1:14" x14ac:dyDescent="0.35">
      <c r="A808" s="5">
        <v>45644.426388888889</v>
      </c>
      <c r="B808" s="1" t="str">
        <f>TEXT(Coffee_Sales_Dataset[[#This Row],[Date]],"ddd")</f>
        <v>Wed</v>
      </c>
      <c r="C808">
        <f>HOUR(Coffee_Sales_Dataset[[#This Row],[Date]])</f>
        <v>10</v>
      </c>
      <c r="D808" t="s">
        <v>26</v>
      </c>
      <c r="E808" t="s">
        <v>44</v>
      </c>
      <c r="F808" t="s">
        <v>14</v>
      </c>
      <c r="G808">
        <v>3.78</v>
      </c>
      <c r="H808" t="s">
        <v>30</v>
      </c>
      <c r="I808" t="s">
        <v>23</v>
      </c>
      <c r="J808" t="s">
        <v>17</v>
      </c>
      <c r="K808" t="s">
        <v>32</v>
      </c>
      <c r="L808">
        <v>9</v>
      </c>
      <c r="M808" t="s">
        <v>39</v>
      </c>
      <c r="N808">
        <v>4</v>
      </c>
    </row>
    <row r="809" spans="1:14" x14ac:dyDescent="0.35">
      <c r="A809" s="5">
        <v>45644.418055555558</v>
      </c>
      <c r="B809" s="1" t="str">
        <f>TEXT(Coffee_Sales_Dataset[[#This Row],[Date]],"ddd")</f>
        <v>Wed</v>
      </c>
      <c r="C809">
        <f>HOUR(Coffee_Sales_Dataset[[#This Row],[Date]])</f>
        <v>10</v>
      </c>
      <c r="D809" t="s">
        <v>26</v>
      </c>
      <c r="E809" t="s">
        <v>44</v>
      </c>
      <c r="F809" t="s">
        <v>35</v>
      </c>
      <c r="G809">
        <v>3.82</v>
      </c>
      <c r="H809" t="s">
        <v>28</v>
      </c>
      <c r="I809" t="s">
        <v>16</v>
      </c>
      <c r="J809" t="s">
        <v>45</v>
      </c>
      <c r="K809" t="s">
        <v>32</v>
      </c>
      <c r="L809">
        <v>4</v>
      </c>
      <c r="M809" t="s">
        <v>19</v>
      </c>
      <c r="N809">
        <v>1</v>
      </c>
    </row>
    <row r="810" spans="1:14" x14ac:dyDescent="0.35">
      <c r="A810" s="5">
        <v>45654.4375</v>
      </c>
      <c r="B810" s="1" t="str">
        <f>TEXT(Coffee_Sales_Dataset[[#This Row],[Date]],"ddd")</f>
        <v>Sat</v>
      </c>
      <c r="C810">
        <f>HOUR(Coffee_Sales_Dataset[[#This Row],[Date]])</f>
        <v>10</v>
      </c>
      <c r="D810" t="s">
        <v>12</v>
      </c>
      <c r="E810" t="s">
        <v>13</v>
      </c>
      <c r="F810" t="s">
        <v>14</v>
      </c>
      <c r="G810">
        <v>4.5</v>
      </c>
      <c r="H810" t="s">
        <v>28</v>
      </c>
      <c r="I810" t="s">
        <v>23</v>
      </c>
      <c r="J810" t="s">
        <v>45</v>
      </c>
      <c r="K810" t="s">
        <v>32</v>
      </c>
      <c r="L810">
        <v>3</v>
      </c>
      <c r="M810" t="s">
        <v>39</v>
      </c>
      <c r="N810">
        <v>2</v>
      </c>
    </row>
    <row r="811" spans="1:14" x14ac:dyDescent="0.35">
      <c r="A811" s="5">
        <v>45644.43472222222</v>
      </c>
      <c r="B811" s="1" t="str">
        <f>TEXT(Coffee_Sales_Dataset[[#This Row],[Date]],"ddd")</f>
        <v>Wed</v>
      </c>
      <c r="C811">
        <f>HOUR(Coffee_Sales_Dataset[[#This Row],[Date]])</f>
        <v>10</v>
      </c>
      <c r="D811" t="s">
        <v>26</v>
      </c>
      <c r="E811" t="s">
        <v>46</v>
      </c>
      <c r="F811" t="s">
        <v>14</v>
      </c>
      <c r="G811">
        <v>5.8</v>
      </c>
      <c r="H811" t="s">
        <v>30</v>
      </c>
      <c r="I811" t="s">
        <v>16</v>
      </c>
      <c r="J811" t="s">
        <v>45</v>
      </c>
      <c r="K811" t="s">
        <v>18</v>
      </c>
      <c r="L811">
        <v>10</v>
      </c>
      <c r="M811" t="s">
        <v>19</v>
      </c>
      <c r="N811">
        <v>5</v>
      </c>
    </row>
    <row r="812" spans="1:14" x14ac:dyDescent="0.35">
      <c r="A812" s="5">
        <v>45656.747916666667</v>
      </c>
      <c r="B812" s="1" t="str">
        <f>TEXT(Coffee_Sales_Dataset[[#This Row],[Date]],"ddd")</f>
        <v>Mon</v>
      </c>
      <c r="C812">
        <f>HOUR(Coffee_Sales_Dataset[[#This Row],[Date]])</f>
        <v>17</v>
      </c>
      <c r="D812" t="s">
        <v>41</v>
      </c>
      <c r="E812" t="s">
        <v>34</v>
      </c>
      <c r="F812" t="s">
        <v>22</v>
      </c>
      <c r="G812">
        <v>3.63</v>
      </c>
      <c r="H812" t="s">
        <v>28</v>
      </c>
      <c r="I812" t="s">
        <v>23</v>
      </c>
      <c r="J812" t="s">
        <v>42</v>
      </c>
      <c r="K812" t="s">
        <v>32</v>
      </c>
      <c r="L812">
        <v>4</v>
      </c>
      <c r="M812" t="s">
        <v>37</v>
      </c>
      <c r="N812">
        <v>4</v>
      </c>
    </row>
    <row r="813" spans="1:14" x14ac:dyDescent="0.35">
      <c r="A813" s="5">
        <v>45645.526388888888</v>
      </c>
      <c r="B813" s="1" t="str">
        <f>TEXT(Coffee_Sales_Dataset[[#This Row],[Date]],"ddd")</f>
        <v>Thu</v>
      </c>
      <c r="C813">
        <f>HOUR(Coffee_Sales_Dataset[[#This Row],[Date]])</f>
        <v>12</v>
      </c>
      <c r="D813" t="s">
        <v>20</v>
      </c>
      <c r="E813" t="s">
        <v>44</v>
      </c>
      <c r="F813" t="s">
        <v>14</v>
      </c>
      <c r="G813">
        <v>3.79</v>
      </c>
      <c r="H813" t="s">
        <v>15</v>
      </c>
      <c r="I813" t="s">
        <v>16</v>
      </c>
      <c r="J813" t="s">
        <v>31</v>
      </c>
      <c r="K813" t="s">
        <v>32</v>
      </c>
      <c r="L813">
        <v>3</v>
      </c>
      <c r="M813" t="s">
        <v>33</v>
      </c>
      <c r="N813">
        <v>5</v>
      </c>
    </row>
    <row r="814" spans="1:14" x14ac:dyDescent="0.35">
      <c r="A814" s="5">
        <v>45642.456250000003</v>
      </c>
      <c r="B814" s="1" t="str">
        <f>TEXT(Coffee_Sales_Dataset[[#This Row],[Date]],"ddd")</f>
        <v>Mon</v>
      </c>
      <c r="C814">
        <f>HOUR(Coffee_Sales_Dataset[[#This Row],[Date]])</f>
        <v>10</v>
      </c>
      <c r="D814" t="s">
        <v>26</v>
      </c>
      <c r="E814" t="s">
        <v>27</v>
      </c>
      <c r="F814" t="s">
        <v>35</v>
      </c>
      <c r="G814">
        <v>5.8</v>
      </c>
      <c r="H814" t="s">
        <v>30</v>
      </c>
      <c r="I814" t="s">
        <v>16</v>
      </c>
      <c r="J814" t="s">
        <v>42</v>
      </c>
      <c r="K814" t="s">
        <v>18</v>
      </c>
      <c r="L814">
        <v>4</v>
      </c>
      <c r="M814" t="s">
        <v>39</v>
      </c>
      <c r="N814">
        <v>5</v>
      </c>
    </row>
    <row r="815" spans="1:14" x14ac:dyDescent="0.35">
      <c r="A815" s="5">
        <v>45643.493750000001</v>
      </c>
      <c r="B815" s="1" t="str">
        <f>TEXT(Coffee_Sales_Dataset[[#This Row],[Date]],"ddd")</f>
        <v>Tue</v>
      </c>
      <c r="C815">
        <f>HOUR(Coffee_Sales_Dataset[[#This Row],[Date]])</f>
        <v>11</v>
      </c>
      <c r="D815" t="s">
        <v>20</v>
      </c>
      <c r="E815" t="s">
        <v>27</v>
      </c>
      <c r="F815" t="s">
        <v>14</v>
      </c>
      <c r="G815">
        <v>5.03</v>
      </c>
      <c r="H815" t="s">
        <v>28</v>
      </c>
      <c r="I815" t="s">
        <v>23</v>
      </c>
      <c r="J815" t="s">
        <v>17</v>
      </c>
      <c r="K815" t="s">
        <v>18</v>
      </c>
      <c r="L815">
        <v>10</v>
      </c>
      <c r="M815" t="s">
        <v>39</v>
      </c>
      <c r="N815">
        <v>3</v>
      </c>
    </row>
    <row r="816" spans="1:14" x14ac:dyDescent="0.35">
      <c r="A816" s="5">
        <v>45649.386111111111</v>
      </c>
      <c r="B816" s="1" t="str">
        <f>TEXT(Coffee_Sales_Dataset[[#This Row],[Date]],"ddd")</f>
        <v>Mon</v>
      </c>
      <c r="C816">
        <f>HOUR(Coffee_Sales_Dataset[[#This Row],[Date]])</f>
        <v>9</v>
      </c>
      <c r="D816" t="s">
        <v>43</v>
      </c>
      <c r="E816" t="s">
        <v>34</v>
      </c>
      <c r="F816" t="s">
        <v>35</v>
      </c>
      <c r="G816">
        <v>3.54</v>
      </c>
      <c r="H816" t="s">
        <v>30</v>
      </c>
      <c r="I816" t="s">
        <v>23</v>
      </c>
      <c r="J816" t="s">
        <v>42</v>
      </c>
      <c r="K816" t="s">
        <v>32</v>
      </c>
      <c r="L816">
        <v>5</v>
      </c>
      <c r="M816" t="s">
        <v>36</v>
      </c>
      <c r="N816">
        <v>2</v>
      </c>
    </row>
    <row r="817" spans="1:14" x14ac:dyDescent="0.35">
      <c r="A817" s="5">
        <v>45652.397916666669</v>
      </c>
      <c r="B817" s="1" t="str">
        <f>TEXT(Coffee_Sales_Dataset[[#This Row],[Date]],"ddd")</f>
        <v>Thu</v>
      </c>
      <c r="C817">
        <f>HOUR(Coffee_Sales_Dataset[[#This Row],[Date]])</f>
        <v>9</v>
      </c>
      <c r="D817" t="s">
        <v>20</v>
      </c>
      <c r="E817" t="s">
        <v>38</v>
      </c>
      <c r="F817" t="s">
        <v>22</v>
      </c>
      <c r="G817">
        <v>3.29</v>
      </c>
      <c r="H817" t="s">
        <v>28</v>
      </c>
      <c r="I817" t="s">
        <v>23</v>
      </c>
      <c r="J817" t="s">
        <v>45</v>
      </c>
      <c r="K817" t="s">
        <v>32</v>
      </c>
      <c r="L817">
        <v>9</v>
      </c>
      <c r="M817" t="s">
        <v>36</v>
      </c>
      <c r="N817">
        <v>3</v>
      </c>
    </row>
    <row r="818" spans="1:14" x14ac:dyDescent="0.35">
      <c r="A818" s="5">
        <v>45656.542361111111</v>
      </c>
      <c r="B818" s="1" t="str">
        <f>TEXT(Coffee_Sales_Dataset[[#This Row],[Date]],"ddd")</f>
        <v>Mon</v>
      </c>
      <c r="C818">
        <f>HOUR(Coffee_Sales_Dataset[[#This Row],[Date]])</f>
        <v>13</v>
      </c>
      <c r="D818" t="s">
        <v>26</v>
      </c>
      <c r="E818" t="s">
        <v>21</v>
      </c>
      <c r="F818" t="s">
        <v>14</v>
      </c>
      <c r="G818">
        <v>6.12</v>
      </c>
      <c r="H818" t="s">
        <v>28</v>
      </c>
      <c r="I818" t="s">
        <v>23</v>
      </c>
      <c r="J818" t="s">
        <v>45</v>
      </c>
      <c r="K818" t="s">
        <v>40</v>
      </c>
      <c r="L818">
        <v>3</v>
      </c>
      <c r="M818" t="s">
        <v>47</v>
      </c>
      <c r="N818">
        <v>2</v>
      </c>
    </row>
    <row r="819" spans="1:14" x14ac:dyDescent="0.35">
      <c r="A819" s="5">
        <v>45653.711805555555</v>
      </c>
      <c r="B819" s="1" t="str">
        <f>TEXT(Coffee_Sales_Dataset[[#This Row],[Date]],"ddd")</f>
        <v>Fri</v>
      </c>
      <c r="C819">
        <f>HOUR(Coffee_Sales_Dataset[[#This Row],[Date]])</f>
        <v>17</v>
      </c>
      <c r="D819" t="s">
        <v>26</v>
      </c>
      <c r="E819" t="s">
        <v>44</v>
      </c>
      <c r="F819" t="s">
        <v>14</v>
      </c>
      <c r="G819">
        <v>4.92</v>
      </c>
      <c r="H819" t="s">
        <v>30</v>
      </c>
      <c r="I819" t="s">
        <v>16</v>
      </c>
      <c r="J819" t="s">
        <v>31</v>
      </c>
      <c r="K819" t="s">
        <v>18</v>
      </c>
      <c r="L819">
        <v>7</v>
      </c>
      <c r="M819" t="s">
        <v>39</v>
      </c>
      <c r="N819">
        <v>5</v>
      </c>
    </row>
    <row r="820" spans="1:14" x14ac:dyDescent="0.35">
      <c r="A820" s="5">
        <v>45641.431944444441</v>
      </c>
      <c r="B820" s="1" t="str">
        <f>TEXT(Coffee_Sales_Dataset[[#This Row],[Date]],"ddd")</f>
        <v>Sun</v>
      </c>
      <c r="C820">
        <f>HOUR(Coffee_Sales_Dataset[[#This Row],[Date]])</f>
        <v>10</v>
      </c>
      <c r="D820" t="s">
        <v>43</v>
      </c>
      <c r="E820" t="s">
        <v>46</v>
      </c>
      <c r="F820" t="s">
        <v>35</v>
      </c>
      <c r="G820">
        <v>3.46</v>
      </c>
      <c r="H820" t="s">
        <v>28</v>
      </c>
      <c r="I820" t="s">
        <v>16</v>
      </c>
      <c r="J820" t="s">
        <v>24</v>
      </c>
      <c r="K820" t="s">
        <v>32</v>
      </c>
      <c r="L820">
        <v>4</v>
      </c>
      <c r="M820" t="s">
        <v>39</v>
      </c>
      <c r="N820">
        <v>5</v>
      </c>
    </row>
    <row r="821" spans="1:14" x14ac:dyDescent="0.35">
      <c r="A821" s="5">
        <v>45654.737500000003</v>
      </c>
      <c r="B821" s="1" t="str">
        <f>TEXT(Coffee_Sales_Dataset[[#This Row],[Date]],"ddd")</f>
        <v>Sat</v>
      </c>
      <c r="C821">
        <f>HOUR(Coffee_Sales_Dataset[[#This Row],[Date]])</f>
        <v>17</v>
      </c>
      <c r="D821" t="s">
        <v>41</v>
      </c>
      <c r="E821" t="s">
        <v>38</v>
      </c>
      <c r="F821" t="s">
        <v>22</v>
      </c>
      <c r="G821">
        <v>4.1500000000000004</v>
      </c>
      <c r="H821" t="s">
        <v>28</v>
      </c>
      <c r="I821" t="s">
        <v>23</v>
      </c>
      <c r="J821" t="s">
        <v>17</v>
      </c>
      <c r="K821" t="s">
        <v>40</v>
      </c>
      <c r="L821">
        <v>6</v>
      </c>
      <c r="M821" t="s">
        <v>37</v>
      </c>
      <c r="N821">
        <v>5</v>
      </c>
    </row>
    <row r="822" spans="1:14" x14ac:dyDescent="0.35">
      <c r="A822" s="5">
        <v>45653.558333333334</v>
      </c>
      <c r="B822" s="1" t="str">
        <f>TEXT(Coffee_Sales_Dataset[[#This Row],[Date]],"ddd")</f>
        <v>Fri</v>
      </c>
      <c r="C822">
        <f>HOUR(Coffee_Sales_Dataset[[#This Row],[Date]])</f>
        <v>13</v>
      </c>
      <c r="D822" t="s">
        <v>12</v>
      </c>
      <c r="E822" t="s">
        <v>13</v>
      </c>
      <c r="F822" t="s">
        <v>35</v>
      </c>
      <c r="G822">
        <v>4.74</v>
      </c>
      <c r="H822" t="s">
        <v>30</v>
      </c>
      <c r="I822" t="s">
        <v>23</v>
      </c>
      <c r="J822" t="s">
        <v>31</v>
      </c>
      <c r="K822" t="s">
        <v>40</v>
      </c>
      <c r="L822">
        <v>2</v>
      </c>
      <c r="M822" t="s">
        <v>19</v>
      </c>
      <c r="N822">
        <v>3</v>
      </c>
    </row>
    <row r="823" spans="1:14" x14ac:dyDescent="0.35">
      <c r="A823" s="5">
        <v>45655.598611111112</v>
      </c>
      <c r="B823" s="1" t="str">
        <f>TEXT(Coffee_Sales_Dataset[[#This Row],[Date]],"ddd")</f>
        <v>Sun</v>
      </c>
      <c r="C823">
        <f>HOUR(Coffee_Sales_Dataset[[#This Row],[Date]])</f>
        <v>14</v>
      </c>
      <c r="D823" t="s">
        <v>43</v>
      </c>
      <c r="E823" t="s">
        <v>13</v>
      </c>
      <c r="F823" t="s">
        <v>22</v>
      </c>
      <c r="G823">
        <v>5.9</v>
      </c>
      <c r="H823" t="s">
        <v>15</v>
      </c>
      <c r="I823" t="s">
        <v>23</v>
      </c>
      <c r="J823" t="s">
        <v>42</v>
      </c>
      <c r="K823" t="s">
        <v>32</v>
      </c>
      <c r="L823">
        <v>3</v>
      </c>
      <c r="M823" t="s">
        <v>36</v>
      </c>
      <c r="N823">
        <v>4</v>
      </c>
    </row>
    <row r="824" spans="1:14" x14ac:dyDescent="0.35">
      <c r="A824" s="5">
        <v>45643.522222222222</v>
      </c>
      <c r="B824" s="1" t="str">
        <f>TEXT(Coffee_Sales_Dataset[[#This Row],[Date]],"ddd")</f>
        <v>Tue</v>
      </c>
      <c r="C824">
        <f>HOUR(Coffee_Sales_Dataset[[#This Row],[Date]])</f>
        <v>12</v>
      </c>
      <c r="D824" t="s">
        <v>20</v>
      </c>
      <c r="E824" t="s">
        <v>34</v>
      </c>
      <c r="F824" t="s">
        <v>22</v>
      </c>
      <c r="G824">
        <v>5.65</v>
      </c>
      <c r="H824" t="s">
        <v>15</v>
      </c>
      <c r="I824" t="s">
        <v>16</v>
      </c>
      <c r="J824" t="s">
        <v>17</v>
      </c>
      <c r="K824" t="s">
        <v>18</v>
      </c>
      <c r="L824">
        <v>8</v>
      </c>
      <c r="M824" t="s">
        <v>19</v>
      </c>
      <c r="N824">
        <v>1</v>
      </c>
    </row>
    <row r="825" spans="1:14" x14ac:dyDescent="0.35">
      <c r="A825" s="5">
        <v>45649.361111111109</v>
      </c>
      <c r="B825" s="1" t="str">
        <f>TEXT(Coffee_Sales_Dataset[[#This Row],[Date]],"ddd")</f>
        <v>Mon</v>
      </c>
      <c r="C825">
        <f>HOUR(Coffee_Sales_Dataset[[#This Row],[Date]])</f>
        <v>8</v>
      </c>
      <c r="D825" t="s">
        <v>12</v>
      </c>
      <c r="E825" t="s">
        <v>13</v>
      </c>
      <c r="F825" t="s">
        <v>22</v>
      </c>
      <c r="G825">
        <v>3.83</v>
      </c>
      <c r="H825" t="s">
        <v>15</v>
      </c>
      <c r="I825" t="s">
        <v>16</v>
      </c>
      <c r="J825" t="s">
        <v>31</v>
      </c>
      <c r="K825" t="s">
        <v>32</v>
      </c>
      <c r="L825">
        <v>2</v>
      </c>
      <c r="M825" t="s">
        <v>33</v>
      </c>
      <c r="N825">
        <v>5</v>
      </c>
    </row>
    <row r="826" spans="1:14" x14ac:dyDescent="0.35">
      <c r="A826" s="5">
        <v>45653.674305555556</v>
      </c>
      <c r="B826" s="1" t="str">
        <f>TEXT(Coffee_Sales_Dataset[[#This Row],[Date]],"ddd")</f>
        <v>Fri</v>
      </c>
      <c r="C826">
        <f>HOUR(Coffee_Sales_Dataset[[#This Row],[Date]])</f>
        <v>16</v>
      </c>
      <c r="D826" t="s">
        <v>20</v>
      </c>
      <c r="E826" t="s">
        <v>13</v>
      </c>
      <c r="F826" t="s">
        <v>14</v>
      </c>
      <c r="G826">
        <v>4.07</v>
      </c>
      <c r="H826" t="s">
        <v>30</v>
      </c>
      <c r="I826" t="s">
        <v>23</v>
      </c>
      <c r="J826" t="s">
        <v>42</v>
      </c>
      <c r="K826" t="s">
        <v>32</v>
      </c>
      <c r="L826">
        <v>10</v>
      </c>
      <c r="M826" t="s">
        <v>39</v>
      </c>
      <c r="N826">
        <v>5</v>
      </c>
    </row>
    <row r="827" spans="1:14" x14ac:dyDescent="0.35">
      <c r="A827" s="5">
        <v>45655.344444444447</v>
      </c>
      <c r="B827" s="1" t="str">
        <f>TEXT(Coffee_Sales_Dataset[[#This Row],[Date]],"ddd")</f>
        <v>Sun</v>
      </c>
      <c r="C827">
        <f>HOUR(Coffee_Sales_Dataset[[#This Row],[Date]])</f>
        <v>8</v>
      </c>
      <c r="D827" t="s">
        <v>43</v>
      </c>
      <c r="E827" t="s">
        <v>21</v>
      </c>
      <c r="F827" t="s">
        <v>35</v>
      </c>
      <c r="G827">
        <v>3.71</v>
      </c>
      <c r="H827" t="s">
        <v>15</v>
      </c>
      <c r="I827" t="s">
        <v>16</v>
      </c>
      <c r="J827" t="s">
        <v>17</v>
      </c>
      <c r="K827" t="s">
        <v>18</v>
      </c>
      <c r="L827">
        <v>5</v>
      </c>
      <c r="M827" t="s">
        <v>25</v>
      </c>
      <c r="N827">
        <v>2</v>
      </c>
    </row>
    <row r="828" spans="1:14" x14ac:dyDescent="0.35">
      <c r="A828" s="5">
        <v>45649.392361111109</v>
      </c>
      <c r="B828" s="1" t="str">
        <f>TEXT(Coffee_Sales_Dataset[[#This Row],[Date]],"ddd")</f>
        <v>Mon</v>
      </c>
      <c r="C828">
        <f>HOUR(Coffee_Sales_Dataset[[#This Row],[Date]])</f>
        <v>9</v>
      </c>
      <c r="D828" t="s">
        <v>43</v>
      </c>
      <c r="E828" t="s">
        <v>27</v>
      </c>
      <c r="F828" t="s">
        <v>14</v>
      </c>
      <c r="G828">
        <v>5.69</v>
      </c>
      <c r="H828" t="s">
        <v>30</v>
      </c>
      <c r="I828" t="s">
        <v>16</v>
      </c>
      <c r="J828" t="s">
        <v>31</v>
      </c>
      <c r="K828" t="s">
        <v>18</v>
      </c>
      <c r="L828">
        <v>6</v>
      </c>
      <c r="M828" t="s">
        <v>19</v>
      </c>
      <c r="N828">
        <v>2</v>
      </c>
    </row>
    <row r="829" spans="1:14" x14ac:dyDescent="0.35">
      <c r="A829" s="5">
        <v>45649.518055555556</v>
      </c>
      <c r="B829" s="1" t="str">
        <f>TEXT(Coffee_Sales_Dataset[[#This Row],[Date]],"ddd")</f>
        <v>Mon</v>
      </c>
      <c r="C829">
        <f>HOUR(Coffee_Sales_Dataset[[#This Row],[Date]])</f>
        <v>12</v>
      </c>
      <c r="D829" t="s">
        <v>43</v>
      </c>
      <c r="E829" t="s">
        <v>27</v>
      </c>
      <c r="F829" t="s">
        <v>14</v>
      </c>
      <c r="G829">
        <v>3.97</v>
      </c>
      <c r="H829" t="s">
        <v>15</v>
      </c>
      <c r="I829" t="s">
        <v>23</v>
      </c>
      <c r="J829" t="s">
        <v>24</v>
      </c>
      <c r="K829" t="s">
        <v>18</v>
      </c>
      <c r="L829">
        <v>10</v>
      </c>
      <c r="M829" t="s">
        <v>25</v>
      </c>
      <c r="N829">
        <v>2</v>
      </c>
    </row>
    <row r="830" spans="1:14" x14ac:dyDescent="0.35">
      <c r="A830" s="5">
        <v>45642.503472222219</v>
      </c>
      <c r="B830" s="1" t="str">
        <f>TEXT(Coffee_Sales_Dataset[[#This Row],[Date]],"ddd")</f>
        <v>Mon</v>
      </c>
      <c r="C830">
        <f>HOUR(Coffee_Sales_Dataset[[#This Row],[Date]])</f>
        <v>12</v>
      </c>
      <c r="D830" t="s">
        <v>12</v>
      </c>
      <c r="E830" t="s">
        <v>21</v>
      </c>
      <c r="F830" t="s">
        <v>14</v>
      </c>
      <c r="G830">
        <v>6.29</v>
      </c>
      <c r="H830" t="s">
        <v>15</v>
      </c>
      <c r="I830" t="s">
        <v>16</v>
      </c>
      <c r="J830" t="s">
        <v>17</v>
      </c>
      <c r="K830" t="s">
        <v>32</v>
      </c>
      <c r="L830">
        <v>7</v>
      </c>
      <c r="M830" t="s">
        <v>33</v>
      </c>
      <c r="N830">
        <v>3</v>
      </c>
    </row>
    <row r="831" spans="1:14" x14ac:dyDescent="0.35">
      <c r="A831" s="5">
        <v>45654.34097222222</v>
      </c>
      <c r="B831" s="1" t="str">
        <f>TEXT(Coffee_Sales_Dataset[[#This Row],[Date]],"ddd")</f>
        <v>Sat</v>
      </c>
      <c r="C831">
        <f>HOUR(Coffee_Sales_Dataset[[#This Row],[Date]])</f>
        <v>8</v>
      </c>
      <c r="D831" t="s">
        <v>12</v>
      </c>
      <c r="E831" t="s">
        <v>21</v>
      </c>
      <c r="F831" t="s">
        <v>14</v>
      </c>
      <c r="G831">
        <v>5.88</v>
      </c>
      <c r="H831" t="s">
        <v>15</v>
      </c>
      <c r="I831" t="s">
        <v>16</v>
      </c>
      <c r="J831" t="s">
        <v>31</v>
      </c>
      <c r="K831" t="s">
        <v>18</v>
      </c>
      <c r="L831">
        <v>4</v>
      </c>
      <c r="M831" t="s">
        <v>47</v>
      </c>
      <c r="N831">
        <v>2</v>
      </c>
    </row>
    <row r="832" spans="1:14" x14ac:dyDescent="0.35">
      <c r="A832" s="5">
        <v>45656.362500000003</v>
      </c>
      <c r="B832" s="1" t="str">
        <f>TEXT(Coffee_Sales_Dataset[[#This Row],[Date]],"ddd")</f>
        <v>Mon</v>
      </c>
      <c r="C832">
        <f>HOUR(Coffee_Sales_Dataset[[#This Row],[Date]])</f>
        <v>8</v>
      </c>
      <c r="D832" t="s">
        <v>26</v>
      </c>
      <c r="E832" t="s">
        <v>46</v>
      </c>
      <c r="F832" t="s">
        <v>22</v>
      </c>
      <c r="G832">
        <v>4.2300000000000004</v>
      </c>
      <c r="H832" t="s">
        <v>15</v>
      </c>
      <c r="I832" t="s">
        <v>16</v>
      </c>
      <c r="J832" t="s">
        <v>31</v>
      </c>
      <c r="K832" t="s">
        <v>18</v>
      </c>
      <c r="L832">
        <v>10</v>
      </c>
      <c r="M832" t="s">
        <v>37</v>
      </c>
      <c r="N832">
        <v>1</v>
      </c>
    </row>
    <row r="833" spans="1:14" x14ac:dyDescent="0.35">
      <c r="A833" s="5">
        <v>45653.390972222223</v>
      </c>
      <c r="B833" s="1" t="str">
        <f>TEXT(Coffee_Sales_Dataset[[#This Row],[Date]],"ddd")</f>
        <v>Fri</v>
      </c>
      <c r="C833">
        <f>HOUR(Coffee_Sales_Dataset[[#This Row],[Date]])</f>
        <v>9</v>
      </c>
      <c r="D833" t="s">
        <v>20</v>
      </c>
      <c r="E833" t="s">
        <v>38</v>
      </c>
      <c r="F833" t="s">
        <v>35</v>
      </c>
      <c r="G833">
        <v>5</v>
      </c>
      <c r="H833" t="s">
        <v>30</v>
      </c>
      <c r="I833" t="s">
        <v>16</v>
      </c>
      <c r="J833" t="s">
        <v>24</v>
      </c>
      <c r="K833" t="s">
        <v>18</v>
      </c>
      <c r="L833">
        <v>4</v>
      </c>
      <c r="M833" t="s">
        <v>25</v>
      </c>
      <c r="N833">
        <v>5</v>
      </c>
    </row>
    <row r="834" spans="1:14" x14ac:dyDescent="0.35">
      <c r="A834" s="5">
        <v>45654.363194444442</v>
      </c>
      <c r="B834" s="1" t="str">
        <f>TEXT(Coffee_Sales_Dataset[[#This Row],[Date]],"ddd")</f>
        <v>Sat</v>
      </c>
      <c r="C834">
        <f>HOUR(Coffee_Sales_Dataset[[#This Row],[Date]])</f>
        <v>8</v>
      </c>
      <c r="D834" t="s">
        <v>43</v>
      </c>
      <c r="E834" t="s">
        <v>13</v>
      </c>
      <c r="F834" t="s">
        <v>22</v>
      </c>
      <c r="G834">
        <v>5.75</v>
      </c>
      <c r="H834" t="s">
        <v>30</v>
      </c>
      <c r="I834" t="s">
        <v>16</v>
      </c>
      <c r="J834" t="s">
        <v>17</v>
      </c>
      <c r="K834" t="s">
        <v>40</v>
      </c>
      <c r="L834">
        <v>5</v>
      </c>
      <c r="M834" t="s">
        <v>36</v>
      </c>
      <c r="N834">
        <v>3</v>
      </c>
    </row>
    <row r="835" spans="1:14" x14ac:dyDescent="0.35">
      <c r="A835" s="5">
        <v>45644.677777777775</v>
      </c>
      <c r="B835" s="1" t="str">
        <f>TEXT(Coffee_Sales_Dataset[[#This Row],[Date]],"ddd")</f>
        <v>Wed</v>
      </c>
      <c r="C835">
        <f>HOUR(Coffee_Sales_Dataset[[#This Row],[Date]])</f>
        <v>16</v>
      </c>
      <c r="D835" t="s">
        <v>41</v>
      </c>
      <c r="E835" t="s">
        <v>34</v>
      </c>
      <c r="F835" t="s">
        <v>35</v>
      </c>
      <c r="G835">
        <v>3.49</v>
      </c>
      <c r="H835" t="s">
        <v>28</v>
      </c>
      <c r="I835" t="s">
        <v>23</v>
      </c>
      <c r="J835" t="s">
        <v>17</v>
      </c>
      <c r="K835" t="s">
        <v>40</v>
      </c>
      <c r="L835">
        <v>3</v>
      </c>
      <c r="M835" t="s">
        <v>39</v>
      </c>
      <c r="N835">
        <v>5</v>
      </c>
    </row>
    <row r="836" spans="1:14" x14ac:dyDescent="0.35">
      <c r="A836" s="5">
        <v>45648.656944444447</v>
      </c>
      <c r="B836" s="1" t="str">
        <f>TEXT(Coffee_Sales_Dataset[[#This Row],[Date]],"ddd")</f>
        <v>Sun</v>
      </c>
      <c r="C836">
        <f>HOUR(Coffee_Sales_Dataset[[#This Row],[Date]])</f>
        <v>15</v>
      </c>
      <c r="D836" t="s">
        <v>26</v>
      </c>
      <c r="E836" t="s">
        <v>38</v>
      </c>
      <c r="F836" t="s">
        <v>14</v>
      </c>
      <c r="G836">
        <v>5.43</v>
      </c>
      <c r="H836" t="s">
        <v>30</v>
      </c>
      <c r="I836" t="s">
        <v>23</v>
      </c>
      <c r="J836" t="s">
        <v>31</v>
      </c>
      <c r="K836" t="s">
        <v>40</v>
      </c>
      <c r="L836">
        <v>5</v>
      </c>
      <c r="M836" t="s">
        <v>25</v>
      </c>
      <c r="N836">
        <v>2</v>
      </c>
    </row>
    <row r="837" spans="1:14" x14ac:dyDescent="0.35">
      <c r="A837" s="5">
        <v>45643.551388888889</v>
      </c>
      <c r="B837" s="1" t="str">
        <f>TEXT(Coffee_Sales_Dataset[[#This Row],[Date]],"ddd")</f>
        <v>Tue</v>
      </c>
      <c r="C837">
        <f>HOUR(Coffee_Sales_Dataset[[#This Row],[Date]])</f>
        <v>13</v>
      </c>
      <c r="D837" t="s">
        <v>26</v>
      </c>
      <c r="E837" t="s">
        <v>46</v>
      </c>
      <c r="F837" t="s">
        <v>14</v>
      </c>
      <c r="G837">
        <v>5.89</v>
      </c>
      <c r="H837" t="s">
        <v>30</v>
      </c>
      <c r="I837" t="s">
        <v>16</v>
      </c>
      <c r="J837" t="s">
        <v>24</v>
      </c>
      <c r="K837" t="s">
        <v>32</v>
      </c>
      <c r="L837">
        <v>3</v>
      </c>
      <c r="M837" t="s">
        <v>25</v>
      </c>
      <c r="N837">
        <v>5</v>
      </c>
    </row>
    <row r="838" spans="1:14" x14ac:dyDescent="0.35">
      <c r="A838" s="5">
        <v>45654.698611111111</v>
      </c>
      <c r="B838" s="1" t="str">
        <f>TEXT(Coffee_Sales_Dataset[[#This Row],[Date]],"ddd")</f>
        <v>Sat</v>
      </c>
      <c r="C838">
        <f>HOUR(Coffee_Sales_Dataset[[#This Row],[Date]])</f>
        <v>16</v>
      </c>
      <c r="D838" t="s">
        <v>41</v>
      </c>
      <c r="E838" t="s">
        <v>13</v>
      </c>
      <c r="F838" t="s">
        <v>14</v>
      </c>
      <c r="G838">
        <v>6.65</v>
      </c>
      <c r="H838" t="s">
        <v>30</v>
      </c>
      <c r="I838" t="s">
        <v>23</v>
      </c>
      <c r="J838" t="s">
        <v>29</v>
      </c>
      <c r="K838" t="s">
        <v>18</v>
      </c>
      <c r="L838">
        <v>3</v>
      </c>
      <c r="M838" t="s">
        <v>47</v>
      </c>
      <c r="N838">
        <v>4</v>
      </c>
    </row>
    <row r="839" spans="1:14" x14ac:dyDescent="0.35">
      <c r="A839" s="5">
        <v>45642.453472222223</v>
      </c>
      <c r="B839" s="1" t="str">
        <f>TEXT(Coffee_Sales_Dataset[[#This Row],[Date]],"ddd")</f>
        <v>Mon</v>
      </c>
      <c r="C839">
        <f>HOUR(Coffee_Sales_Dataset[[#This Row],[Date]])</f>
        <v>10</v>
      </c>
      <c r="D839" t="s">
        <v>41</v>
      </c>
      <c r="E839" t="s">
        <v>38</v>
      </c>
      <c r="F839" t="s">
        <v>14</v>
      </c>
      <c r="G839">
        <v>3.98</v>
      </c>
      <c r="H839" t="s">
        <v>15</v>
      </c>
      <c r="I839" t="s">
        <v>16</v>
      </c>
      <c r="J839" t="s">
        <v>42</v>
      </c>
      <c r="K839" t="s">
        <v>18</v>
      </c>
      <c r="L839">
        <v>9</v>
      </c>
      <c r="M839" t="s">
        <v>47</v>
      </c>
      <c r="N839">
        <v>3</v>
      </c>
    </row>
    <row r="840" spans="1:14" x14ac:dyDescent="0.35">
      <c r="A840" s="5">
        <v>45654.713194444441</v>
      </c>
      <c r="B840" s="1" t="str">
        <f>TEXT(Coffee_Sales_Dataset[[#This Row],[Date]],"ddd")</f>
        <v>Sat</v>
      </c>
      <c r="C840">
        <f>HOUR(Coffee_Sales_Dataset[[#This Row],[Date]])</f>
        <v>17</v>
      </c>
      <c r="D840" t="s">
        <v>12</v>
      </c>
      <c r="E840" t="s">
        <v>13</v>
      </c>
      <c r="F840" t="s">
        <v>35</v>
      </c>
      <c r="G840">
        <v>5.72</v>
      </c>
      <c r="H840" t="s">
        <v>15</v>
      </c>
      <c r="I840" t="s">
        <v>16</v>
      </c>
      <c r="J840" t="s">
        <v>31</v>
      </c>
      <c r="K840" t="s">
        <v>32</v>
      </c>
      <c r="L840">
        <v>4</v>
      </c>
      <c r="M840" t="s">
        <v>39</v>
      </c>
      <c r="N840">
        <v>1</v>
      </c>
    </row>
    <row r="841" spans="1:14" x14ac:dyDescent="0.35">
      <c r="A841" s="5">
        <v>45645.410416666666</v>
      </c>
      <c r="B841" s="1" t="str">
        <f>TEXT(Coffee_Sales_Dataset[[#This Row],[Date]],"ddd")</f>
        <v>Thu</v>
      </c>
      <c r="C841">
        <f>HOUR(Coffee_Sales_Dataset[[#This Row],[Date]])</f>
        <v>9</v>
      </c>
      <c r="D841" t="s">
        <v>26</v>
      </c>
      <c r="E841" t="s">
        <v>21</v>
      </c>
      <c r="F841" t="s">
        <v>35</v>
      </c>
      <c r="G841">
        <v>5.56</v>
      </c>
      <c r="H841" t="s">
        <v>28</v>
      </c>
      <c r="I841" t="s">
        <v>16</v>
      </c>
      <c r="J841" t="s">
        <v>29</v>
      </c>
      <c r="K841" t="s">
        <v>18</v>
      </c>
      <c r="L841">
        <v>6</v>
      </c>
      <c r="M841" t="s">
        <v>36</v>
      </c>
      <c r="N841">
        <v>2</v>
      </c>
    </row>
    <row r="842" spans="1:14" x14ac:dyDescent="0.35">
      <c r="A842" s="5">
        <v>45647.63958333333</v>
      </c>
      <c r="B842" s="1" t="str">
        <f>TEXT(Coffee_Sales_Dataset[[#This Row],[Date]],"ddd")</f>
        <v>Sat</v>
      </c>
      <c r="C842">
        <f>HOUR(Coffee_Sales_Dataset[[#This Row],[Date]])</f>
        <v>15</v>
      </c>
      <c r="D842" t="s">
        <v>26</v>
      </c>
      <c r="E842" t="s">
        <v>38</v>
      </c>
      <c r="F842" t="s">
        <v>14</v>
      </c>
      <c r="G842">
        <v>6.03</v>
      </c>
      <c r="H842" t="s">
        <v>15</v>
      </c>
      <c r="I842" t="s">
        <v>23</v>
      </c>
      <c r="J842" t="s">
        <v>17</v>
      </c>
      <c r="K842" t="s">
        <v>18</v>
      </c>
      <c r="L842">
        <v>4</v>
      </c>
      <c r="M842" t="s">
        <v>36</v>
      </c>
      <c r="N842">
        <v>5</v>
      </c>
    </row>
    <row r="843" spans="1:14" x14ac:dyDescent="0.35">
      <c r="A843" s="5">
        <v>45650.419444444444</v>
      </c>
      <c r="B843" s="1" t="str">
        <f>TEXT(Coffee_Sales_Dataset[[#This Row],[Date]],"ddd")</f>
        <v>Tue</v>
      </c>
      <c r="C843">
        <f>HOUR(Coffee_Sales_Dataset[[#This Row],[Date]])</f>
        <v>10</v>
      </c>
      <c r="D843" t="s">
        <v>20</v>
      </c>
      <c r="E843" t="s">
        <v>46</v>
      </c>
      <c r="F843" t="s">
        <v>22</v>
      </c>
      <c r="G843">
        <v>4.34</v>
      </c>
      <c r="H843" t="s">
        <v>15</v>
      </c>
      <c r="I843" t="s">
        <v>23</v>
      </c>
      <c r="J843" t="s">
        <v>29</v>
      </c>
      <c r="K843" t="s">
        <v>32</v>
      </c>
      <c r="L843">
        <v>2</v>
      </c>
      <c r="M843" t="s">
        <v>19</v>
      </c>
      <c r="N843">
        <v>3</v>
      </c>
    </row>
    <row r="844" spans="1:14" x14ac:dyDescent="0.35">
      <c r="A844" s="5">
        <v>45643.68472222222</v>
      </c>
      <c r="B844" s="1" t="str">
        <f>TEXT(Coffee_Sales_Dataset[[#This Row],[Date]],"ddd")</f>
        <v>Tue</v>
      </c>
      <c r="C844">
        <f>HOUR(Coffee_Sales_Dataset[[#This Row],[Date]])</f>
        <v>16</v>
      </c>
      <c r="D844" t="s">
        <v>26</v>
      </c>
      <c r="E844" t="s">
        <v>21</v>
      </c>
      <c r="F844" t="s">
        <v>22</v>
      </c>
      <c r="G844">
        <v>5.52</v>
      </c>
      <c r="H844" t="s">
        <v>15</v>
      </c>
      <c r="I844" t="s">
        <v>23</v>
      </c>
      <c r="J844" t="s">
        <v>42</v>
      </c>
      <c r="K844" t="s">
        <v>32</v>
      </c>
      <c r="L844">
        <v>8</v>
      </c>
      <c r="M844" t="s">
        <v>25</v>
      </c>
      <c r="N844">
        <v>1</v>
      </c>
    </row>
    <row r="845" spans="1:14" x14ac:dyDescent="0.35">
      <c r="A845" s="5">
        <v>45649.379861111112</v>
      </c>
      <c r="B845" s="1" t="str">
        <f>TEXT(Coffee_Sales_Dataset[[#This Row],[Date]],"ddd")</f>
        <v>Mon</v>
      </c>
      <c r="C845">
        <f>HOUR(Coffee_Sales_Dataset[[#This Row],[Date]])</f>
        <v>9</v>
      </c>
      <c r="D845" t="s">
        <v>20</v>
      </c>
      <c r="E845" t="s">
        <v>46</v>
      </c>
      <c r="F845" t="s">
        <v>14</v>
      </c>
      <c r="G845">
        <v>6.76</v>
      </c>
      <c r="H845" t="s">
        <v>30</v>
      </c>
      <c r="I845" t="s">
        <v>23</v>
      </c>
      <c r="J845" t="s">
        <v>31</v>
      </c>
      <c r="K845" t="s">
        <v>40</v>
      </c>
      <c r="L845">
        <v>7</v>
      </c>
      <c r="M845" t="s">
        <v>25</v>
      </c>
      <c r="N845">
        <v>4</v>
      </c>
    </row>
    <row r="846" spans="1:14" x14ac:dyDescent="0.35">
      <c r="A846" s="5">
        <v>45655.411111111112</v>
      </c>
      <c r="B846" s="1" t="str">
        <f>TEXT(Coffee_Sales_Dataset[[#This Row],[Date]],"ddd")</f>
        <v>Sun</v>
      </c>
      <c r="C846">
        <f>HOUR(Coffee_Sales_Dataset[[#This Row],[Date]])</f>
        <v>9</v>
      </c>
      <c r="D846" t="s">
        <v>26</v>
      </c>
      <c r="E846" t="s">
        <v>46</v>
      </c>
      <c r="F846" t="s">
        <v>14</v>
      </c>
      <c r="G846">
        <v>5.74</v>
      </c>
      <c r="H846" t="s">
        <v>30</v>
      </c>
      <c r="I846" t="s">
        <v>16</v>
      </c>
      <c r="J846" t="s">
        <v>45</v>
      </c>
      <c r="K846" t="s">
        <v>40</v>
      </c>
      <c r="L846">
        <v>3</v>
      </c>
      <c r="M846" t="s">
        <v>36</v>
      </c>
      <c r="N846">
        <v>2</v>
      </c>
    </row>
    <row r="847" spans="1:14" x14ac:dyDescent="0.35">
      <c r="A847" s="5">
        <v>45645.556944444441</v>
      </c>
      <c r="B847" s="1" t="str">
        <f>TEXT(Coffee_Sales_Dataset[[#This Row],[Date]],"ddd")</f>
        <v>Thu</v>
      </c>
      <c r="C847">
        <f>HOUR(Coffee_Sales_Dataset[[#This Row],[Date]])</f>
        <v>13</v>
      </c>
      <c r="D847" t="s">
        <v>26</v>
      </c>
      <c r="E847" t="s">
        <v>21</v>
      </c>
      <c r="F847" t="s">
        <v>22</v>
      </c>
      <c r="G847">
        <v>5.04</v>
      </c>
      <c r="H847" t="s">
        <v>30</v>
      </c>
      <c r="I847" t="s">
        <v>16</v>
      </c>
      <c r="J847" t="s">
        <v>31</v>
      </c>
      <c r="K847" t="s">
        <v>40</v>
      </c>
      <c r="L847">
        <v>9</v>
      </c>
      <c r="M847" t="s">
        <v>19</v>
      </c>
      <c r="N847">
        <v>4</v>
      </c>
    </row>
    <row r="848" spans="1:14" x14ac:dyDescent="0.35">
      <c r="A848" s="5">
        <v>45647.695138888892</v>
      </c>
      <c r="B848" s="1" t="str">
        <f>TEXT(Coffee_Sales_Dataset[[#This Row],[Date]],"ddd")</f>
        <v>Sat</v>
      </c>
      <c r="C848">
        <f>HOUR(Coffee_Sales_Dataset[[#This Row],[Date]])</f>
        <v>16</v>
      </c>
      <c r="D848" t="s">
        <v>20</v>
      </c>
      <c r="E848" t="s">
        <v>38</v>
      </c>
      <c r="F848" t="s">
        <v>14</v>
      </c>
      <c r="G848">
        <v>6.94</v>
      </c>
      <c r="H848" t="s">
        <v>15</v>
      </c>
      <c r="I848" t="s">
        <v>16</v>
      </c>
      <c r="J848" t="s">
        <v>45</v>
      </c>
      <c r="K848" t="s">
        <v>40</v>
      </c>
      <c r="L848">
        <v>3</v>
      </c>
      <c r="M848" t="s">
        <v>36</v>
      </c>
      <c r="N848">
        <v>3</v>
      </c>
    </row>
    <row r="849" spans="1:14" x14ac:dyDescent="0.35">
      <c r="A849" s="5">
        <v>45655.368055555555</v>
      </c>
      <c r="B849" s="1" t="str">
        <f>TEXT(Coffee_Sales_Dataset[[#This Row],[Date]],"ddd")</f>
        <v>Sun</v>
      </c>
      <c r="C849">
        <f>HOUR(Coffee_Sales_Dataset[[#This Row],[Date]])</f>
        <v>8</v>
      </c>
      <c r="D849" t="s">
        <v>41</v>
      </c>
      <c r="E849" t="s">
        <v>46</v>
      </c>
      <c r="F849" t="s">
        <v>14</v>
      </c>
      <c r="G849">
        <v>4.37</v>
      </c>
      <c r="H849" t="s">
        <v>30</v>
      </c>
      <c r="I849" t="s">
        <v>16</v>
      </c>
      <c r="J849" t="s">
        <v>45</v>
      </c>
      <c r="K849" t="s">
        <v>18</v>
      </c>
      <c r="L849">
        <v>10</v>
      </c>
      <c r="M849" t="s">
        <v>36</v>
      </c>
      <c r="N849">
        <v>4</v>
      </c>
    </row>
    <row r="850" spans="1:14" x14ac:dyDescent="0.35">
      <c r="A850" s="5">
        <v>45641.486805555556</v>
      </c>
      <c r="B850" s="1" t="str">
        <f>TEXT(Coffee_Sales_Dataset[[#This Row],[Date]],"ddd")</f>
        <v>Sun</v>
      </c>
      <c r="C850">
        <f>HOUR(Coffee_Sales_Dataset[[#This Row],[Date]])</f>
        <v>11</v>
      </c>
      <c r="D850" t="s">
        <v>43</v>
      </c>
      <c r="E850" t="s">
        <v>38</v>
      </c>
      <c r="F850" t="s">
        <v>35</v>
      </c>
      <c r="G850">
        <v>3.5</v>
      </c>
      <c r="H850" t="s">
        <v>30</v>
      </c>
      <c r="I850" t="s">
        <v>16</v>
      </c>
      <c r="J850" t="s">
        <v>42</v>
      </c>
      <c r="K850" t="s">
        <v>18</v>
      </c>
      <c r="L850">
        <v>2</v>
      </c>
      <c r="M850" t="s">
        <v>37</v>
      </c>
      <c r="N850">
        <v>1</v>
      </c>
    </row>
    <row r="851" spans="1:14" x14ac:dyDescent="0.35">
      <c r="A851" s="5">
        <v>45649.734027777777</v>
      </c>
      <c r="B851" s="1" t="str">
        <f>TEXT(Coffee_Sales_Dataset[[#This Row],[Date]],"ddd")</f>
        <v>Mon</v>
      </c>
      <c r="C851">
        <f>HOUR(Coffee_Sales_Dataset[[#This Row],[Date]])</f>
        <v>17</v>
      </c>
      <c r="D851" t="s">
        <v>26</v>
      </c>
      <c r="E851" t="s">
        <v>21</v>
      </c>
      <c r="F851" t="s">
        <v>22</v>
      </c>
      <c r="G851">
        <v>4.1399999999999997</v>
      </c>
      <c r="H851" t="s">
        <v>30</v>
      </c>
      <c r="I851" t="s">
        <v>23</v>
      </c>
      <c r="J851" t="s">
        <v>45</v>
      </c>
      <c r="K851" t="s">
        <v>32</v>
      </c>
      <c r="L851">
        <v>6</v>
      </c>
      <c r="M851" t="s">
        <v>37</v>
      </c>
      <c r="N851">
        <v>2</v>
      </c>
    </row>
    <row r="852" spans="1:14" x14ac:dyDescent="0.35">
      <c r="A852" s="5">
        <v>45647.739583333336</v>
      </c>
      <c r="B852" s="1" t="str">
        <f>TEXT(Coffee_Sales_Dataset[[#This Row],[Date]],"ddd")</f>
        <v>Sat</v>
      </c>
      <c r="C852">
        <f>HOUR(Coffee_Sales_Dataset[[#This Row],[Date]])</f>
        <v>17</v>
      </c>
      <c r="D852" t="s">
        <v>41</v>
      </c>
      <c r="E852" t="s">
        <v>38</v>
      </c>
      <c r="F852" t="s">
        <v>35</v>
      </c>
      <c r="G852">
        <v>4.68</v>
      </c>
      <c r="H852" t="s">
        <v>28</v>
      </c>
      <c r="I852" t="s">
        <v>16</v>
      </c>
      <c r="J852" t="s">
        <v>45</v>
      </c>
      <c r="K852" t="s">
        <v>32</v>
      </c>
      <c r="L852">
        <v>10</v>
      </c>
      <c r="M852" t="s">
        <v>19</v>
      </c>
      <c r="N852">
        <v>5</v>
      </c>
    </row>
    <row r="853" spans="1:14" x14ac:dyDescent="0.35">
      <c r="A853" s="5">
        <v>45653.628472222219</v>
      </c>
      <c r="B853" s="1" t="str">
        <f>TEXT(Coffee_Sales_Dataset[[#This Row],[Date]],"ddd")</f>
        <v>Fri</v>
      </c>
      <c r="C853">
        <f>HOUR(Coffee_Sales_Dataset[[#This Row],[Date]])</f>
        <v>15</v>
      </c>
      <c r="D853" t="s">
        <v>41</v>
      </c>
      <c r="E853" t="s">
        <v>34</v>
      </c>
      <c r="F853" t="s">
        <v>14</v>
      </c>
      <c r="G853">
        <v>5.14</v>
      </c>
      <c r="H853" t="s">
        <v>15</v>
      </c>
      <c r="I853" t="s">
        <v>16</v>
      </c>
      <c r="J853" t="s">
        <v>45</v>
      </c>
      <c r="K853" t="s">
        <v>18</v>
      </c>
      <c r="L853">
        <v>5</v>
      </c>
      <c r="M853" t="s">
        <v>36</v>
      </c>
      <c r="N853">
        <v>3</v>
      </c>
    </row>
    <row r="854" spans="1:14" x14ac:dyDescent="0.35">
      <c r="A854" s="5">
        <v>45650.500694444447</v>
      </c>
      <c r="B854" s="1" t="str">
        <f>TEXT(Coffee_Sales_Dataset[[#This Row],[Date]],"ddd")</f>
        <v>Tue</v>
      </c>
      <c r="C854">
        <f>HOUR(Coffee_Sales_Dataset[[#This Row],[Date]])</f>
        <v>12</v>
      </c>
      <c r="D854" t="s">
        <v>41</v>
      </c>
      <c r="E854" t="s">
        <v>34</v>
      </c>
      <c r="F854" t="s">
        <v>35</v>
      </c>
      <c r="G854">
        <v>5.48</v>
      </c>
      <c r="H854" t="s">
        <v>30</v>
      </c>
      <c r="I854" t="s">
        <v>23</v>
      </c>
      <c r="J854" t="s">
        <v>17</v>
      </c>
      <c r="K854" t="s">
        <v>40</v>
      </c>
      <c r="L854">
        <v>4</v>
      </c>
      <c r="M854" t="s">
        <v>33</v>
      </c>
      <c r="N854">
        <v>2</v>
      </c>
    </row>
    <row r="855" spans="1:14" x14ac:dyDescent="0.35">
      <c r="A855" s="5">
        <v>45645.450694444444</v>
      </c>
      <c r="B855" s="1" t="str">
        <f>TEXT(Coffee_Sales_Dataset[[#This Row],[Date]],"ddd")</f>
        <v>Thu</v>
      </c>
      <c r="C855">
        <f>HOUR(Coffee_Sales_Dataset[[#This Row],[Date]])</f>
        <v>10</v>
      </c>
      <c r="D855" t="s">
        <v>12</v>
      </c>
      <c r="E855" t="s">
        <v>46</v>
      </c>
      <c r="F855" t="s">
        <v>35</v>
      </c>
      <c r="G855">
        <v>5.24</v>
      </c>
      <c r="H855" t="s">
        <v>30</v>
      </c>
      <c r="I855" t="s">
        <v>16</v>
      </c>
      <c r="J855" t="s">
        <v>31</v>
      </c>
      <c r="K855" t="s">
        <v>18</v>
      </c>
      <c r="L855">
        <v>2</v>
      </c>
      <c r="M855" t="s">
        <v>37</v>
      </c>
      <c r="N855">
        <v>4</v>
      </c>
    </row>
    <row r="856" spans="1:14" x14ac:dyDescent="0.35">
      <c r="A856" s="5">
        <v>45643.395138888889</v>
      </c>
      <c r="B856" s="1" t="str">
        <f>TEXT(Coffee_Sales_Dataset[[#This Row],[Date]],"ddd")</f>
        <v>Tue</v>
      </c>
      <c r="C856">
        <f>HOUR(Coffee_Sales_Dataset[[#This Row],[Date]])</f>
        <v>9</v>
      </c>
      <c r="D856" t="s">
        <v>12</v>
      </c>
      <c r="E856" t="s">
        <v>13</v>
      </c>
      <c r="F856" t="s">
        <v>35</v>
      </c>
      <c r="G856">
        <v>4.7699999999999996</v>
      </c>
      <c r="H856" t="s">
        <v>28</v>
      </c>
      <c r="I856" t="s">
        <v>23</v>
      </c>
      <c r="J856" t="s">
        <v>24</v>
      </c>
      <c r="K856" t="s">
        <v>18</v>
      </c>
      <c r="L856">
        <v>5</v>
      </c>
      <c r="M856" t="s">
        <v>37</v>
      </c>
      <c r="N856">
        <v>5</v>
      </c>
    </row>
    <row r="857" spans="1:14" x14ac:dyDescent="0.35">
      <c r="A857" s="5">
        <v>45644.748611111114</v>
      </c>
      <c r="B857" s="1" t="str">
        <f>TEXT(Coffee_Sales_Dataset[[#This Row],[Date]],"ddd")</f>
        <v>Wed</v>
      </c>
      <c r="C857">
        <f>HOUR(Coffee_Sales_Dataset[[#This Row],[Date]])</f>
        <v>17</v>
      </c>
      <c r="D857" t="s">
        <v>43</v>
      </c>
      <c r="E857" t="s">
        <v>44</v>
      </c>
      <c r="F857" t="s">
        <v>14</v>
      </c>
      <c r="G857">
        <v>6.59</v>
      </c>
      <c r="H857" t="s">
        <v>28</v>
      </c>
      <c r="I857" t="s">
        <v>23</v>
      </c>
      <c r="J857" t="s">
        <v>45</v>
      </c>
      <c r="K857" t="s">
        <v>18</v>
      </c>
      <c r="L857">
        <v>2</v>
      </c>
      <c r="M857" t="s">
        <v>33</v>
      </c>
      <c r="N857">
        <v>3</v>
      </c>
    </row>
    <row r="858" spans="1:14" x14ac:dyDescent="0.35">
      <c r="A858" s="5">
        <v>45654.55972222222</v>
      </c>
      <c r="B858" s="1" t="str">
        <f>TEXT(Coffee_Sales_Dataset[[#This Row],[Date]],"ddd")</f>
        <v>Sat</v>
      </c>
      <c r="C858">
        <f>HOUR(Coffee_Sales_Dataset[[#This Row],[Date]])</f>
        <v>13</v>
      </c>
      <c r="D858" t="s">
        <v>26</v>
      </c>
      <c r="E858" t="s">
        <v>27</v>
      </c>
      <c r="F858" t="s">
        <v>35</v>
      </c>
      <c r="G858">
        <v>5.27</v>
      </c>
      <c r="H858" t="s">
        <v>15</v>
      </c>
      <c r="I858" t="s">
        <v>16</v>
      </c>
      <c r="J858" t="s">
        <v>29</v>
      </c>
      <c r="K858" t="s">
        <v>18</v>
      </c>
      <c r="L858">
        <v>4</v>
      </c>
      <c r="M858" t="s">
        <v>25</v>
      </c>
      <c r="N858">
        <v>5</v>
      </c>
    </row>
    <row r="859" spans="1:14" x14ac:dyDescent="0.35">
      <c r="A859" s="5">
        <v>45653.696527777778</v>
      </c>
      <c r="B859" s="1" t="str">
        <f>TEXT(Coffee_Sales_Dataset[[#This Row],[Date]],"ddd")</f>
        <v>Fri</v>
      </c>
      <c r="C859">
        <f>HOUR(Coffee_Sales_Dataset[[#This Row],[Date]])</f>
        <v>16</v>
      </c>
      <c r="D859" t="s">
        <v>20</v>
      </c>
      <c r="E859" t="s">
        <v>46</v>
      </c>
      <c r="F859" t="s">
        <v>35</v>
      </c>
      <c r="G859">
        <v>4.0599999999999996</v>
      </c>
      <c r="H859" t="s">
        <v>28</v>
      </c>
      <c r="I859" t="s">
        <v>16</v>
      </c>
      <c r="J859" t="s">
        <v>31</v>
      </c>
      <c r="K859" t="s">
        <v>32</v>
      </c>
      <c r="L859">
        <v>7</v>
      </c>
      <c r="M859" t="s">
        <v>25</v>
      </c>
      <c r="N859">
        <v>1</v>
      </c>
    </row>
    <row r="860" spans="1:14" x14ac:dyDescent="0.35">
      <c r="A860" s="5">
        <v>45655.458333333336</v>
      </c>
      <c r="B860" s="1" t="str">
        <f>TEXT(Coffee_Sales_Dataset[[#This Row],[Date]],"ddd")</f>
        <v>Sun</v>
      </c>
      <c r="C860">
        <f>HOUR(Coffee_Sales_Dataset[[#This Row],[Date]])</f>
        <v>11</v>
      </c>
      <c r="D860" t="s">
        <v>41</v>
      </c>
      <c r="E860" t="s">
        <v>46</v>
      </c>
      <c r="F860" t="s">
        <v>22</v>
      </c>
      <c r="G860">
        <v>3.39</v>
      </c>
      <c r="H860" t="s">
        <v>28</v>
      </c>
      <c r="I860" t="s">
        <v>23</v>
      </c>
      <c r="J860" t="s">
        <v>17</v>
      </c>
      <c r="K860" t="s">
        <v>18</v>
      </c>
      <c r="L860">
        <v>7</v>
      </c>
      <c r="M860" t="s">
        <v>37</v>
      </c>
      <c r="N860">
        <v>3</v>
      </c>
    </row>
    <row r="861" spans="1:14" x14ac:dyDescent="0.35">
      <c r="A861" s="5">
        <v>45656.386111111111</v>
      </c>
      <c r="B861" s="1" t="str">
        <f>TEXT(Coffee_Sales_Dataset[[#This Row],[Date]],"ddd")</f>
        <v>Mon</v>
      </c>
      <c r="C861">
        <f>HOUR(Coffee_Sales_Dataset[[#This Row],[Date]])</f>
        <v>9</v>
      </c>
      <c r="D861" t="s">
        <v>20</v>
      </c>
      <c r="E861" t="s">
        <v>21</v>
      </c>
      <c r="F861" t="s">
        <v>22</v>
      </c>
      <c r="G861">
        <v>4.59</v>
      </c>
      <c r="H861" t="s">
        <v>30</v>
      </c>
      <c r="I861" t="s">
        <v>23</v>
      </c>
      <c r="J861" t="s">
        <v>31</v>
      </c>
      <c r="K861" t="s">
        <v>32</v>
      </c>
      <c r="L861">
        <v>10</v>
      </c>
      <c r="M861" t="s">
        <v>47</v>
      </c>
      <c r="N861">
        <v>1</v>
      </c>
    </row>
    <row r="862" spans="1:14" x14ac:dyDescent="0.35">
      <c r="A862" s="5">
        <v>45654.4375</v>
      </c>
      <c r="B862" s="1" t="str">
        <f>TEXT(Coffee_Sales_Dataset[[#This Row],[Date]],"ddd")</f>
        <v>Sat</v>
      </c>
      <c r="C862">
        <f>HOUR(Coffee_Sales_Dataset[[#This Row],[Date]])</f>
        <v>10</v>
      </c>
      <c r="D862" t="s">
        <v>20</v>
      </c>
      <c r="E862" t="s">
        <v>13</v>
      </c>
      <c r="F862" t="s">
        <v>14</v>
      </c>
      <c r="G862">
        <v>5.67</v>
      </c>
      <c r="H862" t="s">
        <v>28</v>
      </c>
      <c r="I862" t="s">
        <v>16</v>
      </c>
      <c r="J862" t="s">
        <v>31</v>
      </c>
      <c r="K862" t="s">
        <v>32</v>
      </c>
      <c r="L862">
        <v>8</v>
      </c>
      <c r="M862" t="s">
        <v>39</v>
      </c>
      <c r="N862">
        <v>1</v>
      </c>
    </row>
    <row r="863" spans="1:14" x14ac:dyDescent="0.35">
      <c r="A863" s="5">
        <v>45642.605555555558</v>
      </c>
      <c r="B863" s="1" t="str">
        <f>TEXT(Coffee_Sales_Dataset[[#This Row],[Date]],"ddd")</f>
        <v>Mon</v>
      </c>
      <c r="C863">
        <f>HOUR(Coffee_Sales_Dataset[[#This Row],[Date]])</f>
        <v>14</v>
      </c>
      <c r="D863" t="s">
        <v>20</v>
      </c>
      <c r="E863" t="s">
        <v>13</v>
      </c>
      <c r="F863" t="s">
        <v>14</v>
      </c>
      <c r="G863">
        <v>5.67</v>
      </c>
      <c r="H863" t="s">
        <v>28</v>
      </c>
      <c r="I863" t="s">
        <v>16</v>
      </c>
      <c r="J863" t="s">
        <v>29</v>
      </c>
      <c r="K863" t="s">
        <v>40</v>
      </c>
      <c r="L863">
        <v>3</v>
      </c>
      <c r="M863" t="s">
        <v>25</v>
      </c>
      <c r="N863">
        <v>5</v>
      </c>
    </row>
    <row r="864" spans="1:14" x14ac:dyDescent="0.35">
      <c r="A864" s="5">
        <v>45641.503472222219</v>
      </c>
      <c r="B864" s="1" t="str">
        <f>TEXT(Coffee_Sales_Dataset[[#This Row],[Date]],"ddd")</f>
        <v>Sun</v>
      </c>
      <c r="C864">
        <f>HOUR(Coffee_Sales_Dataset[[#This Row],[Date]])</f>
        <v>12</v>
      </c>
      <c r="D864" t="s">
        <v>43</v>
      </c>
      <c r="E864" t="s">
        <v>44</v>
      </c>
      <c r="F864" t="s">
        <v>35</v>
      </c>
      <c r="G864">
        <v>3.29</v>
      </c>
      <c r="H864" t="s">
        <v>28</v>
      </c>
      <c r="I864" t="s">
        <v>16</v>
      </c>
      <c r="J864" t="s">
        <v>29</v>
      </c>
      <c r="K864" t="s">
        <v>32</v>
      </c>
      <c r="L864">
        <v>8</v>
      </c>
      <c r="M864" t="s">
        <v>33</v>
      </c>
      <c r="N864">
        <v>2</v>
      </c>
    </row>
    <row r="865" spans="1:14" x14ac:dyDescent="0.35">
      <c r="A865" s="5">
        <v>45654.675000000003</v>
      </c>
      <c r="B865" s="1" t="str">
        <f>TEXT(Coffee_Sales_Dataset[[#This Row],[Date]],"ddd")</f>
        <v>Sat</v>
      </c>
      <c r="C865">
        <f>HOUR(Coffee_Sales_Dataset[[#This Row],[Date]])</f>
        <v>16</v>
      </c>
      <c r="D865" t="s">
        <v>41</v>
      </c>
      <c r="E865" t="s">
        <v>46</v>
      </c>
      <c r="F865" t="s">
        <v>35</v>
      </c>
      <c r="G865">
        <v>4.6399999999999997</v>
      </c>
      <c r="H865" t="s">
        <v>30</v>
      </c>
      <c r="I865" t="s">
        <v>23</v>
      </c>
      <c r="J865" t="s">
        <v>45</v>
      </c>
      <c r="K865" t="s">
        <v>32</v>
      </c>
      <c r="L865">
        <v>5</v>
      </c>
      <c r="M865" t="s">
        <v>19</v>
      </c>
      <c r="N865">
        <v>3</v>
      </c>
    </row>
    <row r="866" spans="1:14" x14ac:dyDescent="0.35">
      <c r="A866" s="5">
        <v>45645.644444444442</v>
      </c>
      <c r="B866" s="1" t="str">
        <f>TEXT(Coffee_Sales_Dataset[[#This Row],[Date]],"ddd")</f>
        <v>Thu</v>
      </c>
      <c r="C866">
        <f>HOUR(Coffee_Sales_Dataset[[#This Row],[Date]])</f>
        <v>15</v>
      </c>
      <c r="D866" t="s">
        <v>12</v>
      </c>
      <c r="E866" t="s">
        <v>38</v>
      </c>
      <c r="F866" t="s">
        <v>22</v>
      </c>
      <c r="G866">
        <v>4.5599999999999996</v>
      </c>
      <c r="H866" t="s">
        <v>30</v>
      </c>
      <c r="I866" t="s">
        <v>16</v>
      </c>
      <c r="J866" t="s">
        <v>17</v>
      </c>
      <c r="K866" t="s">
        <v>18</v>
      </c>
      <c r="L866">
        <v>8</v>
      </c>
      <c r="M866" t="s">
        <v>33</v>
      </c>
      <c r="N866">
        <v>4</v>
      </c>
    </row>
    <row r="867" spans="1:14" x14ac:dyDescent="0.35">
      <c r="A867" s="5">
        <v>45651.713888888888</v>
      </c>
      <c r="B867" s="1" t="str">
        <f>TEXT(Coffee_Sales_Dataset[[#This Row],[Date]],"ddd")</f>
        <v>Wed</v>
      </c>
      <c r="C867">
        <f>HOUR(Coffee_Sales_Dataset[[#This Row],[Date]])</f>
        <v>17</v>
      </c>
      <c r="D867" t="s">
        <v>43</v>
      </c>
      <c r="E867" t="s">
        <v>13</v>
      </c>
      <c r="F867" t="s">
        <v>35</v>
      </c>
      <c r="G867">
        <v>6.19</v>
      </c>
      <c r="H867" t="s">
        <v>28</v>
      </c>
      <c r="I867" t="s">
        <v>16</v>
      </c>
      <c r="J867" t="s">
        <v>45</v>
      </c>
      <c r="K867" t="s">
        <v>18</v>
      </c>
      <c r="L867">
        <v>9</v>
      </c>
      <c r="M867" t="s">
        <v>25</v>
      </c>
      <c r="N867">
        <v>1</v>
      </c>
    </row>
    <row r="868" spans="1:14" x14ac:dyDescent="0.35">
      <c r="A868" s="5">
        <v>45656.738888888889</v>
      </c>
      <c r="B868" s="1" t="str">
        <f>TEXT(Coffee_Sales_Dataset[[#This Row],[Date]],"ddd")</f>
        <v>Mon</v>
      </c>
      <c r="C868">
        <f>HOUR(Coffee_Sales_Dataset[[#This Row],[Date]])</f>
        <v>17</v>
      </c>
      <c r="D868" t="s">
        <v>41</v>
      </c>
      <c r="E868" t="s">
        <v>13</v>
      </c>
      <c r="F868" t="s">
        <v>22</v>
      </c>
      <c r="G868">
        <v>3.09</v>
      </c>
      <c r="H868" t="s">
        <v>28</v>
      </c>
      <c r="I868" t="s">
        <v>16</v>
      </c>
      <c r="J868" t="s">
        <v>29</v>
      </c>
      <c r="K868" t="s">
        <v>40</v>
      </c>
      <c r="L868">
        <v>5</v>
      </c>
      <c r="M868" t="s">
        <v>36</v>
      </c>
      <c r="N868">
        <v>4</v>
      </c>
    </row>
    <row r="869" spans="1:14" x14ac:dyDescent="0.35">
      <c r="A869" s="5">
        <v>45644.457638888889</v>
      </c>
      <c r="B869" s="1" t="str">
        <f>TEXT(Coffee_Sales_Dataset[[#This Row],[Date]],"ddd")</f>
        <v>Wed</v>
      </c>
      <c r="C869">
        <f>HOUR(Coffee_Sales_Dataset[[#This Row],[Date]])</f>
        <v>10</v>
      </c>
      <c r="D869" t="s">
        <v>43</v>
      </c>
      <c r="E869" t="s">
        <v>34</v>
      </c>
      <c r="F869" t="s">
        <v>35</v>
      </c>
      <c r="G869">
        <v>6.72</v>
      </c>
      <c r="H869" t="s">
        <v>30</v>
      </c>
      <c r="I869" t="s">
        <v>16</v>
      </c>
      <c r="J869" t="s">
        <v>42</v>
      </c>
      <c r="K869" t="s">
        <v>40</v>
      </c>
      <c r="L869">
        <v>9</v>
      </c>
      <c r="M869" t="s">
        <v>37</v>
      </c>
      <c r="N869">
        <v>1</v>
      </c>
    </row>
    <row r="870" spans="1:14" x14ac:dyDescent="0.35">
      <c r="A870" s="5">
        <v>45648.495833333334</v>
      </c>
      <c r="B870" s="1" t="str">
        <f>TEXT(Coffee_Sales_Dataset[[#This Row],[Date]],"ddd")</f>
        <v>Sun</v>
      </c>
      <c r="C870">
        <f>HOUR(Coffee_Sales_Dataset[[#This Row],[Date]])</f>
        <v>11</v>
      </c>
      <c r="D870" t="s">
        <v>20</v>
      </c>
      <c r="E870" t="s">
        <v>44</v>
      </c>
      <c r="F870" t="s">
        <v>14</v>
      </c>
      <c r="G870">
        <v>3.31</v>
      </c>
      <c r="H870" t="s">
        <v>30</v>
      </c>
      <c r="I870" t="s">
        <v>23</v>
      </c>
      <c r="J870" t="s">
        <v>42</v>
      </c>
      <c r="K870" t="s">
        <v>40</v>
      </c>
      <c r="L870">
        <v>5</v>
      </c>
      <c r="M870" t="s">
        <v>33</v>
      </c>
      <c r="N870">
        <v>4</v>
      </c>
    </row>
    <row r="871" spans="1:14" x14ac:dyDescent="0.35">
      <c r="A871" s="5">
        <v>45644.695833333331</v>
      </c>
      <c r="B871" s="1" t="str">
        <f>TEXT(Coffee_Sales_Dataset[[#This Row],[Date]],"ddd")</f>
        <v>Wed</v>
      </c>
      <c r="C871">
        <f>HOUR(Coffee_Sales_Dataset[[#This Row],[Date]])</f>
        <v>16</v>
      </c>
      <c r="D871" t="s">
        <v>43</v>
      </c>
      <c r="E871" t="s">
        <v>27</v>
      </c>
      <c r="F871" t="s">
        <v>22</v>
      </c>
      <c r="G871">
        <v>4.9800000000000004</v>
      </c>
      <c r="H871" t="s">
        <v>28</v>
      </c>
      <c r="I871" t="s">
        <v>16</v>
      </c>
      <c r="J871" t="s">
        <v>42</v>
      </c>
      <c r="K871" t="s">
        <v>40</v>
      </c>
      <c r="L871">
        <v>5</v>
      </c>
      <c r="M871" t="s">
        <v>36</v>
      </c>
      <c r="N871">
        <v>4</v>
      </c>
    </row>
    <row r="872" spans="1:14" x14ac:dyDescent="0.35">
      <c r="A872" s="5">
        <v>45642.679166666669</v>
      </c>
      <c r="B872" s="1" t="str">
        <f>TEXT(Coffee_Sales_Dataset[[#This Row],[Date]],"ddd")</f>
        <v>Mon</v>
      </c>
      <c r="C872">
        <f>HOUR(Coffee_Sales_Dataset[[#This Row],[Date]])</f>
        <v>16</v>
      </c>
      <c r="D872" t="s">
        <v>43</v>
      </c>
      <c r="E872" t="s">
        <v>34</v>
      </c>
      <c r="F872" t="s">
        <v>35</v>
      </c>
      <c r="G872">
        <v>3.2</v>
      </c>
      <c r="H872" t="s">
        <v>30</v>
      </c>
      <c r="I872" t="s">
        <v>16</v>
      </c>
      <c r="J872" t="s">
        <v>29</v>
      </c>
      <c r="K872" t="s">
        <v>40</v>
      </c>
      <c r="L872">
        <v>8</v>
      </c>
      <c r="M872" t="s">
        <v>47</v>
      </c>
      <c r="N872">
        <v>5</v>
      </c>
    </row>
    <row r="873" spans="1:14" x14ac:dyDescent="0.35">
      <c r="A873" s="5">
        <v>45641.393750000003</v>
      </c>
      <c r="B873" s="1" t="str">
        <f>TEXT(Coffee_Sales_Dataset[[#This Row],[Date]],"ddd")</f>
        <v>Sun</v>
      </c>
      <c r="C873">
        <f>HOUR(Coffee_Sales_Dataset[[#This Row],[Date]])</f>
        <v>9</v>
      </c>
      <c r="D873" t="s">
        <v>43</v>
      </c>
      <c r="E873" t="s">
        <v>34</v>
      </c>
      <c r="F873" t="s">
        <v>14</v>
      </c>
      <c r="G873">
        <v>3.95</v>
      </c>
      <c r="H873" t="s">
        <v>30</v>
      </c>
      <c r="I873" t="s">
        <v>16</v>
      </c>
      <c r="J873" t="s">
        <v>29</v>
      </c>
      <c r="K873" t="s">
        <v>32</v>
      </c>
      <c r="L873">
        <v>9</v>
      </c>
      <c r="M873" t="s">
        <v>37</v>
      </c>
      <c r="N873">
        <v>1</v>
      </c>
    </row>
    <row r="874" spans="1:14" x14ac:dyDescent="0.35">
      <c r="A874" s="5">
        <v>45655.657638888886</v>
      </c>
      <c r="B874" s="1" t="str">
        <f>TEXT(Coffee_Sales_Dataset[[#This Row],[Date]],"ddd")</f>
        <v>Sun</v>
      </c>
      <c r="C874">
        <f>HOUR(Coffee_Sales_Dataset[[#This Row],[Date]])</f>
        <v>15</v>
      </c>
      <c r="D874" t="s">
        <v>12</v>
      </c>
      <c r="E874" t="s">
        <v>44</v>
      </c>
      <c r="F874" t="s">
        <v>35</v>
      </c>
      <c r="G874">
        <v>3.68</v>
      </c>
      <c r="H874" t="s">
        <v>30</v>
      </c>
      <c r="I874" t="s">
        <v>23</v>
      </c>
      <c r="J874" t="s">
        <v>29</v>
      </c>
      <c r="K874" t="s">
        <v>40</v>
      </c>
      <c r="L874">
        <v>3</v>
      </c>
      <c r="M874" t="s">
        <v>25</v>
      </c>
      <c r="N874">
        <v>5</v>
      </c>
    </row>
    <row r="875" spans="1:14" x14ac:dyDescent="0.35">
      <c r="A875" s="5">
        <v>45649.42083333333</v>
      </c>
      <c r="B875" s="1" t="str">
        <f>TEXT(Coffee_Sales_Dataset[[#This Row],[Date]],"ddd")</f>
        <v>Mon</v>
      </c>
      <c r="C875">
        <f>HOUR(Coffee_Sales_Dataset[[#This Row],[Date]])</f>
        <v>10</v>
      </c>
      <c r="D875" t="s">
        <v>20</v>
      </c>
      <c r="E875" t="s">
        <v>34</v>
      </c>
      <c r="F875" t="s">
        <v>35</v>
      </c>
      <c r="G875">
        <v>6.72</v>
      </c>
      <c r="H875" t="s">
        <v>15</v>
      </c>
      <c r="I875" t="s">
        <v>23</v>
      </c>
      <c r="J875" t="s">
        <v>31</v>
      </c>
      <c r="K875" t="s">
        <v>18</v>
      </c>
      <c r="L875">
        <v>7</v>
      </c>
      <c r="M875" t="s">
        <v>19</v>
      </c>
      <c r="N875">
        <v>4</v>
      </c>
    </row>
    <row r="876" spans="1:14" x14ac:dyDescent="0.35">
      <c r="A876" s="5">
        <v>45653.727777777778</v>
      </c>
      <c r="B876" s="1" t="str">
        <f>TEXT(Coffee_Sales_Dataset[[#This Row],[Date]],"ddd")</f>
        <v>Fri</v>
      </c>
      <c r="C876">
        <f>HOUR(Coffee_Sales_Dataset[[#This Row],[Date]])</f>
        <v>17</v>
      </c>
      <c r="D876" t="s">
        <v>20</v>
      </c>
      <c r="E876" t="s">
        <v>21</v>
      </c>
      <c r="F876" t="s">
        <v>22</v>
      </c>
      <c r="G876">
        <v>6.47</v>
      </c>
      <c r="H876" t="s">
        <v>30</v>
      </c>
      <c r="I876" t="s">
        <v>23</v>
      </c>
      <c r="J876" t="s">
        <v>29</v>
      </c>
      <c r="K876" t="s">
        <v>18</v>
      </c>
      <c r="L876">
        <v>4</v>
      </c>
      <c r="M876" t="s">
        <v>37</v>
      </c>
      <c r="N876">
        <v>3</v>
      </c>
    </row>
    <row r="877" spans="1:14" x14ac:dyDescent="0.35">
      <c r="A877" s="5">
        <v>45647.551388888889</v>
      </c>
      <c r="B877" s="1" t="str">
        <f>TEXT(Coffee_Sales_Dataset[[#This Row],[Date]],"ddd")</f>
        <v>Sat</v>
      </c>
      <c r="C877">
        <f>HOUR(Coffee_Sales_Dataset[[#This Row],[Date]])</f>
        <v>13</v>
      </c>
      <c r="D877" t="s">
        <v>41</v>
      </c>
      <c r="E877" t="s">
        <v>21</v>
      </c>
      <c r="F877" t="s">
        <v>22</v>
      </c>
      <c r="G877">
        <v>6.84</v>
      </c>
      <c r="H877" t="s">
        <v>30</v>
      </c>
      <c r="I877" t="s">
        <v>16</v>
      </c>
      <c r="J877" t="s">
        <v>45</v>
      </c>
      <c r="K877" t="s">
        <v>18</v>
      </c>
      <c r="L877">
        <v>10</v>
      </c>
      <c r="M877" t="s">
        <v>19</v>
      </c>
      <c r="N877">
        <v>4</v>
      </c>
    </row>
    <row r="878" spans="1:14" x14ac:dyDescent="0.35">
      <c r="A878" s="5">
        <v>45647.395138888889</v>
      </c>
      <c r="B878" s="1" t="str">
        <f>TEXT(Coffee_Sales_Dataset[[#This Row],[Date]],"ddd")</f>
        <v>Sat</v>
      </c>
      <c r="C878">
        <f>HOUR(Coffee_Sales_Dataset[[#This Row],[Date]])</f>
        <v>9</v>
      </c>
      <c r="D878" t="s">
        <v>12</v>
      </c>
      <c r="E878" t="s">
        <v>44</v>
      </c>
      <c r="F878" t="s">
        <v>14</v>
      </c>
      <c r="G878">
        <v>4.6100000000000003</v>
      </c>
      <c r="H878" t="s">
        <v>15</v>
      </c>
      <c r="I878" t="s">
        <v>23</v>
      </c>
      <c r="J878" t="s">
        <v>42</v>
      </c>
      <c r="K878" t="s">
        <v>18</v>
      </c>
      <c r="L878">
        <v>4</v>
      </c>
      <c r="M878" t="s">
        <v>33</v>
      </c>
      <c r="N878">
        <v>1</v>
      </c>
    </row>
    <row r="879" spans="1:14" x14ac:dyDescent="0.35">
      <c r="A879" s="5">
        <v>45646.35</v>
      </c>
      <c r="B879" s="1" t="str">
        <f>TEXT(Coffee_Sales_Dataset[[#This Row],[Date]],"ddd")</f>
        <v>Fri</v>
      </c>
      <c r="C879">
        <f>HOUR(Coffee_Sales_Dataset[[#This Row],[Date]])</f>
        <v>8</v>
      </c>
      <c r="D879" t="s">
        <v>41</v>
      </c>
      <c r="E879" t="s">
        <v>27</v>
      </c>
      <c r="F879" t="s">
        <v>14</v>
      </c>
      <c r="G879">
        <v>5.64</v>
      </c>
      <c r="H879" t="s">
        <v>30</v>
      </c>
      <c r="I879" t="s">
        <v>23</v>
      </c>
      <c r="J879" t="s">
        <v>17</v>
      </c>
      <c r="K879" t="s">
        <v>18</v>
      </c>
      <c r="L879">
        <v>7</v>
      </c>
      <c r="M879" t="s">
        <v>47</v>
      </c>
      <c r="N879">
        <v>2</v>
      </c>
    </row>
    <row r="880" spans="1:14" x14ac:dyDescent="0.35">
      <c r="A880" s="5">
        <v>45642.613194444442</v>
      </c>
      <c r="B880" s="1" t="str">
        <f>TEXT(Coffee_Sales_Dataset[[#This Row],[Date]],"ddd")</f>
        <v>Mon</v>
      </c>
      <c r="C880">
        <f>HOUR(Coffee_Sales_Dataset[[#This Row],[Date]])</f>
        <v>14</v>
      </c>
      <c r="D880" t="s">
        <v>43</v>
      </c>
      <c r="E880" t="s">
        <v>13</v>
      </c>
      <c r="F880" t="s">
        <v>22</v>
      </c>
      <c r="G880">
        <v>5.16</v>
      </c>
      <c r="H880" t="s">
        <v>15</v>
      </c>
      <c r="I880" t="s">
        <v>23</v>
      </c>
      <c r="J880" t="s">
        <v>45</v>
      </c>
      <c r="K880" t="s">
        <v>32</v>
      </c>
      <c r="L880">
        <v>8</v>
      </c>
      <c r="M880" t="s">
        <v>37</v>
      </c>
      <c r="N880">
        <v>2</v>
      </c>
    </row>
    <row r="881" spans="1:14" x14ac:dyDescent="0.35">
      <c r="A881" s="5">
        <v>45652.695138888892</v>
      </c>
      <c r="B881" s="1" t="str">
        <f>TEXT(Coffee_Sales_Dataset[[#This Row],[Date]],"ddd")</f>
        <v>Thu</v>
      </c>
      <c r="C881">
        <f>HOUR(Coffee_Sales_Dataset[[#This Row],[Date]])</f>
        <v>16</v>
      </c>
      <c r="D881" t="s">
        <v>20</v>
      </c>
      <c r="E881" t="s">
        <v>13</v>
      </c>
      <c r="F881" t="s">
        <v>35</v>
      </c>
      <c r="G881">
        <v>3.55</v>
      </c>
      <c r="H881" t="s">
        <v>28</v>
      </c>
      <c r="I881" t="s">
        <v>16</v>
      </c>
      <c r="J881" t="s">
        <v>42</v>
      </c>
      <c r="K881" t="s">
        <v>18</v>
      </c>
      <c r="L881">
        <v>2</v>
      </c>
      <c r="M881" t="s">
        <v>37</v>
      </c>
      <c r="N881">
        <v>5</v>
      </c>
    </row>
    <row r="882" spans="1:14" x14ac:dyDescent="0.35">
      <c r="A882" s="5">
        <v>45649.510416666664</v>
      </c>
      <c r="B882" s="1" t="str">
        <f>TEXT(Coffee_Sales_Dataset[[#This Row],[Date]],"ddd")</f>
        <v>Mon</v>
      </c>
      <c r="C882">
        <f>HOUR(Coffee_Sales_Dataset[[#This Row],[Date]])</f>
        <v>12</v>
      </c>
      <c r="D882" t="s">
        <v>12</v>
      </c>
      <c r="E882" t="s">
        <v>38</v>
      </c>
      <c r="F882" t="s">
        <v>35</v>
      </c>
      <c r="G882">
        <v>5.17</v>
      </c>
      <c r="H882" t="s">
        <v>28</v>
      </c>
      <c r="I882" t="s">
        <v>23</v>
      </c>
      <c r="J882" t="s">
        <v>17</v>
      </c>
      <c r="K882" t="s">
        <v>40</v>
      </c>
      <c r="L882">
        <v>2</v>
      </c>
      <c r="M882" t="s">
        <v>33</v>
      </c>
      <c r="N882">
        <v>3</v>
      </c>
    </row>
    <row r="883" spans="1:14" x14ac:dyDescent="0.35">
      <c r="A883" s="5">
        <v>45653.738888888889</v>
      </c>
      <c r="B883" s="1" t="str">
        <f>TEXT(Coffee_Sales_Dataset[[#This Row],[Date]],"ddd")</f>
        <v>Fri</v>
      </c>
      <c r="C883">
        <f>HOUR(Coffee_Sales_Dataset[[#This Row],[Date]])</f>
        <v>17</v>
      </c>
      <c r="D883" t="s">
        <v>20</v>
      </c>
      <c r="E883" t="s">
        <v>44</v>
      </c>
      <c r="F883" t="s">
        <v>35</v>
      </c>
      <c r="G883">
        <v>4.7300000000000004</v>
      </c>
      <c r="H883" t="s">
        <v>28</v>
      </c>
      <c r="I883" t="s">
        <v>16</v>
      </c>
      <c r="J883" t="s">
        <v>31</v>
      </c>
      <c r="K883" t="s">
        <v>32</v>
      </c>
      <c r="L883">
        <v>4</v>
      </c>
      <c r="M883" t="s">
        <v>47</v>
      </c>
      <c r="N883">
        <v>5</v>
      </c>
    </row>
    <row r="884" spans="1:14" x14ac:dyDescent="0.35">
      <c r="A884" s="5">
        <v>45646.730555555558</v>
      </c>
      <c r="B884" s="1" t="str">
        <f>TEXT(Coffee_Sales_Dataset[[#This Row],[Date]],"ddd")</f>
        <v>Fri</v>
      </c>
      <c r="C884">
        <f>HOUR(Coffee_Sales_Dataset[[#This Row],[Date]])</f>
        <v>17</v>
      </c>
      <c r="D884" t="s">
        <v>41</v>
      </c>
      <c r="E884" t="s">
        <v>44</v>
      </c>
      <c r="F884" t="s">
        <v>14</v>
      </c>
      <c r="G884">
        <v>5.59</v>
      </c>
      <c r="H884" t="s">
        <v>15</v>
      </c>
      <c r="I884" t="s">
        <v>16</v>
      </c>
      <c r="J884" t="s">
        <v>42</v>
      </c>
      <c r="K884" t="s">
        <v>18</v>
      </c>
      <c r="L884">
        <v>10</v>
      </c>
      <c r="M884" t="s">
        <v>37</v>
      </c>
      <c r="N884">
        <v>4</v>
      </c>
    </row>
    <row r="885" spans="1:14" x14ac:dyDescent="0.35">
      <c r="A885" s="5">
        <v>45656.363888888889</v>
      </c>
      <c r="B885" s="1" t="str">
        <f>TEXT(Coffee_Sales_Dataset[[#This Row],[Date]],"ddd")</f>
        <v>Mon</v>
      </c>
      <c r="C885">
        <f>HOUR(Coffee_Sales_Dataset[[#This Row],[Date]])</f>
        <v>8</v>
      </c>
      <c r="D885" t="s">
        <v>12</v>
      </c>
      <c r="E885" t="s">
        <v>13</v>
      </c>
      <c r="F885" t="s">
        <v>22</v>
      </c>
      <c r="G885">
        <v>6.69</v>
      </c>
      <c r="H885" t="s">
        <v>30</v>
      </c>
      <c r="I885" t="s">
        <v>16</v>
      </c>
      <c r="J885" t="s">
        <v>42</v>
      </c>
      <c r="K885" t="s">
        <v>32</v>
      </c>
      <c r="L885">
        <v>9</v>
      </c>
      <c r="M885" t="s">
        <v>36</v>
      </c>
      <c r="N885">
        <v>5</v>
      </c>
    </row>
    <row r="886" spans="1:14" x14ac:dyDescent="0.35">
      <c r="A886" s="5">
        <v>45653.417361111111</v>
      </c>
      <c r="B886" s="1" t="str">
        <f>TEXT(Coffee_Sales_Dataset[[#This Row],[Date]],"ddd")</f>
        <v>Fri</v>
      </c>
      <c r="C886">
        <f>HOUR(Coffee_Sales_Dataset[[#This Row],[Date]])</f>
        <v>10</v>
      </c>
      <c r="D886" t="s">
        <v>41</v>
      </c>
      <c r="E886" t="s">
        <v>46</v>
      </c>
      <c r="F886" t="s">
        <v>22</v>
      </c>
      <c r="G886">
        <v>4.5199999999999996</v>
      </c>
      <c r="H886" t="s">
        <v>30</v>
      </c>
      <c r="I886" t="s">
        <v>23</v>
      </c>
      <c r="J886" t="s">
        <v>45</v>
      </c>
      <c r="K886" t="s">
        <v>18</v>
      </c>
      <c r="L886">
        <v>9</v>
      </c>
      <c r="M886" t="s">
        <v>25</v>
      </c>
      <c r="N886">
        <v>5</v>
      </c>
    </row>
    <row r="887" spans="1:14" x14ac:dyDescent="0.35">
      <c r="A887" s="5">
        <v>45649.606944444444</v>
      </c>
      <c r="B887" s="1" t="str">
        <f>TEXT(Coffee_Sales_Dataset[[#This Row],[Date]],"ddd")</f>
        <v>Mon</v>
      </c>
      <c r="C887">
        <f>HOUR(Coffee_Sales_Dataset[[#This Row],[Date]])</f>
        <v>14</v>
      </c>
      <c r="D887" t="s">
        <v>20</v>
      </c>
      <c r="E887" t="s">
        <v>21</v>
      </c>
      <c r="F887" t="s">
        <v>35</v>
      </c>
      <c r="G887">
        <v>5.3</v>
      </c>
      <c r="H887" t="s">
        <v>15</v>
      </c>
      <c r="I887" t="s">
        <v>16</v>
      </c>
      <c r="J887" t="s">
        <v>45</v>
      </c>
      <c r="K887" t="s">
        <v>40</v>
      </c>
      <c r="L887">
        <v>4</v>
      </c>
      <c r="M887" t="s">
        <v>47</v>
      </c>
      <c r="N887">
        <v>5</v>
      </c>
    </row>
    <row r="888" spans="1:14" x14ac:dyDescent="0.35">
      <c r="A888" s="5">
        <v>45650.657638888886</v>
      </c>
      <c r="B888" s="1" t="str">
        <f>TEXT(Coffee_Sales_Dataset[[#This Row],[Date]],"ddd")</f>
        <v>Tue</v>
      </c>
      <c r="C888">
        <f>HOUR(Coffee_Sales_Dataset[[#This Row],[Date]])</f>
        <v>15</v>
      </c>
      <c r="D888" t="s">
        <v>26</v>
      </c>
      <c r="E888" t="s">
        <v>21</v>
      </c>
      <c r="F888" t="s">
        <v>35</v>
      </c>
      <c r="G888">
        <v>5.13</v>
      </c>
      <c r="H888" t="s">
        <v>28</v>
      </c>
      <c r="I888" t="s">
        <v>23</v>
      </c>
      <c r="J888" t="s">
        <v>42</v>
      </c>
      <c r="K888" t="s">
        <v>18</v>
      </c>
      <c r="L888">
        <v>4</v>
      </c>
      <c r="M888" t="s">
        <v>19</v>
      </c>
      <c r="N888">
        <v>2</v>
      </c>
    </row>
    <row r="889" spans="1:14" x14ac:dyDescent="0.35">
      <c r="A889" s="5">
        <v>45646.538888888892</v>
      </c>
      <c r="B889" s="1" t="str">
        <f>TEXT(Coffee_Sales_Dataset[[#This Row],[Date]],"ddd")</f>
        <v>Fri</v>
      </c>
      <c r="C889">
        <f>HOUR(Coffee_Sales_Dataset[[#This Row],[Date]])</f>
        <v>12</v>
      </c>
      <c r="D889" t="s">
        <v>26</v>
      </c>
      <c r="E889" t="s">
        <v>44</v>
      </c>
      <c r="F889" t="s">
        <v>22</v>
      </c>
      <c r="G889">
        <v>6.02</v>
      </c>
      <c r="H889" t="s">
        <v>15</v>
      </c>
      <c r="I889" t="s">
        <v>16</v>
      </c>
      <c r="J889" t="s">
        <v>45</v>
      </c>
      <c r="K889" t="s">
        <v>18</v>
      </c>
      <c r="L889">
        <v>7</v>
      </c>
      <c r="M889" t="s">
        <v>19</v>
      </c>
      <c r="N889">
        <v>4</v>
      </c>
    </row>
    <row r="890" spans="1:14" x14ac:dyDescent="0.35">
      <c r="A890" s="5">
        <v>45650.363194444442</v>
      </c>
      <c r="B890" s="1" t="str">
        <f>TEXT(Coffee_Sales_Dataset[[#This Row],[Date]],"ddd")</f>
        <v>Tue</v>
      </c>
      <c r="C890">
        <f>HOUR(Coffee_Sales_Dataset[[#This Row],[Date]])</f>
        <v>8</v>
      </c>
      <c r="D890" t="s">
        <v>26</v>
      </c>
      <c r="E890" t="s">
        <v>27</v>
      </c>
      <c r="F890" t="s">
        <v>22</v>
      </c>
      <c r="G890">
        <v>6.6</v>
      </c>
      <c r="H890" t="s">
        <v>30</v>
      </c>
      <c r="I890" t="s">
        <v>16</v>
      </c>
      <c r="J890" t="s">
        <v>24</v>
      </c>
      <c r="K890" t="s">
        <v>32</v>
      </c>
      <c r="L890">
        <v>6</v>
      </c>
      <c r="M890" t="s">
        <v>36</v>
      </c>
      <c r="N890">
        <v>5</v>
      </c>
    </row>
    <row r="891" spans="1:14" x14ac:dyDescent="0.35">
      <c r="A891" s="5">
        <v>45647.725694444445</v>
      </c>
      <c r="B891" s="1" t="str">
        <f>TEXT(Coffee_Sales_Dataset[[#This Row],[Date]],"ddd")</f>
        <v>Sat</v>
      </c>
      <c r="C891">
        <f>HOUR(Coffee_Sales_Dataset[[#This Row],[Date]])</f>
        <v>17</v>
      </c>
      <c r="D891" t="s">
        <v>20</v>
      </c>
      <c r="E891" t="s">
        <v>27</v>
      </c>
      <c r="F891" t="s">
        <v>22</v>
      </c>
      <c r="G891">
        <v>6.31</v>
      </c>
      <c r="H891" t="s">
        <v>28</v>
      </c>
      <c r="I891" t="s">
        <v>16</v>
      </c>
      <c r="J891" t="s">
        <v>17</v>
      </c>
      <c r="K891" t="s">
        <v>18</v>
      </c>
      <c r="L891">
        <v>5</v>
      </c>
      <c r="M891" t="s">
        <v>19</v>
      </c>
      <c r="N891">
        <v>2</v>
      </c>
    </row>
    <row r="892" spans="1:14" x14ac:dyDescent="0.35">
      <c r="A892" s="5">
        <v>45651.745833333334</v>
      </c>
      <c r="B892" s="1" t="str">
        <f>TEXT(Coffee_Sales_Dataset[[#This Row],[Date]],"ddd")</f>
        <v>Wed</v>
      </c>
      <c r="C892">
        <f>HOUR(Coffee_Sales_Dataset[[#This Row],[Date]])</f>
        <v>17</v>
      </c>
      <c r="D892" t="s">
        <v>43</v>
      </c>
      <c r="E892" t="s">
        <v>21</v>
      </c>
      <c r="F892" t="s">
        <v>22</v>
      </c>
      <c r="G892">
        <v>6.32</v>
      </c>
      <c r="H892" t="s">
        <v>30</v>
      </c>
      <c r="I892" t="s">
        <v>23</v>
      </c>
      <c r="J892" t="s">
        <v>31</v>
      </c>
      <c r="K892" t="s">
        <v>18</v>
      </c>
      <c r="L892">
        <v>3</v>
      </c>
      <c r="M892" t="s">
        <v>47</v>
      </c>
      <c r="N892">
        <v>4</v>
      </c>
    </row>
    <row r="893" spans="1:14" x14ac:dyDescent="0.35">
      <c r="A893" s="5">
        <v>45643.404861111114</v>
      </c>
      <c r="B893" s="1" t="str">
        <f>TEXT(Coffee_Sales_Dataset[[#This Row],[Date]],"ddd")</f>
        <v>Tue</v>
      </c>
      <c r="C893">
        <f>HOUR(Coffee_Sales_Dataset[[#This Row],[Date]])</f>
        <v>9</v>
      </c>
      <c r="D893" t="s">
        <v>43</v>
      </c>
      <c r="E893" t="s">
        <v>27</v>
      </c>
      <c r="F893" t="s">
        <v>35</v>
      </c>
      <c r="G893">
        <v>6.05</v>
      </c>
      <c r="H893" t="s">
        <v>28</v>
      </c>
      <c r="I893" t="s">
        <v>16</v>
      </c>
      <c r="J893" t="s">
        <v>17</v>
      </c>
      <c r="K893" t="s">
        <v>32</v>
      </c>
      <c r="L893">
        <v>8</v>
      </c>
      <c r="M893" t="s">
        <v>36</v>
      </c>
      <c r="N893">
        <v>5</v>
      </c>
    </row>
    <row r="894" spans="1:14" x14ac:dyDescent="0.35">
      <c r="A894" s="5">
        <v>45643.718055555553</v>
      </c>
      <c r="B894" s="1" t="str">
        <f>TEXT(Coffee_Sales_Dataset[[#This Row],[Date]],"ddd")</f>
        <v>Tue</v>
      </c>
      <c r="C894">
        <f>HOUR(Coffee_Sales_Dataset[[#This Row],[Date]])</f>
        <v>17</v>
      </c>
      <c r="D894" t="s">
        <v>20</v>
      </c>
      <c r="E894" t="s">
        <v>34</v>
      </c>
      <c r="F894" t="s">
        <v>35</v>
      </c>
      <c r="G894">
        <v>5.43</v>
      </c>
      <c r="H894" t="s">
        <v>28</v>
      </c>
      <c r="I894" t="s">
        <v>16</v>
      </c>
      <c r="J894" t="s">
        <v>29</v>
      </c>
      <c r="K894" t="s">
        <v>40</v>
      </c>
      <c r="L894">
        <v>10</v>
      </c>
      <c r="M894" t="s">
        <v>39</v>
      </c>
      <c r="N894">
        <v>5</v>
      </c>
    </row>
    <row r="895" spans="1:14" x14ac:dyDescent="0.35">
      <c r="A895" s="5">
        <v>45652.557638888888</v>
      </c>
      <c r="B895" s="1" t="str">
        <f>TEXT(Coffee_Sales_Dataset[[#This Row],[Date]],"ddd")</f>
        <v>Thu</v>
      </c>
      <c r="C895">
        <f>HOUR(Coffee_Sales_Dataset[[#This Row],[Date]])</f>
        <v>13</v>
      </c>
      <c r="D895" t="s">
        <v>26</v>
      </c>
      <c r="E895" t="s">
        <v>44</v>
      </c>
      <c r="F895" t="s">
        <v>22</v>
      </c>
      <c r="G895">
        <v>5.08</v>
      </c>
      <c r="H895" t="s">
        <v>15</v>
      </c>
      <c r="I895" t="s">
        <v>16</v>
      </c>
      <c r="J895" t="s">
        <v>29</v>
      </c>
      <c r="K895" t="s">
        <v>18</v>
      </c>
      <c r="L895">
        <v>7</v>
      </c>
      <c r="M895" t="s">
        <v>33</v>
      </c>
      <c r="N895">
        <v>4</v>
      </c>
    </row>
    <row r="896" spans="1:14" x14ac:dyDescent="0.35">
      <c r="A896" s="5">
        <v>45653.536111111112</v>
      </c>
      <c r="B896" s="1" t="str">
        <f>TEXT(Coffee_Sales_Dataset[[#This Row],[Date]],"ddd")</f>
        <v>Fri</v>
      </c>
      <c r="C896">
        <f>HOUR(Coffee_Sales_Dataset[[#This Row],[Date]])</f>
        <v>12</v>
      </c>
      <c r="D896" t="s">
        <v>43</v>
      </c>
      <c r="E896" t="s">
        <v>27</v>
      </c>
      <c r="F896" t="s">
        <v>14</v>
      </c>
      <c r="G896">
        <v>3.78</v>
      </c>
      <c r="H896" t="s">
        <v>28</v>
      </c>
      <c r="I896" t="s">
        <v>23</v>
      </c>
      <c r="J896" t="s">
        <v>45</v>
      </c>
      <c r="K896" t="s">
        <v>18</v>
      </c>
      <c r="L896">
        <v>3</v>
      </c>
      <c r="M896" t="s">
        <v>33</v>
      </c>
      <c r="N896">
        <v>1</v>
      </c>
    </row>
    <row r="897" spans="1:14" x14ac:dyDescent="0.35">
      <c r="A897" s="5">
        <v>45655.729166666664</v>
      </c>
      <c r="B897" s="1" t="str">
        <f>TEXT(Coffee_Sales_Dataset[[#This Row],[Date]],"ddd")</f>
        <v>Sun</v>
      </c>
      <c r="C897">
        <f>HOUR(Coffee_Sales_Dataset[[#This Row],[Date]])</f>
        <v>17</v>
      </c>
      <c r="D897" t="s">
        <v>20</v>
      </c>
      <c r="E897" t="s">
        <v>13</v>
      </c>
      <c r="F897" t="s">
        <v>14</v>
      </c>
      <c r="G897">
        <v>5.09</v>
      </c>
      <c r="H897" t="s">
        <v>28</v>
      </c>
      <c r="I897" t="s">
        <v>16</v>
      </c>
      <c r="J897" t="s">
        <v>31</v>
      </c>
      <c r="K897" t="s">
        <v>40</v>
      </c>
      <c r="L897">
        <v>6</v>
      </c>
      <c r="M897" t="s">
        <v>33</v>
      </c>
      <c r="N897">
        <v>1</v>
      </c>
    </row>
    <row r="898" spans="1:14" x14ac:dyDescent="0.35">
      <c r="A898" s="5">
        <v>45642.550694444442</v>
      </c>
      <c r="B898" s="1" t="str">
        <f>TEXT(Coffee_Sales_Dataset[[#This Row],[Date]],"ddd")</f>
        <v>Mon</v>
      </c>
      <c r="C898">
        <f>HOUR(Coffee_Sales_Dataset[[#This Row],[Date]])</f>
        <v>13</v>
      </c>
      <c r="D898" t="s">
        <v>12</v>
      </c>
      <c r="E898" t="s">
        <v>34</v>
      </c>
      <c r="F898" t="s">
        <v>14</v>
      </c>
      <c r="G898">
        <v>4.3</v>
      </c>
      <c r="H898" t="s">
        <v>15</v>
      </c>
      <c r="I898" t="s">
        <v>23</v>
      </c>
      <c r="J898" t="s">
        <v>24</v>
      </c>
      <c r="K898" t="s">
        <v>32</v>
      </c>
      <c r="L898">
        <v>5</v>
      </c>
      <c r="M898" t="s">
        <v>39</v>
      </c>
      <c r="N898">
        <v>2</v>
      </c>
    </row>
    <row r="899" spans="1:14" x14ac:dyDescent="0.35">
      <c r="A899" s="5">
        <v>45652.568749999999</v>
      </c>
      <c r="B899" s="1" t="str">
        <f>TEXT(Coffee_Sales_Dataset[[#This Row],[Date]],"ddd")</f>
        <v>Thu</v>
      </c>
      <c r="C899">
        <f>HOUR(Coffee_Sales_Dataset[[#This Row],[Date]])</f>
        <v>13</v>
      </c>
      <c r="D899" t="s">
        <v>20</v>
      </c>
      <c r="E899" t="s">
        <v>21</v>
      </c>
      <c r="F899" t="s">
        <v>22</v>
      </c>
      <c r="G899">
        <v>4.9000000000000004</v>
      </c>
      <c r="H899" t="s">
        <v>28</v>
      </c>
      <c r="I899" t="s">
        <v>23</v>
      </c>
      <c r="J899" t="s">
        <v>17</v>
      </c>
      <c r="K899" t="s">
        <v>32</v>
      </c>
      <c r="L899">
        <v>9</v>
      </c>
      <c r="M899" t="s">
        <v>33</v>
      </c>
      <c r="N899">
        <v>3</v>
      </c>
    </row>
    <row r="900" spans="1:14" x14ac:dyDescent="0.35">
      <c r="A900" s="5">
        <v>45641.720138888886</v>
      </c>
      <c r="B900" s="1" t="str">
        <f>TEXT(Coffee_Sales_Dataset[[#This Row],[Date]],"ddd")</f>
        <v>Sun</v>
      </c>
      <c r="C900">
        <f>HOUR(Coffee_Sales_Dataset[[#This Row],[Date]])</f>
        <v>17</v>
      </c>
      <c r="D900" t="s">
        <v>20</v>
      </c>
      <c r="E900" t="s">
        <v>44</v>
      </c>
      <c r="F900" t="s">
        <v>35</v>
      </c>
      <c r="G900">
        <v>6.21</v>
      </c>
      <c r="H900" t="s">
        <v>15</v>
      </c>
      <c r="I900" t="s">
        <v>23</v>
      </c>
      <c r="J900" t="s">
        <v>29</v>
      </c>
      <c r="K900" t="s">
        <v>32</v>
      </c>
      <c r="L900">
        <v>4</v>
      </c>
      <c r="M900" t="s">
        <v>25</v>
      </c>
      <c r="N900">
        <v>4</v>
      </c>
    </row>
    <row r="901" spans="1:14" x14ac:dyDescent="0.35">
      <c r="A901" s="5">
        <v>45650.405555555553</v>
      </c>
      <c r="B901" s="1" t="str">
        <f>TEXT(Coffee_Sales_Dataset[[#This Row],[Date]],"ddd")</f>
        <v>Tue</v>
      </c>
      <c r="C901">
        <f>HOUR(Coffee_Sales_Dataset[[#This Row],[Date]])</f>
        <v>9</v>
      </c>
      <c r="D901" t="s">
        <v>41</v>
      </c>
      <c r="E901" t="s">
        <v>38</v>
      </c>
      <c r="F901" t="s">
        <v>22</v>
      </c>
      <c r="G901">
        <v>5.25</v>
      </c>
      <c r="H901" t="s">
        <v>28</v>
      </c>
      <c r="I901" t="s">
        <v>23</v>
      </c>
      <c r="J901" t="s">
        <v>42</v>
      </c>
      <c r="K901" t="s">
        <v>40</v>
      </c>
      <c r="L901">
        <v>6</v>
      </c>
      <c r="M901" t="s">
        <v>47</v>
      </c>
      <c r="N901">
        <v>2</v>
      </c>
    </row>
    <row r="902" spans="1:14" x14ac:dyDescent="0.35">
      <c r="A902" s="5">
        <v>45644.689583333333</v>
      </c>
      <c r="B902" s="1" t="str">
        <f>TEXT(Coffee_Sales_Dataset[[#This Row],[Date]],"ddd")</f>
        <v>Wed</v>
      </c>
      <c r="C902">
        <f>HOUR(Coffee_Sales_Dataset[[#This Row],[Date]])</f>
        <v>16</v>
      </c>
      <c r="D902" t="s">
        <v>41</v>
      </c>
      <c r="E902" t="s">
        <v>21</v>
      </c>
      <c r="F902" t="s">
        <v>22</v>
      </c>
      <c r="G902">
        <v>4.6100000000000003</v>
      </c>
      <c r="H902" t="s">
        <v>30</v>
      </c>
      <c r="I902" t="s">
        <v>16</v>
      </c>
      <c r="J902" t="s">
        <v>31</v>
      </c>
      <c r="K902" t="s">
        <v>32</v>
      </c>
      <c r="L902">
        <v>8</v>
      </c>
      <c r="M902" t="s">
        <v>39</v>
      </c>
      <c r="N902">
        <v>3</v>
      </c>
    </row>
    <row r="903" spans="1:14" x14ac:dyDescent="0.35">
      <c r="A903" s="5">
        <v>45654.730555555558</v>
      </c>
      <c r="B903" s="1" t="str">
        <f>TEXT(Coffee_Sales_Dataset[[#This Row],[Date]],"ddd")</f>
        <v>Sat</v>
      </c>
      <c r="C903">
        <f>HOUR(Coffee_Sales_Dataset[[#This Row],[Date]])</f>
        <v>17</v>
      </c>
      <c r="D903" t="s">
        <v>12</v>
      </c>
      <c r="E903" t="s">
        <v>21</v>
      </c>
      <c r="F903" t="s">
        <v>22</v>
      </c>
      <c r="G903">
        <v>5.16</v>
      </c>
      <c r="H903" t="s">
        <v>15</v>
      </c>
      <c r="I903" t="s">
        <v>16</v>
      </c>
      <c r="J903" t="s">
        <v>17</v>
      </c>
      <c r="K903" t="s">
        <v>40</v>
      </c>
      <c r="L903">
        <v>9</v>
      </c>
      <c r="M903" t="s">
        <v>19</v>
      </c>
      <c r="N903">
        <v>3</v>
      </c>
    </row>
    <row r="904" spans="1:14" x14ac:dyDescent="0.35">
      <c r="A904" s="5">
        <v>45649.523611111108</v>
      </c>
      <c r="B904" s="1" t="str">
        <f>TEXT(Coffee_Sales_Dataset[[#This Row],[Date]],"ddd")</f>
        <v>Mon</v>
      </c>
      <c r="C904">
        <f>HOUR(Coffee_Sales_Dataset[[#This Row],[Date]])</f>
        <v>12</v>
      </c>
      <c r="D904" t="s">
        <v>43</v>
      </c>
      <c r="E904" t="s">
        <v>44</v>
      </c>
      <c r="F904" t="s">
        <v>35</v>
      </c>
      <c r="G904">
        <v>4.6900000000000004</v>
      </c>
      <c r="H904" t="s">
        <v>15</v>
      </c>
      <c r="I904" t="s">
        <v>16</v>
      </c>
      <c r="J904" t="s">
        <v>45</v>
      </c>
      <c r="K904" t="s">
        <v>18</v>
      </c>
      <c r="L904">
        <v>6</v>
      </c>
      <c r="M904" t="s">
        <v>36</v>
      </c>
      <c r="N904">
        <v>5</v>
      </c>
    </row>
    <row r="905" spans="1:14" x14ac:dyDescent="0.35">
      <c r="A905" s="5">
        <v>45643.748611111114</v>
      </c>
      <c r="B905" s="1" t="str">
        <f>TEXT(Coffee_Sales_Dataset[[#This Row],[Date]],"ddd")</f>
        <v>Tue</v>
      </c>
      <c r="C905">
        <f>HOUR(Coffee_Sales_Dataset[[#This Row],[Date]])</f>
        <v>17</v>
      </c>
      <c r="D905" t="s">
        <v>26</v>
      </c>
      <c r="E905" t="s">
        <v>13</v>
      </c>
      <c r="F905" t="s">
        <v>35</v>
      </c>
      <c r="G905">
        <v>4.71</v>
      </c>
      <c r="H905" t="s">
        <v>15</v>
      </c>
      <c r="I905" t="s">
        <v>23</v>
      </c>
      <c r="J905" t="s">
        <v>17</v>
      </c>
      <c r="K905" t="s">
        <v>40</v>
      </c>
      <c r="L905">
        <v>2</v>
      </c>
      <c r="M905" t="s">
        <v>39</v>
      </c>
      <c r="N905">
        <v>2</v>
      </c>
    </row>
    <row r="906" spans="1:14" x14ac:dyDescent="0.35">
      <c r="A906" s="5">
        <v>45653.569444444445</v>
      </c>
      <c r="B906" s="1" t="str">
        <f>TEXT(Coffee_Sales_Dataset[[#This Row],[Date]],"ddd")</f>
        <v>Fri</v>
      </c>
      <c r="C906">
        <f>HOUR(Coffee_Sales_Dataset[[#This Row],[Date]])</f>
        <v>13</v>
      </c>
      <c r="D906" t="s">
        <v>20</v>
      </c>
      <c r="E906" t="s">
        <v>38</v>
      </c>
      <c r="F906" t="s">
        <v>35</v>
      </c>
      <c r="G906">
        <v>6.51</v>
      </c>
      <c r="H906" t="s">
        <v>30</v>
      </c>
      <c r="I906" t="s">
        <v>23</v>
      </c>
      <c r="J906" t="s">
        <v>17</v>
      </c>
      <c r="K906" t="s">
        <v>18</v>
      </c>
      <c r="L906">
        <v>3</v>
      </c>
      <c r="M906" t="s">
        <v>33</v>
      </c>
      <c r="N906">
        <v>3</v>
      </c>
    </row>
    <row r="907" spans="1:14" x14ac:dyDescent="0.35">
      <c r="A907" s="5">
        <v>45654.384027777778</v>
      </c>
      <c r="B907" s="1" t="str">
        <f>TEXT(Coffee_Sales_Dataset[[#This Row],[Date]],"ddd")</f>
        <v>Sat</v>
      </c>
      <c r="C907">
        <f>HOUR(Coffee_Sales_Dataset[[#This Row],[Date]])</f>
        <v>9</v>
      </c>
      <c r="D907" t="s">
        <v>26</v>
      </c>
      <c r="E907" t="s">
        <v>34</v>
      </c>
      <c r="F907" t="s">
        <v>22</v>
      </c>
      <c r="G907">
        <v>4.92</v>
      </c>
      <c r="H907" t="s">
        <v>28</v>
      </c>
      <c r="I907" t="s">
        <v>23</v>
      </c>
      <c r="J907" t="s">
        <v>45</v>
      </c>
      <c r="K907" t="s">
        <v>18</v>
      </c>
      <c r="L907">
        <v>8</v>
      </c>
      <c r="M907" t="s">
        <v>37</v>
      </c>
      <c r="N907">
        <v>2</v>
      </c>
    </row>
    <row r="908" spans="1:14" x14ac:dyDescent="0.35">
      <c r="A908" s="5">
        <v>45651.513194444444</v>
      </c>
      <c r="B908" s="1" t="str">
        <f>TEXT(Coffee_Sales_Dataset[[#This Row],[Date]],"ddd")</f>
        <v>Wed</v>
      </c>
      <c r="C908">
        <f>HOUR(Coffee_Sales_Dataset[[#This Row],[Date]])</f>
        <v>12</v>
      </c>
      <c r="D908" t="s">
        <v>43</v>
      </c>
      <c r="E908" t="s">
        <v>21</v>
      </c>
      <c r="F908" t="s">
        <v>35</v>
      </c>
      <c r="G908">
        <v>5.0999999999999996</v>
      </c>
      <c r="H908" t="s">
        <v>15</v>
      </c>
      <c r="I908" t="s">
        <v>16</v>
      </c>
      <c r="J908" t="s">
        <v>31</v>
      </c>
      <c r="K908" t="s">
        <v>18</v>
      </c>
      <c r="L908">
        <v>9</v>
      </c>
      <c r="M908" t="s">
        <v>36</v>
      </c>
      <c r="N908">
        <v>4</v>
      </c>
    </row>
    <row r="909" spans="1:14" x14ac:dyDescent="0.35">
      <c r="A909" s="5">
        <v>45656.477083333331</v>
      </c>
      <c r="B909" s="1" t="str">
        <f>TEXT(Coffee_Sales_Dataset[[#This Row],[Date]],"ddd")</f>
        <v>Mon</v>
      </c>
      <c r="C909">
        <f>HOUR(Coffee_Sales_Dataset[[#This Row],[Date]])</f>
        <v>11</v>
      </c>
      <c r="D909" t="s">
        <v>12</v>
      </c>
      <c r="E909" t="s">
        <v>44</v>
      </c>
      <c r="F909" t="s">
        <v>22</v>
      </c>
      <c r="G909">
        <v>5.88</v>
      </c>
      <c r="H909" t="s">
        <v>15</v>
      </c>
      <c r="I909" t="s">
        <v>16</v>
      </c>
      <c r="J909" t="s">
        <v>17</v>
      </c>
      <c r="K909" t="s">
        <v>18</v>
      </c>
      <c r="L909">
        <v>2</v>
      </c>
      <c r="M909" t="s">
        <v>36</v>
      </c>
      <c r="N909">
        <v>3</v>
      </c>
    </row>
    <row r="910" spans="1:14" x14ac:dyDescent="0.35">
      <c r="A910" s="5">
        <v>45654.456944444442</v>
      </c>
      <c r="B910" s="1" t="str">
        <f>TEXT(Coffee_Sales_Dataset[[#This Row],[Date]],"ddd")</f>
        <v>Sat</v>
      </c>
      <c r="C910">
        <f>HOUR(Coffee_Sales_Dataset[[#This Row],[Date]])</f>
        <v>10</v>
      </c>
      <c r="D910" t="s">
        <v>43</v>
      </c>
      <c r="E910" t="s">
        <v>34</v>
      </c>
      <c r="F910" t="s">
        <v>14</v>
      </c>
      <c r="G910">
        <v>6.8</v>
      </c>
      <c r="H910" t="s">
        <v>30</v>
      </c>
      <c r="I910" t="s">
        <v>23</v>
      </c>
      <c r="J910" t="s">
        <v>17</v>
      </c>
      <c r="K910" t="s">
        <v>18</v>
      </c>
      <c r="L910">
        <v>10</v>
      </c>
      <c r="M910" t="s">
        <v>33</v>
      </c>
      <c r="N910">
        <v>1</v>
      </c>
    </row>
    <row r="911" spans="1:14" x14ac:dyDescent="0.35">
      <c r="A911" s="5">
        <v>45652.495138888888</v>
      </c>
      <c r="B911" s="1" t="str">
        <f>TEXT(Coffee_Sales_Dataset[[#This Row],[Date]],"ddd")</f>
        <v>Thu</v>
      </c>
      <c r="C911">
        <f>HOUR(Coffee_Sales_Dataset[[#This Row],[Date]])</f>
        <v>11</v>
      </c>
      <c r="D911" t="s">
        <v>26</v>
      </c>
      <c r="E911" t="s">
        <v>27</v>
      </c>
      <c r="F911" t="s">
        <v>14</v>
      </c>
      <c r="G911">
        <v>5.43</v>
      </c>
      <c r="H911" t="s">
        <v>28</v>
      </c>
      <c r="I911" t="s">
        <v>23</v>
      </c>
      <c r="J911" t="s">
        <v>45</v>
      </c>
      <c r="K911" t="s">
        <v>32</v>
      </c>
      <c r="L911">
        <v>3</v>
      </c>
      <c r="M911" t="s">
        <v>39</v>
      </c>
      <c r="N911">
        <v>4</v>
      </c>
    </row>
    <row r="912" spans="1:14" x14ac:dyDescent="0.35">
      <c r="A912" s="5">
        <v>45652.397916666669</v>
      </c>
      <c r="B912" s="1" t="str">
        <f>TEXT(Coffee_Sales_Dataset[[#This Row],[Date]],"ddd")</f>
        <v>Thu</v>
      </c>
      <c r="C912">
        <f>HOUR(Coffee_Sales_Dataset[[#This Row],[Date]])</f>
        <v>9</v>
      </c>
      <c r="D912" t="s">
        <v>20</v>
      </c>
      <c r="E912" t="s">
        <v>46</v>
      </c>
      <c r="F912" t="s">
        <v>22</v>
      </c>
      <c r="G912">
        <v>4.96</v>
      </c>
      <c r="H912" t="s">
        <v>30</v>
      </c>
      <c r="I912" t="s">
        <v>16</v>
      </c>
      <c r="J912" t="s">
        <v>24</v>
      </c>
      <c r="K912" t="s">
        <v>40</v>
      </c>
      <c r="L912">
        <v>10</v>
      </c>
      <c r="M912" t="s">
        <v>36</v>
      </c>
      <c r="N912">
        <v>4</v>
      </c>
    </row>
    <row r="913" spans="1:14" x14ac:dyDescent="0.35">
      <c r="A913" s="5">
        <v>45647.404166666667</v>
      </c>
      <c r="B913" s="1" t="str">
        <f>TEXT(Coffee_Sales_Dataset[[#This Row],[Date]],"ddd")</f>
        <v>Sat</v>
      </c>
      <c r="C913">
        <f>HOUR(Coffee_Sales_Dataset[[#This Row],[Date]])</f>
        <v>9</v>
      </c>
      <c r="D913" t="s">
        <v>12</v>
      </c>
      <c r="E913" t="s">
        <v>27</v>
      </c>
      <c r="F913" t="s">
        <v>14</v>
      </c>
      <c r="G913">
        <v>6.6</v>
      </c>
      <c r="H913" t="s">
        <v>15</v>
      </c>
      <c r="I913" t="s">
        <v>16</v>
      </c>
      <c r="J913" t="s">
        <v>24</v>
      </c>
      <c r="K913" t="s">
        <v>32</v>
      </c>
      <c r="L913">
        <v>7</v>
      </c>
      <c r="M913" t="s">
        <v>37</v>
      </c>
      <c r="N913">
        <v>3</v>
      </c>
    </row>
    <row r="914" spans="1:14" x14ac:dyDescent="0.35">
      <c r="A914" s="5">
        <v>45648.589583333334</v>
      </c>
      <c r="B914" s="1" t="str">
        <f>TEXT(Coffee_Sales_Dataset[[#This Row],[Date]],"ddd")</f>
        <v>Sun</v>
      </c>
      <c r="C914">
        <f>HOUR(Coffee_Sales_Dataset[[#This Row],[Date]])</f>
        <v>14</v>
      </c>
      <c r="D914" t="s">
        <v>41</v>
      </c>
      <c r="E914" t="s">
        <v>13</v>
      </c>
      <c r="F914" t="s">
        <v>22</v>
      </c>
      <c r="G914">
        <v>3.57</v>
      </c>
      <c r="H914" t="s">
        <v>30</v>
      </c>
      <c r="I914" t="s">
        <v>16</v>
      </c>
      <c r="J914" t="s">
        <v>42</v>
      </c>
      <c r="K914" t="s">
        <v>18</v>
      </c>
      <c r="L914">
        <v>10</v>
      </c>
      <c r="M914" t="s">
        <v>36</v>
      </c>
      <c r="N914">
        <v>1</v>
      </c>
    </row>
    <row r="915" spans="1:14" x14ac:dyDescent="0.35">
      <c r="A915" s="5">
        <v>45647.704861111109</v>
      </c>
      <c r="B915" s="1" t="str">
        <f>TEXT(Coffee_Sales_Dataset[[#This Row],[Date]],"ddd")</f>
        <v>Sat</v>
      </c>
      <c r="C915">
        <f>HOUR(Coffee_Sales_Dataset[[#This Row],[Date]])</f>
        <v>16</v>
      </c>
      <c r="D915" t="s">
        <v>20</v>
      </c>
      <c r="E915" t="s">
        <v>44</v>
      </c>
      <c r="F915" t="s">
        <v>22</v>
      </c>
      <c r="G915">
        <v>6.84</v>
      </c>
      <c r="H915" t="s">
        <v>28</v>
      </c>
      <c r="I915" t="s">
        <v>16</v>
      </c>
      <c r="J915" t="s">
        <v>17</v>
      </c>
      <c r="K915" t="s">
        <v>40</v>
      </c>
      <c r="L915">
        <v>9</v>
      </c>
      <c r="M915" t="s">
        <v>19</v>
      </c>
      <c r="N915">
        <v>2</v>
      </c>
    </row>
    <row r="916" spans="1:14" x14ac:dyDescent="0.35">
      <c r="A916" s="5">
        <v>45644.499305555553</v>
      </c>
      <c r="B916" s="1" t="str">
        <f>TEXT(Coffee_Sales_Dataset[[#This Row],[Date]],"ddd")</f>
        <v>Wed</v>
      </c>
      <c r="C916">
        <f>HOUR(Coffee_Sales_Dataset[[#This Row],[Date]])</f>
        <v>11</v>
      </c>
      <c r="D916" t="s">
        <v>41</v>
      </c>
      <c r="E916" t="s">
        <v>44</v>
      </c>
      <c r="F916" t="s">
        <v>35</v>
      </c>
      <c r="G916">
        <v>6.87</v>
      </c>
      <c r="H916" t="s">
        <v>30</v>
      </c>
      <c r="I916" t="s">
        <v>16</v>
      </c>
      <c r="J916" t="s">
        <v>17</v>
      </c>
      <c r="K916" t="s">
        <v>40</v>
      </c>
      <c r="L916">
        <v>4</v>
      </c>
      <c r="M916" t="s">
        <v>37</v>
      </c>
      <c r="N916">
        <v>5</v>
      </c>
    </row>
    <row r="917" spans="1:14" x14ac:dyDescent="0.35">
      <c r="A917" s="5">
        <v>45655.490972222222</v>
      </c>
      <c r="B917" s="1" t="str">
        <f>TEXT(Coffee_Sales_Dataset[[#This Row],[Date]],"ddd")</f>
        <v>Sun</v>
      </c>
      <c r="C917">
        <f>HOUR(Coffee_Sales_Dataset[[#This Row],[Date]])</f>
        <v>11</v>
      </c>
      <c r="D917" t="s">
        <v>12</v>
      </c>
      <c r="E917" t="s">
        <v>27</v>
      </c>
      <c r="F917" t="s">
        <v>14</v>
      </c>
      <c r="G917">
        <v>5.93</v>
      </c>
      <c r="H917" t="s">
        <v>15</v>
      </c>
      <c r="I917" t="s">
        <v>23</v>
      </c>
      <c r="J917" t="s">
        <v>45</v>
      </c>
      <c r="K917" t="s">
        <v>32</v>
      </c>
      <c r="L917">
        <v>5</v>
      </c>
      <c r="M917" t="s">
        <v>37</v>
      </c>
      <c r="N917">
        <v>5</v>
      </c>
    </row>
    <row r="918" spans="1:14" x14ac:dyDescent="0.35">
      <c r="A918" s="5">
        <v>45643.430555555555</v>
      </c>
      <c r="B918" s="1" t="str">
        <f>TEXT(Coffee_Sales_Dataset[[#This Row],[Date]],"ddd")</f>
        <v>Tue</v>
      </c>
      <c r="C918">
        <f>HOUR(Coffee_Sales_Dataset[[#This Row],[Date]])</f>
        <v>10</v>
      </c>
      <c r="D918" t="s">
        <v>43</v>
      </c>
      <c r="E918" t="s">
        <v>44</v>
      </c>
      <c r="F918" t="s">
        <v>14</v>
      </c>
      <c r="G918">
        <v>6.16</v>
      </c>
      <c r="H918" t="s">
        <v>28</v>
      </c>
      <c r="I918" t="s">
        <v>23</v>
      </c>
      <c r="J918" t="s">
        <v>24</v>
      </c>
      <c r="K918" t="s">
        <v>18</v>
      </c>
      <c r="L918">
        <v>6</v>
      </c>
      <c r="M918" t="s">
        <v>47</v>
      </c>
      <c r="N918">
        <v>4</v>
      </c>
    </row>
    <row r="919" spans="1:14" x14ac:dyDescent="0.35">
      <c r="A919" s="5">
        <v>45642.657638888886</v>
      </c>
      <c r="B919" s="1" t="str">
        <f>TEXT(Coffee_Sales_Dataset[[#This Row],[Date]],"ddd")</f>
        <v>Mon</v>
      </c>
      <c r="C919">
        <f>HOUR(Coffee_Sales_Dataset[[#This Row],[Date]])</f>
        <v>15</v>
      </c>
      <c r="D919" t="s">
        <v>12</v>
      </c>
      <c r="E919" t="s">
        <v>27</v>
      </c>
      <c r="F919" t="s">
        <v>14</v>
      </c>
      <c r="G919">
        <v>6.23</v>
      </c>
      <c r="H919" t="s">
        <v>15</v>
      </c>
      <c r="I919" t="s">
        <v>23</v>
      </c>
      <c r="J919" t="s">
        <v>29</v>
      </c>
      <c r="K919" t="s">
        <v>18</v>
      </c>
      <c r="L919">
        <v>7</v>
      </c>
      <c r="M919" t="s">
        <v>47</v>
      </c>
      <c r="N919">
        <v>3</v>
      </c>
    </row>
    <row r="920" spans="1:14" x14ac:dyDescent="0.35">
      <c r="A920" s="5">
        <v>45650.652083333334</v>
      </c>
      <c r="B920" s="1" t="str">
        <f>TEXT(Coffee_Sales_Dataset[[#This Row],[Date]],"ddd")</f>
        <v>Tue</v>
      </c>
      <c r="C920">
        <f>HOUR(Coffee_Sales_Dataset[[#This Row],[Date]])</f>
        <v>15</v>
      </c>
      <c r="D920" t="s">
        <v>26</v>
      </c>
      <c r="E920" t="s">
        <v>27</v>
      </c>
      <c r="F920" t="s">
        <v>22</v>
      </c>
      <c r="G920">
        <v>5.41</v>
      </c>
      <c r="H920" t="s">
        <v>28</v>
      </c>
      <c r="I920" t="s">
        <v>16</v>
      </c>
      <c r="J920" t="s">
        <v>29</v>
      </c>
      <c r="K920" t="s">
        <v>40</v>
      </c>
      <c r="L920">
        <v>4</v>
      </c>
      <c r="M920" t="s">
        <v>25</v>
      </c>
      <c r="N920">
        <v>1</v>
      </c>
    </row>
    <row r="921" spans="1:14" x14ac:dyDescent="0.35">
      <c r="A921" s="5">
        <v>45643.552083333336</v>
      </c>
      <c r="B921" s="1" t="str">
        <f>TEXT(Coffee_Sales_Dataset[[#This Row],[Date]],"ddd")</f>
        <v>Tue</v>
      </c>
      <c r="C921">
        <f>HOUR(Coffee_Sales_Dataset[[#This Row],[Date]])</f>
        <v>13</v>
      </c>
      <c r="D921" t="s">
        <v>41</v>
      </c>
      <c r="E921" t="s">
        <v>46</v>
      </c>
      <c r="F921" t="s">
        <v>35</v>
      </c>
      <c r="G921">
        <v>6.64</v>
      </c>
      <c r="H921" t="s">
        <v>28</v>
      </c>
      <c r="I921" t="s">
        <v>23</v>
      </c>
      <c r="J921" t="s">
        <v>17</v>
      </c>
      <c r="K921" t="s">
        <v>32</v>
      </c>
      <c r="L921">
        <v>7</v>
      </c>
      <c r="M921" t="s">
        <v>36</v>
      </c>
      <c r="N921">
        <v>5</v>
      </c>
    </row>
    <row r="922" spans="1:14" x14ac:dyDescent="0.35">
      <c r="A922" s="5">
        <v>45656.677083333336</v>
      </c>
      <c r="B922" s="1" t="str">
        <f>TEXT(Coffee_Sales_Dataset[[#This Row],[Date]],"ddd")</f>
        <v>Mon</v>
      </c>
      <c r="C922">
        <f>HOUR(Coffee_Sales_Dataset[[#This Row],[Date]])</f>
        <v>16</v>
      </c>
      <c r="D922" t="s">
        <v>20</v>
      </c>
      <c r="E922" t="s">
        <v>27</v>
      </c>
      <c r="F922" t="s">
        <v>14</v>
      </c>
      <c r="G922">
        <v>6.25</v>
      </c>
      <c r="H922" t="s">
        <v>30</v>
      </c>
      <c r="I922" t="s">
        <v>23</v>
      </c>
      <c r="J922" t="s">
        <v>24</v>
      </c>
      <c r="K922" t="s">
        <v>32</v>
      </c>
      <c r="L922">
        <v>2</v>
      </c>
      <c r="M922" t="s">
        <v>37</v>
      </c>
      <c r="N922">
        <v>2</v>
      </c>
    </row>
    <row r="923" spans="1:14" x14ac:dyDescent="0.35">
      <c r="A923" s="5">
        <v>45643.344444444447</v>
      </c>
      <c r="B923" s="1" t="str">
        <f>TEXT(Coffee_Sales_Dataset[[#This Row],[Date]],"ddd")</f>
        <v>Tue</v>
      </c>
      <c r="C923">
        <f>HOUR(Coffee_Sales_Dataset[[#This Row],[Date]])</f>
        <v>8</v>
      </c>
      <c r="D923" t="s">
        <v>41</v>
      </c>
      <c r="E923" t="s">
        <v>46</v>
      </c>
      <c r="F923" t="s">
        <v>35</v>
      </c>
      <c r="G923">
        <v>6.24</v>
      </c>
      <c r="H923" t="s">
        <v>28</v>
      </c>
      <c r="I923" t="s">
        <v>16</v>
      </c>
      <c r="J923" t="s">
        <v>31</v>
      </c>
      <c r="K923" t="s">
        <v>18</v>
      </c>
      <c r="L923">
        <v>10</v>
      </c>
      <c r="M923" t="s">
        <v>33</v>
      </c>
      <c r="N923">
        <v>5</v>
      </c>
    </row>
    <row r="924" spans="1:14" x14ac:dyDescent="0.35">
      <c r="A924" s="5">
        <v>45648.488888888889</v>
      </c>
      <c r="B924" s="1" t="str">
        <f>TEXT(Coffee_Sales_Dataset[[#This Row],[Date]],"ddd")</f>
        <v>Sun</v>
      </c>
      <c r="C924">
        <f>HOUR(Coffee_Sales_Dataset[[#This Row],[Date]])</f>
        <v>11</v>
      </c>
      <c r="D924" t="s">
        <v>43</v>
      </c>
      <c r="E924" t="s">
        <v>44</v>
      </c>
      <c r="F924" t="s">
        <v>35</v>
      </c>
      <c r="G924">
        <v>4.43</v>
      </c>
      <c r="H924" t="s">
        <v>30</v>
      </c>
      <c r="I924" t="s">
        <v>16</v>
      </c>
      <c r="J924" t="s">
        <v>29</v>
      </c>
      <c r="K924" t="s">
        <v>40</v>
      </c>
      <c r="L924">
        <v>5</v>
      </c>
      <c r="M924" t="s">
        <v>39</v>
      </c>
      <c r="N924">
        <v>3</v>
      </c>
    </row>
    <row r="925" spans="1:14" x14ac:dyDescent="0.35">
      <c r="A925" s="5">
        <v>45656.499305555553</v>
      </c>
      <c r="B925" s="1" t="str">
        <f>TEXT(Coffee_Sales_Dataset[[#This Row],[Date]],"ddd")</f>
        <v>Mon</v>
      </c>
      <c r="C925">
        <f>HOUR(Coffee_Sales_Dataset[[#This Row],[Date]])</f>
        <v>11</v>
      </c>
      <c r="D925" t="s">
        <v>12</v>
      </c>
      <c r="E925" t="s">
        <v>44</v>
      </c>
      <c r="F925" t="s">
        <v>14</v>
      </c>
      <c r="G925">
        <v>6.26</v>
      </c>
      <c r="H925" t="s">
        <v>28</v>
      </c>
      <c r="I925" t="s">
        <v>16</v>
      </c>
      <c r="J925" t="s">
        <v>29</v>
      </c>
      <c r="K925" t="s">
        <v>32</v>
      </c>
      <c r="L925">
        <v>3</v>
      </c>
      <c r="M925" t="s">
        <v>47</v>
      </c>
      <c r="N925">
        <v>2</v>
      </c>
    </row>
    <row r="926" spans="1:14" x14ac:dyDescent="0.35">
      <c r="A926" s="5">
        <v>45656.747916666667</v>
      </c>
      <c r="B926" s="1" t="str">
        <f>TEXT(Coffee_Sales_Dataset[[#This Row],[Date]],"ddd")</f>
        <v>Mon</v>
      </c>
      <c r="C926">
        <f>HOUR(Coffee_Sales_Dataset[[#This Row],[Date]])</f>
        <v>17</v>
      </c>
      <c r="D926" t="s">
        <v>26</v>
      </c>
      <c r="E926" t="s">
        <v>13</v>
      </c>
      <c r="F926" t="s">
        <v>14</v>
      </c>
      <c r="G926">
        <v>5.57</v>
      </c>
      <c r="H926" t="s">
        <v>30</v>
      </c>
      <c r="I926" t="s">
        <v>16</v>
      </c>
      <c r="J926" t="s">
        <v>45</v>
      </c>
      <c r="K926" t="s">
        <v>40</v>
      </c>
      <c r="L926">
        <v>3</v>
      </c>
      <c r="M926" t="s">
        <v>47</v>
      </c>
      <c r="N926">
        <v>2</v>
      </c>
    </row>
    <row r="927" spans="1:14" x14ac:dyDescent="0.35">
      <c r="A927" s="5">
        <v>45648.675000000003</v>
      </c>
      <c r="B927" s="1" t="str">
        <f>TEXT(Coffee_Sales_Dataset[[#This Row],[Date]],"ddd")</f>
        <v>Sun</v>
      </c>
      <c r="C927">
        <f>HOUR(Coffee_Sales_Dataset[[#This Row],[Date]])</f>
        <v>16</v>
      </c>
      <c r="D927" t="s">
        <v>26</v>
      </c>
      <c r="E927" t="s">
        <v>38</v>
      </c>
      <c r="F927" t="s">
        <v>14</v>
      </c>
      <c r="G927">
        <v>6.65</v>
      </c>
      <c r="H927" t="s">
        <v>28</v>
      </c>
      <c r="I927" t="s">
        <v>16</v>
      </c>
      <c r="J927" t="s">
        <v>42</v>
      </c>
      <c r="K927" t="s">
        <v>40</v>
      </c>
      <c r="L927">
        <v>5</v>
      </c>
      <c r="M927" t="s">
        <v>19</v>
      </c>
      <c r="N927">
        <v>5</v>
      </c>
    </row>
    <row r="928" spans="1:14" x14ac:dyDescent="0.35">
      <c r="A928" s="5">
        <v>45648.713194444441</v>
      </c>
      <c r="B928" s="1" t="str">
        <f>TEXT(Coffee_Sales_Dataset[[#This Row],[Date]],"ddd")</f>
        <v>Sun</v>
      </c>
      <c r="C928">
        <f>HOUR(Coffee_Sales_Dataset[[#This Row],[Date]])</f>
        <v>17</v>
      </c>
      <c r="D928" t="s">
        <v>20</v>
      </c>
      <c r="E928" t="s">
        <v>46</v>
      </c>
      <c r="F928" t="s">
        <v>14</v>
      </c>
      <c r="G928">
        <v>5.53</v>
      </c>
      <c r="H928" t="s">
        <v>28</v>
      </c>
      <c r="I928" t="s">
        <v>23</v>
      </c>
      <c r="J928" t="s">
        <v>29</v>
      </c>
      <c r="K928" t="s">
        <v>40</v>
      </c>
      <c r="L928">
        <v>4</v>
      </c>
      <c r="M928" t="s">
        <v>39</v>
      </c>
      <c r="N928">
        <v>4</v>
      </c>
    </row>
    <row r="929" spans="1:14" x14ac:dyDescent="0.35">
      <c r="A929" s="5">
        <v>45647.418749999997</v>
      </c>
      <c r="B929" s="1" t="str">
        <f>TEXT(Coffee_Sales_Dataset[[#This Row],[Date]],"ddd")</f>
        <v>Sat</v>
      </c>
      <c r="C929">
        <f>HOUR(Coffee_Sales_Dataset[[#This Row],[Date]])</f>
        <v>10</v>
      </c>
      <c r="D929" t="s">
        <v>26</v>
      </c>
      <c r="E929" t="s">
        <v>38</v>
      </c>
      <c r="F929" t="s">
        <v>35</v>
      </c>
      <c r="G929">
        <v>5.69</v>
      </c>
      <c r="H929" t="s">
        <v>30</v>
      </c>
      <c r="I929" t="s">
        <v>23</v>
      </c>
      <c r="J929" t="s">
        <v>42</v>
      </c>
      <c r="K929" t="s">
        <v>32</v>
      </c>
      <c r="L929">
        <v>3</v>
      </c>
      <c r="M929" t="s">
        <v>36</v>
      </c>
      <c r="N929">
        <v>2</v>
      </c>
    </row>
    <row r="930" spans="1:14" x14ac:dyDescent="0.35">
      <c r="A930" s="5">
        <v>45641.740277777775</v>
      </c>
      <c r="B930" s="1" t="str">
        <f>TEXT(Coffee_Sales_Dataset[[#This Row],[Date]],"ddd")</f>
        <v>Sun</v>
      </c>
      <c r="C930">
        <f>HOUR(Coffee_Sales_Dataset[[#This Row],[Date]])</f>
        <v>17</v>
      </c>
      <c r="D930" t="s">
        <v>26</v>
      </c>
      <c r="E930" t="s">
        <v>46</v>
      </c>
      <c r="F930" t="s">
        <v>14</v>
      </c>
      <c r="G930">
        <v>5.89</v>
      </c>
      <c r="H930" t="s">
        <v>28</v>
      </c>
      <c r="I930" t="s">
        <v>16</v>
      </c>
      <c r="J930" t="s">
        <v>17</v>
      </c>
      <c r="K930" t="s">
        <v>40</v>
      </c>
      <c r="L930">
        <v>5</v>
      </c>
      <c r="M930" t="s">
        <v>39</v>
      </c>
      <c r="N930">
        <v>3</v>
      </c>
    </row>
    <row r="931" spans="1:14" x14ac:dyDescent="0.35">
      <c r="A931" s="5">
        <v>45650.6</v>
      </c>
      <c r="B931" s="1" t="str">
        <f>TEXT(Coffee_Sales_Dataset[[#This Row],[Date]],"ddd")</f>
        <v>Tue</v>
      </c>
      <c r="C931">
        <f>HOUR(Coffee_Sales_Dataset[[#This Row],[Date]])</f>
        <v>14</v>
      </c>
      <c r="D931" t="s">
        <v>43</v>
      </c>
      <c r="E931" t="s">
        <v>27</v>
      </c>
      <c r="F931" t="s">
        <v>35</v>
      </c>
      <c r="G931">
        <v>3.05</v>
      </c>
      <c r="H931" t="s">
        <v>30</v>
      </c>
      <c r="I931" t="s">
        <v>16</v>
      </c>
      <c r="J931" t="s">
        <v>45</v>
      </c>
      <c r="K931" t="s">
        <v>18</v>
      </c>
      <c r="L931">
        <v>6</v>
      </c>
      <c r="M931" t="s">
        <v>33</v>
      </c>
      <c r="N931">
        <v>5</v>
      </c>
    </row>
    <row r="932" spans="1:14" x14ac:dyDescent="0.35">
      <c r="A932" s="5">
        <v>45642.507638888892</v>
      </c>
      <c r="B932" s="1" t="str">
        <f>TEXT(Coffee_Sales_Dataset[[#This Row],[Date]],"ddd")</f>
        <v>Mon</v>
      </c>
      <c r="C932">
        <f>HOUR(Coffee_Sales_Dataset[[#This Row],[Date]])</f>
        <v>12</v>
      </c>
      <c r="D932" t="s">
        <v>26</v>
      </c>
      <c r="E932" t="s">
        <v>13</v>
      </c>
      <c r="F932" t="s">
        <v>22</v>
      </c>
      <c r="G932">
        <v>3.09</v>
      </c>
      <c r="H932" t="s">
        <v>28</v>
      </c>
      <c r="I932" t="s">
        <v>16</v>
      </c>
      <c r="J932" t="s">
        <v>45</v>
      </c>
      <c r="K932" t="s">
        <v>18</v>
      </c>
      <c r="L932">
        <v>4</v>
      </c>
      <c r="M932" t="s">
        <v>47</v>
      </c>
      <c r="N932">
        <v>1</v>
      </c>
    </row>
    <row r="933" spans="1:14" x14ac:dyDescent="0.35">
      <c r="A933" s="5">
        <v>45650.547222222223</v>
      </c>
      <c r="B933" s="1" t="str">
        <f>TEXT(Coffee_Sales_Dataset[[#This Row],[Date]],"ddd")</f>
        <v>Tue</v>
      </c>
      <c r="C933">
        <f>HOUR(Coffee_Sales_Dataset[[#This Row],[Date]])</f>
        <v>13</v>
      </c>
      <c r="D933" t="s">
        <v>20</v>
      </c>
      <c r="E933" t="s">
        <v>38</v>
      </c>
      <c r="F933" t="s">
        <v>22</v>
      </c>
      <c r="G933">
        <v>4.5</v>
      </c>
      <c r="H933" t="s">
        <v>30</v>
      </c>
      <c r="I933" t="s">
        <v>23</v>
      </c>
      <c r="J933" t="s">
        <v>45</v>
      </c>
      <c r="K933" t="s">
        <v>32</v>
      </c>
      <c r="L933">
        <v>7</v>
      </c>
      <c r="M933" t="s">
        <v>19</v>
      </c>
      <c r="N933">
        <v>4</v>
      </c>
    </row>
    <row r="934" spans="1:14" x14ac:dyDescent="0.35">
      <c r="A934" s="5">
        <v>45654.410416666666</v>
      </c>
      <c r="B934" s="1" t="str">
        <f>TEXT(Coffee_Sales_Dataset[[#This Row],[Date]],"ddd")</f>
        <v>Sat</v>
      </c>
      <c r="C934">
        <f>HOUR(Coffee_Sales_Dataset[[#This Row],[Date]])</f>
        <v>9</v>
      </c>
      <c r="D934" t="s">
        <v>26</v>
      </c>
      <c r="E934" t="s">
        <v>21</v>
      </c>
      <c r="F934" t="s">
        <v>14</v>
      </c>
      <c r="G934">
        <v>5.86</v>
      </c>
      <c r="H934" t="s">
        <v>28</v>
      </c>
      <c r="I934" t="s">
        <v>16</v>
      </c>
      <c r="J934" t="s">
        <v>17</v>
      </c>
      <c r="K934" t="s">
        <v>18</v>
      </c>
      <c r="L934">
        <v>9</v>
      </c>
      <c r="M934" t="s">
        <v>33</v>
      </c>
      <c r="N934">
        <v>1</v>
      </c>
    </row>
    <row r="935" spans="1:14" x14ac:dyDescent="0.35">
      <c r="A935" s="5">
        <v>45653.478472222225</v>
      </c>
      <c r="B935" s="1" t="str">
        <f>TEXT(Coffee_Sales_Dataset[[#This Row],[Date]],"ddd")</f>
        <v>Fri</v>
      </c>
      <c r="C935">
        <f>HOUR(Coffee_Sales_Dataset[[#This Row],[Date]])</f>
        <v>11</v>
      </c>
      <c r="D935" t="s">
        <v>26</v>
      </c>
      <c r="E935" t="s">
        <v>27</v>
      </c>
      <c r="F935" t="s">
        <v>22</v>
      </c>
      <c r="G935">
        <v>3.76</v>
      </c>
      <c r="H935" t="s">
        <v>15</v>
      </c>
      <c r="I935" t="s">
        <v>16</v>
      </c>
      <c r="J935" t="s">
        <v>31</v>
      </c>
      <c r="K935" t="s">
        <v>32</v>
      </c>
      <c r="L935">
        <v>8</v>
      </c>
      <c r="M935" t="s">
        <v>47</v>
      </c>
      <c r="N935">
        <v>2</v>
      </c>
    </row>
    <row r="936" spans="1:14" x14ac:dyDescent="0.35">
      <c r="A936" s="5">
        <v>45644.344444444447</v>
      </c>
      <c r="B936" s="1" t="str">
        <f>TEXT(Coffee_Sales_Dataset[[#This Row],[Date]],"ddd")</f>
        <v>Wed</v>
      </c>
      <c r="C936">
        <f>HOUR(Coffee_Sales_Dataset[[#This Row],[Date]])</f>
        <v>8</v>
      </c>
      <c r="D936" t="s">
        <v>26</v>
      </c>
      <c r="E936" t="s">
        <v>44</v>
      </c>
      <c r="F936" t="s">
        <v>14</v>
      </c>
      <c r="G936">
        <v>3.1</v>
      </c>
      <c r="H936" t="s">
        <v>15</v>
      </c>
      <c r="I936" t="s">
        <v>23</v>
      </c>
      <c r="J936" t="s">
        <v>42</v>
      </c>
      <c r="K936" t="s">
        <v>40</v>
      </c>
      <c r="L936">
        <v>7</v>
      </c>
      <c r="M936" t="s">
        <v>37</v>
      </c>
      <c r="N936">
        <v>2</v>
      </c>
    </row>
    <row r="937" spans="1:14" x14ac:dyDescent="0.35">
      <c r="A937" s="5">
        <v>45648.688194444447</v>
      </c>
      <c r="B937" s="1" t="str">
        <f>TEXT(Coffee_Sales_Dataset[[#This Row],[Date]],"ddd")</f>
        <v>Sun</v>
      </c>
      <c r="C937">
        <f>HOUR(Coffee_Sales_Dataset[[#This Row],[Date]])</f>
        <v>16</v>
      </c>
      <c r="D937" t="s">
        <v>43</v>
      </c>
      <c r="E937" t="s">
        <v>13</v>
      </c>
      <c r="F937" t="s">
        <v>14</v>
      </c>
      <c r="G937">
        <v>5.4</v>
      </c>
      <c r="H937" t="s">
        <v>30</v>
      </c>
      <c r="I937" t="s">
        <v>16</v>
      </c>
      <c r="J937" t="s">
        <v>45</v>
      </c>
      <c r="K937" t="s">
        <v>18</v>
      </c>
      <c r="L937">
        <v>3</v>
      </c>
      <c r="M937" t="s">
        <v>25</v>
      </c>
      <c r="N937">
        <v>4</v>
      </c>
    </row>
    <row r="938" spans="1:14" x14ac:dyDescent="0.35">
      <c r="A938" s="5">
        <v>45654.351388888892</v>
      </c>
      <c r="B938" s="1" t="str">
        <f>TEXT(Coffee_Sales_Dataset[[#This Row],[Date]],"ddd")</f>
        <v>Sat</v>
      </c>
      <c r="C938">
        <f>HOUR(Coffee_Sales_Dataset[[#This Row],[Date]])</f>
        <v>8</v>
      </c>
      <c r="D938" t="s">
        <v>20</v>
      </c>
      <c r="E938" t="s">
        <v>27</v>
      </c>
      <c r="F938" t="s">
        <v>14</v>
      </c>
      <c r="G938">
        <v>6.44</v>
      </c>
      <c r="H938" t="s">
        <v>28</v>
      </c>
      <c r="I938" t="s">
        <v>23</v>
      </c>
      <c r="J938" t="s">
        <v>24</v>
      </c>
      <c r="K938" t="s">
        <v>32</v>
      </c>
      <c r="L938">
        <v>6</v>
      </c>
      <c r="M938" t="s">
        <v>33</v>
      </c>
      <c r="N938">
        <v>2</v>
      </c>
    </row>
    <row r="939" spans="1:14" x14ac:dyDescent="0.35">
      <c r="A939" s="5">
        <v>45654.343055555553</v>
      </c>
      <c r="B939" s="1" t="str">
        <f>TEXT(Coffee_Sales_Dataset[[#This Row],[Date]],"ddd")</f>
        <v>Sat</v>
      </c>
      <c r="C939">
        <f>HOUR(Coffee_Sales_Dataset[[#This Row],[Date]])</f>
        <v>8</v>
      </c>
      <c r="D939" t="s">
        <v>43</v>
      </c>
      <c r="E939" t="s">
        <v>13</v>
      </c>
      <c r="F939" t="s">
        <v>14</v>
      </c>
      <c r="G939">
        <v>3.23</v>
      </c>
      <c r="H939" t="s">
        <v>30</v>
      </c>
      <c r="I939" t="s">
        <v>16</v>
      </c>
      <c r="J939" t="s">
        <v>42</v>
      </c>
      <c r="K939" t="s">
        <v>32</v>
      </c>
      <c r="L939">
        <v>9</v>
      </c>
      <c r="M939" t="s">
        <v>47</v>
      </c>
      <c r="N939">
        <v>4</v>
      </c>
    </row>
    <row r="940" spans="1:14" x14ac:dyDescent="0.35">
      <c r="A940" s="5">
        <v>45655.527083333334</v>
      </c>
      <c r="B940" s="1" t="str">
        <f>TEXT(Coffee_Sales_Dataset[[#This Row],[Date]],"ddd")</f>
        <v>Sun</v>
      </c>
      <c r="C940">
        <f>HOUR(Coffee_Sales_Dataset[[#This Row],[Date]])</f>
        <v>12</v>
      </c>
      <c r="D940" t="s">
        <v>26</v>
      </c>
      <c r="E940" t="s">
        <v>34</v>
      </c>
      <c r="F940" t="s">
        <v>22</v>
      </c>
      <c r="G940">
        <v>5.36</v>
      </c>
      <c r="H940" t="s">
        <v>15</v>
      </c>
      <c r="I940" t="s">
        <v>16</v>
      </c>
      <c r="J940" t="s">
        <v>24</v>
      </c>
      <c r="K940" t="s">
        <v>32</v>
      </c>
      <c r="L940">
        <v>4</v>
      </c>
      <c r="M940" t="s">
        <v>36</v>
      </c>
      <c r="N940">
        <v>3</v>
      </c>
    </row>
    <row r="941" spans="1:14" x14ac:dyDescent="0.35">
      <c r="A941" s="5">
        <v>45648.380555555559</v>
      </c>
      <c r="B941" s="1" t="str">
        <f>TEXT(Coffee_Sales_Dataset[[#This Row],[Date]],"ddd")</f>
        <v>Sun</v>
      </c>
      <c r="C941">
        <f>HOUR(Coffee_Sales_Dataset[[#This Row],[Date]])</f>
        <v>9</v>
      </c>
      <c r="D941" t="s">
        <v>43</v>
      </c>
      <c r="E941" t="s">
        <v>46</v>
      </c>
      <c r="F941" t="s">
        <v>22</v>
      </c>
      <c r="G941">
        <v>3.01</v>
      </c>
      <c r="H941" t="s">
        <v>30</v>
      </c>
      <c r="I941" t="s">
        <v>23</v>
      </c>
      <c r="J941" t="s">
        <v>29</v>
      </c>
      <c r="K941" t="s">
        <v>18</v>
      </c>
      <c r="L941">
        <v>3</v>
      </c>
      <c r="M941" t="s">
        <v>39</v>
      </c>
      <c r="N941">
        <v>2</v>
      </c>
    </row>
    <row r="942" spans="1:14" x14ac:dyDescent="0.35">
      <c r="A942" s="5">
        <v>45641.607638888891</v>
      </c>
      <c r="B942" s="1" t="str">
        <f>TEXT(Coffee_Sales_Dataset[[#This Row],[Date]],"ddd")</f>
        <v>Sun</v>
      </c>
      <c r="C942">
        <f>HOUR(Coffee_Sales_Dataset[[#This Row],[Date]])</f>
        <v>14</v>
      </c>
      <c r="D942" t="s">
        <v>20</v>
      </c>
      <c r="E942" t="s">
        <v>13</v>
      </c>
      <c r="F942" t="s">
        <v>22</v>
      </c>
      <c r="G942">
        <v>4.59</v>
      </c>
      <c r="H942" t="s">
        <v>30</v>
      </c>
      <c r="I942" t="s">
        <v>16</v>
      </c>
      <c r="J942" t="s">
        <v>17</v>
      </c>
      <c r="K942" t="s">
        <v>32</v>
      </c>
      <c r="L942">
        <v>10</v>
      </c>
      <c r="M942" t="s">
        <v>39</v>
      </c>
      <c r="N942">
        <v>5</v>
      </c>
    </row>
    <row r="943" spans="1:14" x14ac:dyDescent="0.35">
      <c r="A943" s="5">
        <v>45641.410416666666</v>
      </c>
      <c r="B943" s="1" t="str">
        <f>TEXT(Coffee_Sales_Dataset[[#This Row],[Date]],"ddd")</f>
        <v>Sun</v>
      </c>
      <c r="C943">
        <f>HOUR(Coffee_Sales_Dataset[[#This Row],[Date]])</f>
        <v>9</v>
      </c>
      <c r="D943" t="s">
        <v>43</v>
      </c>
      <c r="E943" t="s">
        <v>46</v>
      </c>
      <c r="F943" t="s">
        <v>14</v>
      </c>
      <c r="G943">
        <v>3.59</v>
      </c>
      <c r="H943" t="s">
        <v>30</v>
      </c>
      <c r="I943" t="s">
        <v>23</v>
      </c>
      <c r="J943" t="s">
        <v>24</v>
      </c>
      <c r="K943" t="s">
        <v>18</v>
      </c>
      <c r="L943">
        <v>2</v>
      </c>
      <c r="M943" t="s">
        <v>25</v>
      </c>
      <c r="N943">
        <v>1</v>
      </c>
    </row>
    <row r="944" spans="1:14" x14ac:dyDescent="0.35">
      <c r="A944" s="5">
        <v>45644.351388888892</v>
      </c>
      <c r="B944" s="1" t="str">
        <f>TEXT(Coffee_Sales_Dataset[[#This Row],[Date]],"ddd")</f>
        <v>Wed</v>
      </c>
      <c r="C944">
        <f>HOUR(Coffee_Sales_Dataset[[#This Row],[Date]])</f>
        <v>8</v>
      </c>
      <c r="D944" t="s">
        <v>12</v>
      </c>
      <c r="E944" t="s">
        <v>13</v>
      </c>
      <c r="F944" t="s">
        <v>14</v>
      </c>
      <c r="G944">
        <v>3.22</v>
      </c>
      <c r="H944" t="s">
        <v>28</v>
      </c>
      <c r="I944" t="s">
        <v>23</v>
      </c>
      <c r="J944" t="s">
        <v>24</v>
      </c>
      <c r="K944" t="s">
        <v>40</v>
      </c>
      <c r="L944">
        <v>2</v>
      </c>
      <c r="M944" t="s">
        <v>33</v>
      </c>
      <c r="N944">
        <v>3</v>
      </c>
    </row>
    <row r="945" spans="1:14" x14ac:dyDescent="0.35">
      <c r="A945" s="5">
        <v>45646.678472222222</v>
      </c>
      <c r="B945" s="1" t="str">
        <f>TEXT(Coffee_Sales_Dataset[[#This Row],[Date]],"ddd")</f>
        <v>Fri</v>
      </c>
      <c r="C945">
        <f>HOUR(Coffee_Sales_Dataset[[#This Row],[Date]])</f>
        <v>16</v>
      </c>
      <c r="D945" t="s">
        <v>12</v>
      </c>
      <c r="E945" t="s">
        <v>34</v>
      </c>
      <c r="F945" t="s">
        <v>14</v>
      </c>
      <c r="G945">
        <v>6.2</v>
      </c>
      <c r="H945" t="s">
        <v>30</v>
      </c>
      <c r="I945" t="s">
        <v>23</v>
      </c>
      <c r="J945" t="s">
        <v>45</v>
      </c>
      <c r="K945" t="s">
        <v>40</v>
      </c>
      <c r="L945">
        <v>2</v>
      </c>
      <c r="M945" t="s">
        <v>39</v>
      </c>
      <c r="N945">
        <v>5</v>
      </c>
    </row>
    <row r="946" spans="1:14" x14ac:dyDescent="0.35">
      <c r="A946" s="5">
        <v>45647.56527777778</v>
      </c>
      <c r="B946" s="1" t="str">
        <f>TEXT(Coffee_Sales_Dataset[[#This Row],[Date]],"ddd")</f>
        <v>Sat</v>
      </c>
      <c r="C946">
        <f>HOUR(Coffee_Sales_Dataset[[#This Row],[Date]])</f>
        <v>13</v>
      </c>
      <c r="D946" t="s">
        <v>41</v>
      </c>
      <c r="E946" t="s">
        <v>44</v>
      </c>
      <c r="F946" t="s">
        <v>22</v>
      </c>
      <c r="G946">
        <v>4.79</v>
      </c>
      <c r="H946" t="s">
        <v>28</v>
      </c>
      <c r="I946" t="s">
        <v>16</v>
      </c>
      <c r="J946" t="s">
        <v>31</v>
      </c>
      <c r="K946" t="s">
        <v>32</v>
      </c>
      <c r="L946">
        <v>9</v>
      </c>
      <c r="M946" t="s">
        <v>39</v>
      </c>
      <c r="N946">
        <v>2</v>
      </c>
    </row>
    <row r="947" spans="1:14" x14ac:dyDescent="0.35">
      <c r="A947" s="5">
        <v>45642.347916666666</v>
      </c>
      <c r="B947" s="1" t="str">
        <f>TEXT(Coffee_Sales_Dataset[[#This Row],[Date]],"ddd")</f>
        <v>Mon</v>
      </c>
      <c r="C947">
        <f>HOUR(Coffee_Sales_Dataset[[#This Row],[Date]])</f>
        <v>8</v>
      </c>
      <c r="D947" t="s">
        <v>20</v>
      </c>
      <c r="E947" t="s">
        <v>44</v>
      </c>
      <c r="F947" t="s">
        <v>14</v>
      </c>
      <c r="G947">
        <v>5.43</v>
      </c>
      <c r="H947" t="s">
        <v>30</v>
      </c>
      <c r="I947" t="s">
        <v>16</v>
      </c>
      <c r="J947" t="s">
        <v>24</v>
      </c>
      <c r="K947" t="s">
        <v>32</v>
      </c>
      <c r="L947">
        <v>8</v>
      </c>
      <c r="M947" t="s">
        <v>25</v>
      </c>
      <c r="N947">
        <v>2</v>
      </c>
    </row>
    <row r="948" spans="1:14" x14ac:dyDescent="0.35">
      <c r="A948" s="5">
        <v>45642.711111111108</v>
      </c>
      <c r="B948" s="1" t="str">
        <f>TEXT(Coffee_Sales_Dataset[[#This Row],[Date]],"ddd")</f>
        <v>Mon</v>
      </c>
      <c r="C948">
        <f>HOUR(Coffee_Sales_Dataset[[#This Row],[Date]])</f>
        <v>17</v>
      </c>
      <c r="D948" t="s">
        <v>41</v>
      </c>
      <c r="E948" t="s">
        <v>27</v>
      </c>
      <c r="F948" t="s">
        <v>14</v>
      </c>
      <c r="G948">
        <v>5.8</v>
      </c>
      <c r="H948" t="s">
        <v>15</v>
      </c>
      <c r="I948" t="s">
        <v>23</v>
      </c>
      <c r="J948" t="s">
        <v>29</v>
      </c>
      <c r="K948" t="s">
        <v>40</v>
      </c>
      <c r="L948">
        <v>6</v>
      </c>
      <c r="M948" t="s">
        <v>25</v>
      </c>
      <c r="N948">
        <v>4</v>
      </c>
    </row>
    <row r="949" spans="1:14" x14ac:dyDescent="0.35">
      <c r="A949" s="5">
        <v>45647.51458333333</v>
      </c>
      <c r="B949" s="1" t="str">
        <f>TEXT(Coffee_Sales_Dataset[[#This Row],[Date]],"ddd")</f>
        <v>Sat</v>
      </c>
      <c r="C949">
        <f>HOUR(Coffee_Sales_Dataset[[#This Row],[Date]])</f>
        <v>12</v>
      </c>
      <c r="D949" t="s">
        <v>41</v>
      </c>
      <c r="E949" t="s">
        <v>13</v>
      </c>
      <c r="F949" t="s">
        <v>14</v>
      </c>
      <c r="G949">
        <v>6.18</v>
      </c>
      <c r="H949" t="s">
        <v>30</v>
      </c>
      <c r="I949" t="s">
        <v>16</v>
      </c>
      <c r="J949" t="s">
        <v>31</v>
      </c>
      <c r="K949" t="s">
        <v>32</v>
      </c>
      <c r="L949">
        <v>9</v>
      </c>
      <c r="M949" t="s">
        <v>39</v>
      </c>
      <c r="N949">
        <v>3</v>
      </c>
    </row>
    <row r="950" spans="1:14" x14ac:dyDescent="0.35">
      <c r="A950" s="5">
        <v>45641.525694444441</v>
      </c>
      <c r="B950" s="1" t="str">
        <f>TEXT(Coffee_Sales_Dataset[[#This Row],[Date]],"ddd")</f>
        <v>Sun</v>
      </c>
      <c r="C950">
        <f>HOUR(Coffee_Sales_Dataset[[#This Row],[Date]])</f>
        <v>12</v>
      </c>
      <c r="D950" t="s">
        <v>20</v>
      </c>
      <c r="E950" t="s">
        <v>38</v>
      </c>
      <c r="F950" t="s">
        <v>35</v>
      </c>
      <c r="G950">
        <v>3.27</v>
      </c>
      <c r="H950" t="s">
        <v>28</v>
      </c>
      <c r="I950" t="s">
        <v>16</v>
      </c>
      <c r="J950" t="s">
        <v>31</v>
      </c>
      <c r="K950" t="s">
        <v>40</v>
      </c>
      <c r="L950">
        <v>7</v>
      </c>
      <c r="M950" t="s">
        <v>36</v>
      </c>
      <c r="N950">
        <v>1</v>
      </c>
    </row>
    <row r="951" spans="1:14" x14ac:dyDescent="0.35">
      <c r="A951" s="5">
        <v>45646.418055555558</v>
      </c>
      <c r="B951" s="1" t="str">
        <f>TEXT(Coffee_Sales_Dataset[[#This Row],[Date]],"ddd")</f>
        <v>Fri</v>
      </c>
      <c r="C951">
        <f>HOUR(Coffee_Sales_Dataset[[#This Row],[Date]])</f>
        <v>10</v>
      </c>
      <c r="D951" t="s">
        <v>43</v>
      </c>
      <c r="E951" t="s">
        <v>38</v>
      </c>
      <c r="F951" t="s">
        <v>35</v>
      </c>
      <c r="G951">
        <v>5.01</v>
      </c>
      <c r="H951" t="s">
        <v>28</v>
      </c>
      <c r="I951" t="s">
        <v>16</v>
      </c>
      <c r="J951" t="s">
        <v>45</v>
      </c>
      <c r="K951" t="s">
        <v>18</v>
      </c>
      <c r="L951">
        <v>9</v>
      </c>
      <c r="M951" t="s">
        <v>25</v>
      </c>
      <c r="N951">
        <v>5</v>
      </c>
    </row>
    <row r="952" spans="1:14" x14ac:dyDescent="0.35">
      <c r="A952" s="5">
        <v>45649.652777777781</v>
      </c>
      <c r="B952" s="1" t="str">
        <f>TEXT(Coffee_Sales_Dataset[[#This Row],[Date]],"ddd")</f>
        <v>Mon</v>
      </c>
      <c r="C952">
        <f>HOUR(Coffee_Sales_Dataset[[#This Row],[Date]])</f>
        <v>15</v>
      </c>
      <c r="D952" t="s">
        <v>20</v>
      </c>
      <c r="E952" t="s">
        <v>44</v>
      </c>
      <c r="F952" t="s">
        <v>14</v>
      </c>
      <c r="G952">
        <v>3.79</v>
      </c>
      <c r="H952" t="s">
        <v>28</v>
      </c>
      <c r="I952" t="s">
        <v>16</v>
      </c>
      <c r="J952" t="s">
        <v>45</v>
      </c>
      <c r="K952" t="s">
        <v>40</v>
      </c>
      <c r="L952">
        <v>8</v>
      </c>
      <c r="M952" t="s">
        <v>25</v>
      </c>
      <c r="N952">
        <v>5</v>
      </c>
    </row>
    <row r="953" spans="1:14" x14ac:dyDescent="0.35">
      <c r="A953" s="5">
        <v>45649.504166666666</v>
      </c>
      <c r="B953" s="1" t="str">
        <f>TEXT(Coffee_Sales_Dataset[[#This Row],[Date]],"ddd")</f>
        <v>Mon</v>
      </c>
      <c r="C953">
        <f>HOUR(Coffee_Sales_Dataset[[#This Row],[Date]])</f>
        <v>12</v>
      </c>
      <c r="D953" t="s">
        <v>12</v>
      </c>
      <c r="E953" t="s">
        <v>46</v>
      </c>
      <c r="F953" t="s">
        <v>14</v>
      </c>
      <c r="G953">
        <v>3.59</v>
      </c>
      <c r="H953" t="s">
        <v>15</v>
      </c>
      <c r="I953" t="s">
        <v>16</v>
      </c>
      <c r="J953" t="s">
        <v>29</v>
      </c>
      <c r="K953" t="s">
        <v>32</v>
      </c>
      <c r="L953">
        <v>9</v>
      </c>
      <c r="M953" t="s">
        <v>37</v>
      </c>
      <c r="N953">
        <v>3</v>
      </c>
    </row>
    <row r="954" spans="1:14" x14ac:dyDescent="0.35">
      <c r="A954" s="5">
        <v>45644.45</v>
      </c>
      <c r="B954" s="1" t="str">
        <f>TEXT(Coffee_Sales_Dataset[[#This Row],[Date]],"ddd")</f>
        <v>Wed</v>
      </c>
      <c r="C954">
        <f>HOUR(Coffee_Sales_Dataset[[#This Row],[Date]])</f>
        <v>10</v>
      </c>
      <c r="D954" t="s">
        <v>43</v>
      </c>
      <c r="E954" t="s">
        <v>46</v>
      </c>
      <c r="F954" t="s">
        <v>14</v>
      </c>
      <c r="G954">
        <v>3.84</v>
      </c>
      <c r="H954" t="s">
        <v>28</v>
      </c>
      <c r="I954" t="s">
        <v>16</v>
      </c>
      <c r="J954" t="s">
        <v>31</v>
      </c>
      <c r="K954" t="s">
        <v>18</v>
      </c>
      <c r="L954">
        <v>3</v>
      </c>
      <c r="M954" t="s">
        <v>37</v>
      </c>
      <c r="N954">
        <v>4</v>
      </c>
    </row>
    <row r="955" spans="1:14" x14ac:dyDescent="0.35">
      <c r="A955" s="5">
        <v>45653.40625</v>
      </c>
      <c r="B955" s="1" t="str">
        <f>TEXT(Coffee_Sales_Dataset[[#This Row],[Date]],"ddd")</f>
        <v>Fri</v>
      </c>
      <c r="C955">
        <f>HOUR(Coffee_Sales_Dataset[[#This Row],[Date]])</f>
        <v>9</v>
      </c>
      <c r="D955" t="s">
        <v>43</v>
      </c>
      <c r="E955" t="s">
        <v>27</v>
      </c>
      <c r="F955" t="s">
        <v>22</v>
      </c>
      <c r="G955">
        <v>6.39</v>
      </c>
      <c r="H955" t="s">
        <v>28</v>
      </c>
      <c r="I955" t="s">
        <v>23</v>
      </c>
      <c r="J955" t="s">
        <v>29</v>
      </c>
      <c r="K955" t="s">
        <v>40</v>
      </c>
      <c r="L955">
        <v>9</v>
      </c>
      <c r="M955" t="s">
        <v>39</v>
      </c>
      <c r="N955">
        <v>5</v>
      </c>
    </row>
    <row r="956" spans="1:14" x14ac:dyDescent="0.35">
      <c r="A956" s="5">
        <v>45648.70416666667</v>
      </c>
      <c r="B956" s="1" t="str">
        <f>TEXT(Coffee_Sales_Dataset[[#This Row],[Date]],"ddd")</f>
        <v>Sun</v>
      </c>
      <c r="C956">
        <f>HOUR(Coffee_Sales_Dataset[[#This Row],[Date]])</f>
        <v>16</v>
      </c>
      <c r="D956" t="s">
        <v>20</v>
      </c>
      <c r="E956" t="s">
        <v>13</v>
      </c>
      <c r="F956" t="s">
        <v>14</v>
      </c>
      <c r="G956">
        <v>4.6399999999999997</v>
      </c>
      <c r="H956" t="s">
        <v>30</v>
      </c>
      <c r="I956" t="s">
        <v>23</v>
      </c>
      <c r="J956" t="s">
        <v>45</v>
      </c>
      <c r="K956" t="s">
        <v>18</v>
      </c>
      <c r="L956">
        <v>6</v>
      </c>
      <c r="M956" t="s">
        <v>39</v>
      </c>
      <c r="N956">
        <v>5</v>
      </c>
    </row>
    <row r="957" spans="1:14" x14ac:dyDescent="0.35">
      <c r="A957" s="5">
        <v>45656.385416666664</v>
      </c>
      <c r="B957" s="1" t="str">
        <f>TEXT(Coffee_Sales_Dataset[[#This Row],[Date]],"ddd")</f>
        <v>Mon</v>
      </c>
      <c r="C957">
        <f>HOUR(Coffee_Sales_Dataset[[#This Row],[Date]])</f>
        <v>9</v>
      </c>
      <c r="D957" t="s">
        <v>43</v>
      </c>
      <c r="E957" t="s">
        <v>44</v>
      </c>
      <c r="F957" t="s">
        <v>35</v>
      </c>
      <c r="G957">
        <v>6</v>
      </c>
      <c r="H957" t="s">
        <v>28</v>
      </c>
      <c r="I957" t="s">
        <v>16</v>
      </c>
      <c r="J957" t="s">
        <v>17</v>
      </c>
      <c r="K957" t="s">
        <v>40</v>
      </c>
      <c r="L957">
        <v>3</v>
      </c>
      <c r="M957" t="s">
        <v>25</v>
      </c>
      <c r="N957">
        <v>1</v>
      </c>
    </row>
    <row r="958" spans="1:14" x14ac:dyDescent="0.35">
      <c r="A958" s="5">
        <v>45652.688888888886</v>
      </c>
      <c r="B958" s="1" t="str">
        <f>TEXT(Coffee_Sales_Dataset[[#This Row],[Date]],"ddd")</f>
        <v>Thu</v>
      </c>
      <c r="C958">
        <f>HOUR(Coffee_Sales_Dataset[[#This Row],[Date]])</f>
        <v>16</v>
      </c>
      <c r="D958" t="s">
        <v>41</v>
      </c>
      <c r="E958" t="s">
        <v>34</v>
      </c>
      <c r="F958" t="s">
        <v>35</v>
      </c>
      <c r="G958">
        <v>5.03</v>
      </c>
      <c r="H958" t="s">
        <v>30</v>
      </c>
      <c r="I958" t="s">
        <v>16</v>
      </c>
      <c r="J958" t="s">
        <v>24</v>
      </c>
      <c r="K958" t="s">
        <v>32</v>
      </c>
      <c r="L958">
        <v>10</v>
      </c>
      <c r="M958" t="s">
        <v>36</v>
      </c>
      <c r="N958">
        <v>2</v>
      </c>
    </row>
    <row r="959" spans="1:14" x14ac:dyDescent="0.35">
      <c r="A959" s="5">
        <v>45653.663888888892</v>
      </c>
      <c r="B959" s="1" t="str">
        <f>TEXT(Coffee_Sales_Dataset[[#This Row],[Date]],"ddd")</f>
        <v>Fri</v>
      </c>
      <c r="C959">
        <f>HOUR(Coffee_Sales_Dataset[[#This Row],[Date]])</f>
        <v>15</v>
      </c>
      <c r="D959" t="s">
        <v>43</v>
      </c>
      <c r="E959" t="s">
        <v>38</v>
      </c>
      <c r="F959" t="s">
        <v>35</v>
      </c>
      <c r="G959">
        <v>5.95</v>
      </c>
      <c r="H959" t="s">
        <v>30</v>
      </c>
      <c r="I959" t="s">
        <v>16</v>
      </c>
      <c r="J959" t="s">
        <v>31</v>
      </c>
      <c r="K959" t="s">
        <v>32</v>
      </c>
      <c r="L959">
        <v>9</v>
      </c>
      <c r="M959" t="s">
        <v>39</v>
      </c>
      <c r="N959">
        <v>5</v>
      </c>
    </row>
    <row r="960" spans="1:14" x14ac:dyDescent="0.35">
      <c r="A960" s="5">
        <v>45643.344444444447</v>
      </c>
      <c r="B960" s="1" t="str">
        <f>TEXT(Coffee_Sales_Dataset[[#This Row],[Date]],"ddd")</f>
        <v>Tue</v>
      </c>
      <c r="C960">
        <f>HOUR(Coffee_Sales_Dataset[[#This Row],[Date]])</f>
        <v>8</v>
      </c>
      <c r="D960" t="s">
        <v>41</v>
      </c>
      <c r="E960" t="s">
        <v>13</v>
      </c>
      <c r="F960" t="s">
        <v>22</v>
      </c>
      <c r="G960">
        <v>4.9000000000000004</v>
      </c>
      <c r="H960" t="s">
        <v>15</v>
      </c>
      <c r="I960" t="s">
        <v>23</v>
      </c>
      <c r="J960" t="s">
        <v>17</v>
      </c>
      <c r="K960" t="s">
        <v>40</v>
      </c>
      <c r="L960">
        <v>8</v>
      </c>
      <c r="M960" t="s">
        <v>37</v>
      </c>
      <c r="N960">
        <v>1</v>
      </c>
    </row>
    <row r="961" spans="1:14" x14ac:dyDescent="0.35">
      <c r="A961" s="5">
        <v>45645.586805555555</v>
      </c>
      <c r="B961" s="1" t="str">
        <f>TEXT(Coffee_Sales_Dataset[[#This Row],[Date]],"ddd")</f>
        <v>Thu</v>
      </c>
      <c r="C961">
        <f>HOUR(Coffee_Sales_Dataset[[#This Row],[Date]])</f>
        <v>14</v>
      </c>
      <c r="D961" t="s">
        <v>26</v>
      </c>
      <c r="E961" t="s">
        <v>27</v>
      </c>
      <c r="F961" t="s">
        <v>35</v>
      </c>
      <c r="G961">
        <v>6.56</v>
      </c>
      <c r="H961" t="s">
        <v>28</v>
      </c>
      <c r="I961" t="s">
        <v>16</v>
      </c>
      <c r="J961" t="s">
        <v>17</v>
      </c>
      <c r="K961" t="s">
        <v>18</v>
      </c>
      <c r="L961">
        <v>8</v>
      </c>
      <c r="M961" t="s">
        <v>37</v>
      </c>
      <c r="N961">
        <v>5</v>
      </c>
    </row>
    <row r="962" spans="1:14" x14ac:dyDescent="0.35">
      <c r="A962" s="5">
        <v>45643.609027777777</v>
      </c>
      <c r="B962" s="1" t="str">
        <f>TEXT(Coffee_Sales_Dataset[[#This Row],[Date]],"ddd")</f>
        <v>Tue</v>
      </c>
      <c r="C962">
        <f>HOUR(Coffee_Sales_Dataset[[#This Row],[Date]])</f>
        <v>14</v>
      </c>
      <c r="D962" t="s">
        <v>12</v>
      </c>
      <c r="E962" t="s">
        <v>44</v>
      </c>
      <c r="F962" t="s">
        <v>35</v>
      </c>
      <c r="G962">
        <v>3.2</v>
      </c>
      <c r="H962" t="s">
        <v>30</v>
      </c>
      <c r="I962" t="s">
        <v>16</v>
      </c>
      <c r="J962" t="s">
        <v>17</v>
      </c>
      <c r="K962" t="s">
        <v>18</v>
      </c>
      <c r="L962">
        <v>3</v>
      </c>
      <c r="M962" t="s">
        <v>47</v>
      </c>
      <c r="N962">
        <v>1</v>
      </c>
    </row>
    <row r="963" spans="1:14" x14ac:dyDescent="0.35">
      <c r="A963" s="5">
        <v>45653.588194444441</v>
      </c>
      <c r="B963" s="1" t="str">
        <f>TEXT(Coffee_Sales_Dataset[[#This Row],[Date]],"ddd")</f>
        <v>Fri</v>
      </c>
      <c r="C963">
        <f>HOUR(Coffee_Sales_Dataset[[#This Row],[Date]])</f>
        <v>14</v>
      </c>
      <c r="D963" t="s">
        <v>43</v>
      </c>
      <c r="E963" t="s">
        <v>46</v>
      </c>
      <c r="F963" t="s">
        <v>14</v>
      </c>
      <c r="G963">
        <v>4.9800000000000004</v>
      </c>
      <c r="H963" t="s">
        <v>28</v>
      </c>
      <c r="I963" t="s">
        <v>23</v>
      </c>
      <c r="J963" t="s">
        <v>17</v>
      </c>
      <c r="K963" t="s">
        <v>32</v>
      </c>
      <c r="L963">
        <v>6</v>
      </c>
      <c r="M963" t="s">
        <v>19</v>
      </c>
      <c r="N963">
        <v>5</v>
      </c>
    </row>
    <row r="964" spans="1:14" x14ac:dyDescent="0.35">
      <c r="A964" s="5">
        <v>45649.573611111111</v>
      </c>
      <c r="B964" s="1" t="str">
        <f>TEXT(Coffee_Sales_Dataset[[#This Row],[Date]],"ddd")</f>
        <v>Mon</v>
      </c>
      <c r="C964">
        <f>HOUR(Coffee_Sales_Dataset[[#This Row],[Date]])</f>
        <v>13</v>
      </c>
      <c r="D964" t="s">
        <v>12</v>
      </c>
      <c r="E964" t="s">
        <v>34</v>
      </c>
      <c r="F964" t="s">
        <v>14</v>
      </c>
      <c r="G964">
        <v>6.12</v>
      </c>
      <c r="H964" t="s">
        <v>15</v>
      </c>
      <c r="I964" t="s">
        <v>16</v>
      </c>
      <c r="J964" t="s">
        <v>17</v>
      </c>
      <c r="K964" t="s">
        <v>32</v>
      </c>
      <c r="L964">
        <v>2</v>
      </c>
      <c r="M964" t="s">
        <v>37</v>
      </c>
      <c r="N964">
        <v>4</v>
      </c>
    </row>
    <row r="965" spans="1:14" x14ac:dyDescent="0.35">
      <c r="A965" s="5">
        <v>45652.536805555559</v>
      </c>
      <c r="B965" s="1" t="str">
        <f>TEXT(Coffee_Sales_Dataset[[#This Row],[Date]],"ddd")</f>
        <v>Thu</v>
      </c>
      <c r="C965">
        <f>HOUR(Coffee_Sales_Dataset[[#This Row],[Date]])</f>
        <v>12</v>
      </c>
      <c r="D965" t="s">
        <v>41</v>
      </c>
      <c r="E965" t="s">
        <v>46</v>
      </c>
      <c r="F965" t="s">
        <v>22</v>
      </c>
      <c r="G965">
        <v>5.19</v>
      </c>
      <c r="H965" t="s">
        <v>28</v>
      </c>
      <c r="I965" t="s">
        <v>16</v>
      </c>
      <c r="J965" t="s">
        <v>31</v>
      </c>
      <c r="K965" t="s">
        <v>32</v>
      </c>
      <c r="L965">
        <v>2</v>
      </c>
      <c r="M965" t="s">
        <v>47</v>
      </c>
      <c r="N965">
        <v>4</v>
      </c>
    </row>
    <row r="966" spans="1:14" x14ac:dyDescent="0.35">
      <c r="A966" s="5">
        <v>45649.419444444444</v>
      </c>
      <c r="B966" s="1" t="str">
        <f>TEXT(Coffee_Sales_Dataset[[#This Row],[Date]],"ddd")</f>
        <v>Mon</v>
      </c>
      <c r="C966">
        <f>HOUR(Coffee_Sales_Dataset[[#This Row],[Date]])</f>
        <v>10</v>
      </c>
      <c r="D966" t="s">
        <v>12</v>
      </c>
      <c r="E966" t="s">
        <v>13</v>
      </c>
      <c r="F966" t="s">
        <v>14</v>
      </c>
      <c r="G966">
        <v>5.24</v>
      </c>
      <c r="H966" t="s">
        <v>30</v>
      </c>
      <c r="I966" t="s">
        <v>16</v>
      </c>
      <c r="J966" t="s">
        <v>17</v>
      </c>
      <c r="K966" t="s">
        <v>40</v>
      </c>
      <c r="L966">
        <v>7</v>
      </c>
      <c r="M966" t="s">
        <v>37</v>
      </c>
      <c r="N966">
        <v>2</v>
      </c>
    </row>
    <row r="967" spans="1:14" x14ac:dyDescent="0.35">
      <c r="A967" s="5">
        <v>45654.595138888886</v>
      </c>
      <c r="B967" s="1" t="str">
        <f>TEXT(Coffee_Sales_Dataset[[#This Row],[Date]],"ddd")</f>
        <v>Sat</v>
      </c>
      <c r="C967">
        <f>HOUR(Coffee_Sales_Dataset[[#This Row],[Date]])</f>
        <v>14</v>
      </c>
      <c r="D967" t="s">
        <v>41</v>
      </c>
      <c r="E967" t="s">
        <v>38</v>
      </c>
      <c r="F967" t="s">
        <v>14</v>
      </c>
      <c r="G967">
        <v>3</v>
      </c>
      <c r="H967" t="s">
        <v>28</v>
      </c>
      <c r="I967" t="s">
        <v>23</v>
      </c>
      <c r="J967" t="s">
        <v>24</v>
      </c>
      <c r="K967" t="s">
        <v>18</v>
      </c>
      <c r="L967">
        <v>8</v>
      </c>
      <c r="M967" t="s">
        <v>37</v>
      </c>
      <c r="N967">
        <v>5</v>
      </c>
    </row>
    <row r="968" spans="1:14" x14ac:dyDescent="0.35">
      <c r="A968" s="5">
        <v>45644.37222222222</v>
      </c>
      <c r="B968" s="1" t="str">
        <f>TEXT(Coffee_Sales_Dataset[[#This Row],[Date]],"ddd")</f>
        <v>Wed</v>
      </c>
      <c r="C968">
        <f>HOUR(Coffee_Sales_Dataset[[#This Row],[Date]])</f>
        <v>8</v>
      </c>
      <c r="D968" t="s">
        <v>12</v>
      </c>
      <c r="E968" t="s">
        <v>27</v>
      </c>
      <c r="F968" t="s">
        <v>22</v>
      </c>
      <c r="G968">
        <v>4.58</v>
      </c>
      <c r="H968" t="s">
        <v>30</v>
      </c>
      <c r="I968" t="s">
        <v>16</v>
      </c>
      <c r="J968" t="s">
        <v>31</v>
      </c>
      <c r="K968" t="s">
        <v>18</v>
      </c>
      <c r="L968">
        <v>3</v>
      </c>
      <c r="M968" t="s">
        <v>25</v>
      </c>
      <c r="N968">
        <v>1</v>
      </c>
    </row>
    <row r="969" spans="1:14" x14ac:dyDescent="0.35">
      <c r="A969" s="5">
        <v>45650.378472222219</v>
      </c>
      <c r="B969" s="1" t="str">
        <f>TEXT(Coffee_Sales_Dataset[[#This Row],[Date]],"ddd")</f>
        <v>Tue</v>
      </c>
      <c r="C969">
        <f>HOUR(Coffee_Sales_Dataset[[#This Row],[Date]])</f>
        <v>9</v>
      </c>
      <c r="D969" t="s">
        <v>43</v>
      </c>
      <c r="E969" t="s">
        <v>13</v>
      </c>
      <c r="F969" t="s">
        <v>14</v>
      </c>
      <c r="G969">
        <v>6.99</v>
      </c>
      <c r="H969" t="s">
        <v>30</v>
      </c>
      <c r="I969" t="s">
        <v>23</v>
      </c>
      <c r="J969" t="s">
        <v>24</v>
      </c>
      <c r="K969" t="s">
        <v>18</v>
      </c>
      <c r="L969">
        <v>4</v>
      </c>
      <c r="M969" t="s">
        <v>33</v>
      </c>
      <c r="N969">
        <v>2</v>
      </c>
    </row>
    <row r="970" spans="1:14" x14ac:dyDescent="0.35">
      <c r="A970" s="5">
        <v>45652.384722222225</v>
      </c>
      <c r="B970" s="1" t="str">
        <f>TEXT(Coffee_Sales_Dataset[[#This Row],[Date]],"ddd")</f>
        <v>Thu</v>
      </c>
      <c r="C970">
        <f>HOUR(Coffee_Sales_Dataset[[#This Row],[Date]])</f>
        <v>9</v>
      </c>
      <c r="D970" t="s">
        <v>20</v>
      </c>
      <c r="E970" t="s">
        <v>46</v>
      </c>
      <c r="F970" t="s">
        <v>35</v>
      </c>
      <c r="G970">
        <v>4.63</v>
      </c>
      <c r="H970" t="s">
        <v>30</v>
      </c>
      <c r="I970" t="s">
        <v>16</v>
      </c>
      <c r="J970" t="s">
        <v>17</v>
      </c>
      <c r="K970" t="s">
        <v>40</v>
      </c>
      <c r="L970">
        <v>2</v>
      </c>
      <c r="M970" t="s">
        <v>47</v>
      </c>
      <c r="N970">
        <v>3</v>
      </c>
    </row>
    <row r="971" spans="1:14" x14ac:dyDescent="0.35">
      <c r="A971" s="5">
        <v>45649.392361111109</v>
      </c>
      <c r="B971" s="1" t="str">
        <f>TEXT(Coffee_Sales_Dataset[[#This Row],[Date]],"ddd")</f>
        <v>Mon</v>
      </c>
      <c r="C971">
        <f>HOUR(Coffee_Sales_Dataset[[#This Row],[Date]])</f>
        <v>9</v>
      </c>
      <c r="D971" t="s">
        <v>43</v>
      </c>
      <c r="E971" t="s">
        <v>21</v>
      </c>
      <c r="F971" t="s">
        <v>35</v>
      </c>
      <c r="G971">
        <v>3.09</v>
      </c>
      <c r="H971" t="s">
        <v>30</v>
      </c>
      <c r="I971" t="s">
        <v>16</v>
      </c>
      <c r="J971" t="s">
        <v>24</v>
      </c>
      <c r="K971" t="s">
        <v>32</v>
      </c>
      <c r="L971">
        <v>9</v>
      </c>
      <c r="M971" t="s">
        <v>36</v>
      </c>
      <c r="N971">
        <v>3</v>
      </c>
    </row>
    <row r="972" spans="1:14" x14ac:dyDescent="0.35">
      <c r="A972" s="5">
        <v>45642.393750000003</v>
      </c>
      <c r="B972" s="1" t="str">
        <f>TEXT(Coffee_Sales_Dataset[[#This Row],[Date]],"ddd")</f>
        <v>Mon</v>
      </c>
      <c r="C972">
        <f>HOUR(Coffee_Sales_Dataset[[#This Row],[Date]])</f>
        <v>9</v>
      </c>
      <c r="D972" t="s">
        <v>43</v>
      </c>
      <c r="E972" t="s">
        <v>44</v>
      </c>
      <c r="F972" t="s">
        <v>14</v>
      </c>
      <c r="G972">
        <v>6.49</v>
      </c>
      <c r="H972" t="s">
        <v>28</v>
      </c>
      <c r="I972" t="s">
        <v>16</v>
      </c>
      <c r="J972" t="s">
        <v>24</v>
      </c>
      <c r="K972" t="s">
        <v>40</v>
      </c>
      <c r="L972">
        <v>8</v>
      </c>
      <c r="M972" t="s">
        <v>25</v>
      </c>
      <c r="N972">
        <v>1</v>
      </c>
    </row>
    <row r="973" spans="1:14" x14ac:dyDescent="0.35">
      <c r="A973" s="5">
        <v>45648.664583333331</v>
      </c>
      <c r="B973" s="1" t="str">
        <f>TEXT(Coffee_Sales_Dataset[[#This Row],[Date]],"ddd")</f>
        <v>Sun</v>
      </c>
      <c r="C973">
        <f>HOUR(Coffee_Sales_Dataset[[#This Row],[Date]])</f>
        <v>15</v>
      </c>
      <c r="D973" t="s">
        <v>26</v>
      </c>
      <c r="E973" t="s">
        <v>21</v>
      </c>
      <c r="F973" t="s">
        <v>35</v>
      </c>
      <c r="G973">
        <v>3.51</v>
      </c>
      <c r="H973" t="s">
        <v>15</v>
      </c>
      <c r="I973" t="s">
        <v>23</v>
      </c>
      <c r="J973" t="s">
        <v>31</v>
      </c>
      <c r="K973" t="s">
        <v>18</v>
      </c>
      <c r="L973">
        <v>2</v>
      </c>
      <c r="M973" t="s">
        <v>33</v>
      </c>
      <c r="N973">
        <v>4</v>
      </c>
    </row>
    <row r="974" spans="1:14" x14ac:dyDescent="0.35">
      <c r="A974" s="5">
        <v>45648.67291666667</v>
      </c>
      <c r="B974" s="1" t="str">
        <f>TEXT(Coffee_Sales_Dataset[[#This Row],[Date]],"ddd")</f>
        <v>Sun</v>
      </c>
      <c r="C974">
        <f>HOUR(Coffee_Sales_Dataset[[#This Row],[Date]])</f>
        <v>16</v>
      </c>
      <c r="D974" t="s">
        <v>26</v>
      </c>
      <c r="E974" t="s">
        <v>34</v>
      </c>
      <c r="F974" t="s">
        <v>14</v>
      </c>
      <c r="G974">
        <v>4.7699999999999996</v>
      </c>
      <c r="H974" t="s">
        <v>15</v>
      </c>
      <c r="I974" t="s">
        <v>23</v>
      </c>
      <c r="J974" t="s">
        <v>17</v>
      </c>
      <c r="K974" t="s">
        <v>32</v>
      </c>
      <c r="L974">
        <v>4</v>
      </c>
      <c r="M974" t="s">
        <v>25</v>
      </c>
      <c r="N974">
        <v>4</v>
      </c>
    </row>
    <row r="975" spans="1:14" x14ac:dyDescent="0.35">
      <c r="A975" s="5">
        <v>45656.685416666667</v>
      </c>
      <c r="B975" s="1" t="str">
        <f>TEXT(Coffee_Sales_Dataset[[#This Row],[Date]],"ddd")</f>
        <v>Mon</v>
      </c>
      <c r="C975">
        <f>HOUR(Coffee_Sales_Dataset[[#This Row],[Date]])</f>
        <v>16</v>
      </c>
      <c r="D975" t="s">
        <v>41</v>
      </c>
      <c r="E975" t="s">
        <v>44</v>
      </c>
      <c r="F975" t="s">
        <v>35</v>
      </c>
      <c r="G975">
        <v>5.47</v>
      </c>
      <c r="H975" t="s">
        <v>30</v>
      </c>
      <c r="I975" t="s">
        <v>16</v>
      </c>
      <c r="J975" t="s">
        <v>45</v>
      </c>
      <c r="K975" t="s">
        <v>18</v>
      </c>
      <c r="L975">
        <v>10</v>
      </c>
      <c r="M975" t="s">
        <v>25</v>
      </c>
      <c r="N975">
        <v>3</v>
      </c>
    </row>
    <row r="976" spans="1:14" x14ac:dyDescent="0.35">
      <c r="A976" s="5">
        <v>45655.60833333333</v>
      </c>
      <c r="B976" s="1" t="str">
        <f>TEXT(Coffee_Sales_Dataset[[#This Row],[Date]],"ddd")</f>
        <v>Sun</v>
      </c>
      <c r="C976">
        <f>HOUR(Coffee_Sales_Dataset[[#This Row],[Date]])</f>
        <v>14</v>
      </c>
      <c r="D976" t="s">
        <v>43</v>
      </c>
      <c r="E976" t="s">
        <v>44</v>
      </c>
      <c r="F976" t="s">
        <v>14</v>
      </c>
      <c r="G976">
        <v>4.3099999999999996</v>
      </c>
      <c r="H976" t="s">
        <v>28</v>
      </c>
      <c r="I976" t="s">
        <v>16</v>
      </c>
      <c r="J976" t="s">
        <v>24</v>
      </c>
      <c r="K976" t="s">
        <v>18</v>
      </c>
      <c r="L976">
        <v>2</v>
      </c>
      <c r="M976" t="s">
        <v>39</v>
      </c>
      <c r="N976">
        <v>1</v>
      </c>
    </row>
    <row r="977" spans="1:14" x14ac:dyDescent="0.35">
      <c r="A977" s="5">
        <v>45650.738194444442</v>
      </c>
      <c r="B977" s="1" t="str">
        <f>TEXT(Coffee_Sales_Dataset[[#This Row],[Date]],"ddd")</f>
        <v>Tue</v>
      </c>
      <c r="C977">
        <f>HOUR(Coffee_Sales_Dataset[[#This Row],[Date]])</f>
        <v>17</v>
      </c>
      <c r="D977" t="s">
        <v>20</v>
      </c>
      <c r="E977" t="s">
        <v>13</v>
      </c>
      <c r="F977" t="s">
        <v>35</v>
      </c>
      <c r="G977">
        <v>6.12</v>
      </c>
      <c r="H977" t="s">
        <v>15</v>
      </c>
      <c r="I977" t="s">
        <v>23</v>
      </c>
      <c r="J977" t="s">
        <v>45</v>
      </c>
      <c r="K977" t="s">
        <v>32</v>
      </c>
      <c r="L977">
        <v>2</v>
      </c>
      <c r="M977" t="s">
        <v>47</v>
      </c>
      <c r="N977">
        <v>1</v>
      </c>
    </row>
    <row r="978" spans="1:14" x14ac:dyDescent="0.35">
      <c r="A978" s="5">
        <v>45642.393750000003</v>
      </c>
      <c r="B978" s="1" t="str">
        <f>TEXT(Coffee_Sales_Dataset[[#This Row],[Date]],"ddd")</f>
        <v>Mon</v>
      </c>
      <c r="C978">
        <f>HOUR(Coffee_Sales_Dataset[[#This Row],[Date]])</f>
        <v>9</v>
      </c>
      <c r="D978" t="s">
        <v>26</v>
      </c>
      <c r="E978" t="s">
        <v>27</v>
      </c>
      <c r="F978" t="s">
        <v>35</v>
      </c>
      <c r="G978">
        <v>5.15</v>
      </c>
      <c r="H978" t="s">
        <v>28</v>
      </c>
      <c r="I978" t="s">
        <v>16</v>
      </c>
      <c r="J978" t="s">
        <v>17</v>
      </c>
      <c r="K978" t="s">
        <v>32</v>
      </c>
      <c r="L978">
        <v>7</v>
      </c>
      <c r="M978" t="s">
        <v>36</v>
      </c>
      <c r="N978">
        <v>4</v>
      </c>
    </row>
    <row r="979" spans="1:14" x14ac:dyDescent="0.35">
      <c r="A979" s="5">
        <v>45656.42083333333</v>
      </c>
      <c r="B979" s="1" t="str">
        <f>TEXT(Coffee_Sales_Dataset[[#This Row],[Date]],"ddd")</f>
        <v>Mon</v>
      </c>
      <c r="C979">
        <f>HOUR(Coffee_Sales_Dataset[[#This Row],[Date]])</f>
        <v>10</v>
      </c>
      <c r="D979" t="s">
        <v>41</v>
      </c>
      <c r="E979" t="s">
        <v>38</v>
      </c>
      <c r="F979" t="s">
        <v>22</v>
      </c>
      <c r="G979">
        <v>4.3099999999999996</v>
      </c>
      <c r="H979" t="s">
        <v>28</v>
      </c>
      <c r="I979" t="s">
        <v>23</v>
      </c>
      <c r="J979" t="s">
        <v>42</v>
      </c>
      <c r="K979" t="s">
        <v>32</v>
      </c>
      <c r="L979">
        <v>2</v>
      </c>
      <c r="M979" t="s">
        <v>39</v>
      </c>
      <c r="N979">
        <v>1</v>
      </c>
    </row>
    <row r="980" spans="1:14" x14ac:dyDescent="0.35">
      <c r="A980" s="5">
        <v>45650.72152777778</v>
      </c>
      <c r="B980" s="1" t="str">
        <f>TEXT(Coffee_Sales_Dataset[[#This Row],[Date]],"ddd")</f>
        <v>Tue</v>
      </c>
      <c r="C980">
        <f>HOUR(Coffee_Sales_Dataset[[#This Row],[Date]])</f>
        <v>17</v>
      </c>
      <c r="D980" t="s">
        <v>20</v>
      </c>
      <c r="E980" t="s">
        <v>34</v>
      </c>
      <c r="F980" t="s">
        <v>35</v>
      </c>
      <c r="G980">
        <v>6.89</v>
      </c>
      <c r="H980" t="s">
        <v>15</v>
      </c>
      <c r="I980" t="s">
        <v>23</v>
      </c>
      <c r="J980" t="s">
        <v>29</v>
      </c>
      <c r="K980" t="s">
        <v>32</v>
      </c>
      <c r="L980">
        <v>8</v>
      </c>
      <c r="M980" t="s">
        <v>25</v>
      </c>
      <c r="N980">
        <v>3</v>
      </c>
    </row>
    <row r="981" spans="1:14" x14ac:dyDescent="0.35">
      <c r="A981" s="5">
        <v>45653.693749999999</v>
      </c>
      <c r="B981" s="1" t="str">
        <f>TEXT(Coffee_Sales_Dataset[[#This Row],[Date]],"ddd")</f>
        <v>Fri</v>
      </c>
      <c r="C981">
        <f>HOUR(Coffee_Sales_Dataset[[#This Row],[Date]])</f>
        <v>16</v>
      </c>
      <c r="D981" t="s">
        <v>12</v>
      </c>
      <c r="E981" t="s">
        <v>46</v>
      </c>
      <c r="F981" t="s">
        <v>22</v>
      </c>
      <c r="G981">
        <v>4.6399999999999997</v>
      </c>
      <c r="H981" t="s">
        <v>15</v>
      </c>
      <c r="I981" t="s">
        <v>16</v>
      </c>
      <c r="J981" t="s">
        <v>24</v>
      </c>
      <c r="K981" t="s">
        <v>40</v>
      </c>
      <c r="L981">
        <v>2</v>
      </c>
      <c r="M981" t="s">
        <v>33</v>
      </c>
      <c r="N981">
        <v>3</v>
      </c>
    </row>
    <row r="982" spans="1:14" x14ac:dyDescent="0.35">
      <c r="A982" s="5">
        <v>45646.563194444447</v>
      </c>
      <c r="B982" s="1" t="str">
        <f>TEXT(Coffee_Sales_Dataset[[#This Row],[Date]],"ddd")</f>
        <v>Fri</v>
      </c>
      <c r="C982">
        <f>HOUR(Coffee_Sales_Dataset[[#This Row],[Date]])</f>
        <v>13</v>
      </c>
      <c r="D982" t="s">
        <v>12</v>
      </c>
      <c r="E982" t="s">
        <v>34</v>
      </c>
      <c r="F982" t="s">
        <v>35</v>
      </c>
      <c r="G982">
        <v>6.57</v>
      </c>
      <c r="H982" t="s">
        <v>28</v>
      </c>
      <c r="I982" t="s">
        <v>16</v>
      </c>
      <c r="J982" t="s">
        <v>24</v>
      </c>
      <c r="K982" t="s">
        <v>32</v>
      </c>
      <c r="L982">
        <v>5</v>
      </c>
      <c r="M982" t="s">
        <v>36</v>
      </c>
      <c r="N982">
        <v>5</v>
      </c>
    </row>
    <row r="983" spans="1:14" x14ac:dyDescent="0.35">
      <c r="A983" s="5">
        <v>45653.352083333331</v>
      </c>
      <c r="B983" s="1" t="str">
        <f>TEXT(Coffee_Sales_Dataset[[#This Row],[Date]],"ddd")</f>
        <v>Fri</v>
      </c>
      <c r="C983">
        <f>HOUR(Coffee_Sales_Dataset[[#This Row],[Date]])</f>
        <v>8</v>
      </c>
      <c r="D983" t="s">
        <v>20</v>
      </c>
      <c r="E983" t="s">
        <v>27</v>
      </c>
      <c r="F983" t="s">
        <v>22</v>
      </c>
      <c r="G983">
        <v>4.03</v>
      </c>
      <c r="H983" t="s">
        <v>15</v>
      </c>
      <c r="I983" t="s">
        <v>16</v>
      </c>
      <c r="J983" t="s">
        <v>17</v>
      </c>
      <c r="K983" t="s">
        <v>18</v>
      </c>
      <c r="L983">
        <v>4</v>
      </c>
      <c r="M983" t="s">
        <v>33</v>
      </c>
      <c r="N983">
        <v>4</v>
      </c>
    </row>
    <row r="984" spans="1:14" x14ac:dyDescent="0.35">
      <c r="A984" s="5">
        <v>45646.502083333333</v>
      </c>
      <c r="B984" s="1" t="str">
        <f>TEXT(Coffee_Sales_Dataset[[#This Row],[Date]],"ddd")</f>
        <v>Fri</v>
      </c>
      <c r="C984">
        <f>HOUR(Coffee_Sales_Dataset[[#This Row],[Date]])</f>
        <v>12</v>
      </c>
      <c r="D984" t="s">
        <v>26</v>
      </c>
      <c r="E984" t="s">
        <v>46</v>
      </c>
      <c r="F984" t="s">
        <v>35</v>
      </c>
      <c r="G984">
        <v>4.34</v>
      </c>
      <c r="H984" t="s">
        <v>28</v>
      </c>
      <c r="I984" t="s">
        <v>16</v>
      </c>
      <c r="J984" t="s">
        <v>17</v>
      </c>
      <c r="K984" t="s">
        <v>40</v>
      </c>
      <c r="L984">
        <v>2</v>
      </c>
      <c r="M984" t="s">
        <v>19</v>
      </c>
      <c r="N984">
        <v>4</v>
      </c>
    </row>
    <row r="985" spans="1:14" x14ac:dyDescent="0.35">
      <c r="A985" s="5">
        <v>45643.421527777777</v>
      </c>
      <c r="B985" s="1" t="str">
        <f>TEXT(Coffee_Sales_Dataset[[#This Row],[Date]],"ddd")</f>
        <v>Tue</v>
      </c>
      <c r="C985">
        <f>HOUR(Coffee_Sales_Dataset[[#This Row],[Date]])</f>
        <v>10</v>
      </c>
      <c r="D985" t="s">
        <v>20</v>
      </c>
      <c r="E985" t="s">
        <v>27</v>
      </c>
      <c r="F985" t="s">
        <v>22</v>
      </c>
      <c r="G985">
        <v>3.72</v>
      </c>
      <c r="H985" t="s">
        <v>15</v>
      </c>
      <c r="I985" t="s">
        <v>16</v>
      </c>
      <c r="J985" t="s">
        <v>42</v>
      </c>
      <c r="K985" t="s">
        <v>18</v>
      </c>
      <c r="L985">
        <v>9</v>
      </c>
      <c r="M985" t="s">
        <v>47</v>
      </c>
      <c r="N985">
        <v>4</v>
      </c>
    </row>
    <row r="986" spans="1:14" x14ac:dyDescent="0.35">
      <c r="A986" s="5">
        <v>45643.568749999999</v>
      </c>
      <c r="B986" s="1" t="str">
        <f>TEXT(Coffee_Sales_Dataset[[#This Row],[Date]],"ddd")</f>
        <v>Tue</v>
      </c>
      <c r="C986">
        <f>HOUR(Coffee_Sales_Dataset[[#This Row],[Date]])</f>
        <v>13</v>
      </c>
      <c r="D986" t="s">
        <v>26</v>
      </c>
      <c r="E986" t="s">
        <v>46</v>
      </c>
      <c r="F986" t="s">
        <v>14</v>
      </c>
      <c r="G986">
        <v>3.41</v>
      </c>
      <c r="H986" t="s">
        <v>30</v>
      </c>
      <c r="I986" t="s">
        <v>16</v>
      </c>
      <c r="J986" t="s">
        <v>45</v>
      </c>
      <c r="K986" t="s">
        <v>40</v>
      </c>
      <c r="L986">
        <v>3</v>
      </c>
      <c r="M986" t="s">
        <v>47</v>
      </c>
      <c r="N986">
        <v>5</v>
      </c>
    </row>
    <row r="987" spans="1:14" x14ac:dyDescent="0.35">
      <c r="A987" s="5">
        <v>45654.523611111108</v>
      </c>
      <c r="B987" s="1" t="str">
        <f>TEXT(Coffee_Sales_Dataset[[#This Row],[Date]],"ddd")</f>
        <v>Sat</v>
      </c>
      <c r="C987">
        <f>HOUR(Coffee_Sales_Dataset[[#This Row],[Date]])</f>
        <v>12</v>
      </c>
      <c r="D987" t="s">
        <v>41</v>
      </c>
      <c r="E987" t="s">
        <v>44</v>
      </c>
      <c r="F987" t="s">
        <v>22</v>
      </c>
      <c r="G987">
        <v>6.97</v>
      </c>
      <c r="H987" t="s">
        <v>30</v>
      </c>
      <c r="I987" t="s">
        <v>23</v>
      </c>
      <c r="J987" t="s">
        <v>29</v>
      </c>
      <c r="K987" t="s">
        <v>32</v>
      </c>
      <c r="L987">
        <v>10</v>
      </c>
      <c r="M987" t="s">
        <v>25</v>
      </c>
      <c r="N987">
        <v>4</v>
      </c>
    </row>
    <row r="988" spans="1:14" x14ac:dyDescent="0.35">
      <c r="A988" s="5">
        <v>45652.672222222223</v>
      </c>
      <c r="B988" s="1" t="str">
        <f>TEXT(Coffee_Sales_Dataset[[#This Row],[Date]],"ddd")</f>
        <v>Thu</v>
      </c>
      <c r="C988">
        <f>HOUR(Coffee_Sales_Dataset[[#This Row],[Date]])</f>
        <v>16</v>
      </c>
      <c r="D988" t="s">
        <v>20</v>
      </c>
      <c r="E988" t="s">
        <v>21</v>
      </c>
      <c r="F988" t="s">
        <v>14</v>
      </c>
      <c r="G988">
        <v>3.69</v>
      </c>
      <c r="H988" t="s">
        <v>28</v>
      </c>
      <c r="I988" t="s">
        <v>16</v>
      </c>
      <c r="J988" t="s">
        <v>42</v>
      </c>
      <c r="K988" t="s">
        <v>40</v>
      </c>
      <c r="L988">
        <v>6</v>
      </c>
      <c r="M988" t="s">
        <v>25</v>
      </c>
      <c r="N988">
        <v>2</v>
      </c>
    </row>
    <row r="989" spans="1:14" x14ac:dyDescent="0.35">
      <c r="A989" s="5">
        <v>45656.618055555555</v>
      </c>
      <c r="B989" s="1" t="str">
        <f>TEXT(Coffee_Sales_Dataset[[#This Row],[Date]],"ddd")</f>
        <v>Mon</v>
      </c>
      <c r="C989">
        <f>HOUR(Coffee_Sales_Dataset[[#This Row],[Date]])</f>
        <v>14</v>
      </c>
      <c r="D989" t="s">
        <v>43</v>
      </c>
      <c r="E989" t="s">
        <v>21</v>
      </c>
      <c r="F989" t="s">
        <v>14</v>
      </c>
      <c r="G989">
        <v>5.55</v>
      </c>
      <c r="H989" t="s">
        <v>15</v>
      </c>
      <c r="I989" t="s">
        <v>23</v>
      </c>
      <c r="J989" t="s">
        <v>17</v>
      </c>
      <c r="K989" t="s">
        <v>18</v>
      </c>
      <c r="L989">
        <v>3</v>
      </c>
      <c r="M989" t="s">
        <v>36</v>
      </c>
      <c r="N989">
        <v>1</v>
      </c>
    </row>
    <row r="990" spans="1:14" x14ac:dyDescent="0.35">
      <c r="A990" s="5">
        <v>45644.509722222225</v>
      </c>
      <c r="B990" s="1" t="str">
        <f>TEXT(Coffee_Sales_Dataset[[#This Row],[Date]],"ddd")</f>
        <v>Wed</v>
      </c>
      <c r="C990">
        <f>HOUR(Coffee_Sales_Dataset[[#This Row],[Date]])</f>
        <v>12</v>
      </c>
      <c r="D990" t="s">
        <v>12</v>
      </c>
      <c r="E990" t="s">
        <v>34</v>
      </c>
      <c r="F990" t="s">
        <v>14</v>
      </c>
      <c r="G990">
        <v>4.72</v>
      </c>
      <c r="H990" t="s">
        <v>28</v>
      </c>
      <c r="I990" t="s">
        <v>16</v>
      </c>
      <c r="J990" t="s">
        <v>31</v>
      </c>
      <c r="K990" t="s">
        <v>40</v>
      </c>
      <c r="L990">
        <v>9</v>
      </c>
      <c r="M990" t="s">
        <v>37</v>
      </c>
      <c r="N990">
        <v>3</v>
      </c>
    </row>
    <row r="991" spans="1:14" x14ac:dyDescent="0.35">
      <c r="A991" s="5">
        <v>45656.432638888888</v>
      </c>
      <c r="B991" s="1" t="str">
        <f>TEXT(Coffee_Sales_Dataset[[#This Row],[Date]],"ddd")</f>
        <v>Mon</v>
      </c>
      <c r="C991">
        <f>HOUR(Coffee_Sales_Dataset[[#This Row],[Date]])</f>
        <v>10</v>
      </c>
      <c r="D991" t="s">
        <v>43</v>
      </c>
      <c r="E991" t="s">
        <v>38</v>
      </c>
      <c r="F991" t="s">
        <v>14</v>
      </c>
      <c r="G991">
        <v>4.24</v>
      </c>
      <c r="H991" t="s">
        <v>30</v>
      </c>
      <c r="I991" t="s">
        <v>23</v>
      </c>
      <c r="J991" t="s">
        <v>31</v>
      </c>
      <c r="K991" t="s">
        <v>32</v>
      </c>
      <c r="L991">
        <v>6</v>
      </c>
      <c r="M991" t="s">
        <v>47</v>
      </c>
      <c r="N991">
        <v>3</v>
      </c>
    </row>
    <row r="992" spans="1:14" x14ac:dyDescent="0.35">
      <c r="A992" s="5">
        <v>45641.594444444447</v>
      </c>
      <c r="B992" s="1" t="str">
        <f>TEXT(Coffee_Sales_Dataset[[#This Row],[Date]],"ddd")</f>
        <v>Sun</v>
      </c>
      <c r="C992">
        <f>HOUR(Coffee_Sales_Dataset[[#This Row],[Date]])</f>
        <v>14</v>
      </c>
      <c r="D992" t="s">
        <v>43</v>
      </c>
      <c r="E992" t="s">
        <v>44</v>
      </c>
      <c r="F992" t="s">
        <v>22</v>
      </c>
      <c r="G992">
        <v>4.1399999999999997</v>
      </c>
      <c r="H992" t="s">
        <v>15</v>
      </c>
      <c r="I992" t="s">
        <v>16</v>
      </c>
      <c r="J992" t="s">
        <v>45</v>
      </c>
      <c r="K992" t="s">
        <v>40</v>
      </c>
      <c r="L992">
        <v>5</v>
      </c>
      <c r="M992" t="s">
        <v>33</v>
      </c>
      <c r="N992">
        <v>1</v>
      </c>
    </row>
    <row r="993" spans="1:14" x14ac:dyDescent="0.35">
      <c r="A993" s="5">
        <v>45642.464583333334</v>
      </c>
      <c r="B993" s="1" t="str">
        <f>TEXT(Coffee_Sales_Dataset[[#This Row],[Date]],"ddd")</f>
        <v>Mon</v>
      </c>
      <c r="C993">
        <f>HOUR(Coffee_Sales_Dataset[[#This Row],[Date]])</f>
        <v>11</v>
      </c>
      <c r="D993" t="s">
        <v>12</v>
      </c>
      <c r="E993" t="s">
        <v>34</v>
      </c>
      <c r="F993" t="s">
        <v>35</v>
      </c>
      <c r="G993">
        <v>5.46</v>
      </c>
      <c r="H993" t="s">
        <v>28</v>
      </c>
      <c r="I993" t="s">
        <v>16</v>
      </c>
      <c r="J993" t="s">
        <v>45</v>
      </c>
      <c r="K993" t="s">
        <v>18</v>
      </c>
      <c r="L993">
        <v>3</v>
      </c>
      <c r="M993" t="s">
        <v>25</v>
      </c>
      <c r="N993">
        <v>4</v>
      </c>
    </row>
    <row r="994" spans="1:14" x14ac:dyDescent="0.35">
      <c r="A994" s="5">
        <v>45655.616666666669</v>
      </c>
      <c r="B994" s="1" t="str">
        <f>TEXT(Coffee_Sales_Dataset[[#This Row],[Date]],"ddd")</f>
        <v>Sun</v>
      </c>
      <c r="C994">
        <f>HOUR(Coffee_Sales_Dataset[[#This Row],[Date]])</f>
        <v>14</v>
      </c>
      <c r="D994" t="s">
        <v>20</v>
      </c>
      <c r="E994" t="s">
        <v>27</v>
      </c>
      <c r="F994" t="s">
        <v>35</v>
      </c>
      <c r="G994">
        <v>4.17</v>
      </c>
      <c r="H994" t="s">
        <v>28</v>
      </c>
      <c r="I994" t="s">
        <v>23</v>
      </c>
      <c r="J994" t="s">
        <v>42</v>
      </c>
      <c r="K994" t="s">
        <v>40</v>
      </c>
      <c r="L994">
        <v>2</v>
      </c>
      <c r="M994" t="s">
        <v>36</v>
      </c>
      <c r="N994">
        <v>5</v>
      </c>
    </row>
    <row r="995" spans="1:14" x14ac:dyDescent="0.35">
      <c r="A995" s="5">
        <v>45649.452777777777</v>
      </c>
      <c r="B995" s="1" t="str">
        <f>TEXT(Coffee_Sales_Dataset[[#This Row],[Date]],"ddd")</f>
        <v>Mon</v>
      </c>
      <c r="C995">
        <f>HOUR(Coffee_Sales_Dataset[[#This Row],[Date]])</f>
        <v>10</v>
      </c>
      <c r="D995" t="s">
        <v>26</v>
      </c>
      <c r="E995" t="s">
        <v>46</v>
      </c>
      <c r="F995" t="s">
        <v>22</v>
      </c>
      <c r="G995">
        <v>5.86</v>
      </c>
      <c r="H995" t="s">
        <v>28</v>
      </c>
      <c r="I995" t="s">
        <v>23</v>
      </c>
      <c r="J995" t="s">
        <v>29</v>
      </c>
      <c r="K995" t="s">
        <v>18</v>
      </c>
      <c r="L995">
        <v>8</v>
      </c>
      <c r="M995" t="s">
        <v>36</v>
      </c>
      <c r="N995">
        <v>1</v>
      </c>
    </row>
    <row r="996" spans="1:14" x14ac:dyDescent="0.35">
      <c r="A996" s="5">
        <v>45645.459722222222</v>
      </c>
      <c r="B996" s="1" t="str">
        <f>TEXT(Coffee_Sales_Dataset[[#This Row],[Date]],"ddd")</f>
        <v>Thu</v>
      </c>
      <c r="C996">
        <f>HOUR(Coffee_Sales_Dataset[[#This Row],[Date]])</f>
        <v>11</v>
      </c>
      <c r="D996" t="s">
        <v>12</v>
      </c>
      <c r="E996" t="s">
        <v>38</v>
      </c>
      <c r="F996" t="s">
        <v>14</v>
      </c>
      <c r="G996">
        <v>4.3</v>
      </c>
      <c r="H996" t="s">
        <v>28</v>
      </c>
      <c r="I996" t="s">
        <v>23</v>
      </c>
      <c r="J996" t="s">
        <v>24</v>
      </c>
      <c r="K996" t="s">
        <v>18</v>
      </c>
      <c r="L996">
        <v>5</v>
      </c>
      <c r="M996" t="s">
        <v>47</v>
      </c>
      <c r="N996">
        <v>2</v>
      </c>
    </row>
    <row r="997" spans="1:14" x14ac:dyDescent="0.35">
      <c r="A997" s="5">
        <v>45655.334722222222</v>
      </c>
      <c r="B997" s="1" t="str">
        <f>TEXT(Coffee_Sales_Dataset[[#This Row],[Date]],"ddd")</f>
        <v>Sun</v>
      </c>
      <c r="C997">
        <f>HOUR(Coffee_Sales_Dataset[[#This Row],[Date]])</f>
        <v>8</v>
      </c>
      <c r="D997" t="s">
        <v>26</v>
      </c>
      <c r="E997" t="s">
        <v>38</v>
      </c>
      <c r="F997" t="s">
        <v>14</v>
      </c>
      <c r="G997">
        <v>5.86</v>
      </c>
      <c r="H997" t="s">
        <v>15</v>
      </c>
      <c r="I997" t="s">
        <v>16</v>
      </c>
      <c r="J997" t="s">
        <v>42</v>
      </c>
      <c r="K997" t="s">
        <v>18</v>
      </c>
      <c r="L997">
        <v>6</v>
      </c>
      <c r="M997" t="s">
        <v>37</v>
      </c>
      <c r="N997">
        <v>1</v>
      </c>
    </row>
    <row r="998" spans="1:14" x14ac:dyDescent="0.35">
      <c r="A998" s="5">
        <v>45654.549305555556</v>
      </c>
      <c r="B998" s="1" t="str">
        <f>TEXT(Coffee_Sales_Dataset[[#This Row],[Date]],"ddd")</f>
        <v>Sat</v>
      </c>
      <c r="C998">
        <f>HOUR(Coffee_Sales_Dataset[[#This Row],[Date]])</f>
        <v>13</v>
      </c>
      <c r="D998" t="s">
        <v>43</v>
      </c>
      <c r="E998" t="s">
        <v>34</v>
      </c>
      <c r="F998" t="s">
        <v>22</v>
      </c>
      <c r="G998">
        <v>6.67</v>
      </c>
      <c r="H998" t="s">
        <v>15</v>
      </c>
      <c r="I998" t="s">
        <v>16</v>
      </c>
      <c r="J998" t="s">
        <v>24</v>
      </c>
      <c r="K998" t="s">
        <v>32</v>
      </c>
      <c r="L998">
        <v>2</v>
      </c>
      <c r="M998" t="s">
        <v>33</v>
      </c>
      <c r="N998">
        <v>5</v>
      </c>
    </row>
    <row r="999" spans="1:14" x14ac:dyDescent="0.35">
      <c r="A999" s="5">
        <v>45644.705555555556</v>
      </c>
      <c r="B999" s="1" t="str">
        <f>TEXT(Coffee_Sales_Dataset[[#This Row],[Date]],"ddd")</f>
        <v>Wed</v>
      </c>
      <c r="C999">
        <f>HOUR(Coffee_Sales_Dataset[[#This Row],[Date]])</f>
        <v>16</v>
      </c>
      <c r="D999" t="s">
        <v>43</v>
      </c>
      <c r="E999" t="s">
        <v>44</v>
      </c>
      <c r="F999" t="s">
        <v>14</v>
      </c>
      <c r="G999">
        <v>4.9000000000000004</v>
      </c>
      <c r="H999" t="s">
        <v>28</v>
      </c>
      <c r="I999" t="s">
        <v>23</v>
      </c>
      <c r="J999" t="s">
        <v>42</v>
      </c>
      <c r="K999" t="s">
        <v>18</v>
      </c>
      <c r="L999">
        <v>10</v>
      </c>
      <c r="M999" t="s">
        <v>39</v>
      </c>
      <c r="N999">
        <v>1</v>
      </c>
    </row>
    <row r="1000" spans="1:14" x14ac:dyDescent="0.35">
      <c r="A1000" s="5">
        <v>45651.552083333336</v>
      </c>
      <c r="B1000" s="1" t="str">
        <f>TEXT(Coffee_Sales_Dataset[[#This Row],[Date]],"ddd")</f>
        <v>Wed</v>
      </c>
      <c r="C1000">
        <f>HOUR(Coffee_Sales_Dataset[[#This Row],[Date]])</f>
        <v>13</v>
      </c>
      <c r="D1000" t="s">
        <v>41</v>
      </c>
      <c r="E1000" t="s">
        <v>13</v>
      </c>
      <c r="F1000" t="s">
        <v>14</v>
      </c>
      <c r="G1000">
        <v>5.15</v>
      </c>
      <c r="H1000" t="s">
        <v>28</v>
      </c>
      <c r="I1000" t="s">
        <v>16</v>
      </c>
      <c r="J1000" t="s">
        <v>31</v>
      </c>
      <c r="K1000" t="s">
        <v>18</v>
      </c>
      <c r="L1000">
        <v>8</v>
      </c>
      <c r="M1000" t="s">
        <v>33</v>
      </c>
      <c r="N1000">
        <v>5</v>
      </c>
    </row>
    <row r="1001" spans="1:14" x14ac:dyDescent="0.35">
      <c r="A1001" s="5">
        <v>45650.609027777777</v>
      </c>
      <c r="B1001" s="1" t="str">
        <f>TEXT(Coffee_Sales_Dataset[[#This Row],[Date]],"ddd")</f>
        <v>Tue</v>
      </c>
      <c r="C1001">
        <f>HOUR(Coffee_Sales_Dataset[[#This Row],[Date]])</f>
        <v>14</v>
      </c>
      <c r="D1001" t="s">
        <v>41</v>
      </c>
      <c r="E1001" t="s">
        <v>38</v>
      </c>
      <c r="F1001" t="s">
        <v>14</v>
      </c>
      <c r="G1001">
        <v>6.54</v>
      </c>
      <c r="H1001" t="s">
        <v>28</v>
      </c>
      <c r="I1001" t="s">
        <v>23</v>
      </c>
      <c r="J1001" t="s">
        <v>24</v>
      </c>
      <c r="K1001" t="s">
        <v>32</v>
      </c>
      <c r="L1001">
        <v>9</v>
      </c>
      <c r="M1001" t="s">
        <v>37</v>
      </c>
      <c r="N1001">
        <v>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720CD-55F8-4F74-A189-B95DA419A2ED}">
  <dimension ref="A3:H79"/>
  <sheetViews>
    <sheetView showGridLines="0" workbookViewId="0">
      <selection activeCell="B6" sqref="B6"/>
    </sheetView>
  </sheetViews>
  <sheetFormatPr defaultRowHeight="14.5" x14ac:dyDescent="0.35"/>
  <cols>
    <col min="1" max="1" width="25.08984375" style="8" customWidth="1"/>
    <col min="2" max="2" width="10.7265625" bestFit="1" customWidth="1"/>
    <col min="3" max="3" width="4.7265625" bestFit="1" customWidth="1"/>
    <col min="4" max="4" width="3.90625" bestFit="1" customWidth="1"/>
    <col min="5" max="5" width="4.7265625" bestFit="1" customWidth="1"/>
    <col min="6" max="6" width="4" bestFit="1" customWidth="1"/>
    <col min="7" max="7" width="2.90625" bestFit="1" customWidth="1"/>
    <col min="8" max="8" width="3.453125" bestFit="1" customWidth="1"/>
    <col min="9" max="9" width="6.7265625" bestFit="1" customWidth="1"/>
    <col min="10" max="10" width="10.7265625" bestFit="1" customWidth="1"/>
  </cols>
  <sheetData>
    <row r="3" spans="1:8" x14ac:dyDescent="0.35">
      <c r="A3" s="9" t="s">
        <v>59</v>
      </c>
    </row>
    <row r="4" spans="1:8" s="7" customFormat="1" x14ac:dyDescent="0.35">
      <c r="A4"/>
      <c r="B4" s="7" t="s">
        <v>52</v>
      </c>
      <c r="C4" s="7" t="s">
        <v>53</v>
      </c>
      <c r="D4" s="7" t="s">
        <v>54</v>
      </c>
      <c r="E4" s="7" t="s">
        <v>55</v>
      </c>
      <c r="F4" s="7" t="s">
        <v>56</v>
      </c>
      <c r="G4" s="7" t="s">
        <v>57</v>
      </c>
      <c r="H4" s="7" t="s">
        <v>58</v>
      </c>
    </row>
    <row r="5" spans="1:8" x14ac:dyDescent="0.35">
      <c r="A5" s="3">
        <v>8</v>
      </c>
      <c r="B5" s="6">
        <v>16</v>
      </c>
      <c r="C5" s="6">
        <v>19</v>
      </c>
      <c r="D5" s="6">
        <v>13</v>
      </c>
      <c r="E5" s="6">
        <v>10</v>
      </c>
      <c r="F5" s="6">
        <v>4</v>
      </c>
      <c r="G5" s="6">
        <v>14</v>
      </c>
      <c r="H5" s="6">
        <v>13</v>
      </c>
    </row>
    <row r="6" spans="1:8" x14ac:dyDescent="0.35">
      <c r="A6" s="3">
        <v>9</v>
      </c>
      <c r="B6" s="6">
        <v>16</v>
      </c>
      <c r="C6" s="6">
        <v>25</v>
      </c>
      <c r="D6" s="6">
        <v>18</v>
      </c>
      <c r="E6" s="6">
        <v>15</v>
      </c>
      <c r="F6" s="6">
        <v>18</v>
      </c>
      <c r="G6" s="6">
        <v>14</v>
      </c>
      <c r="H6" s="6">
        <v>8</v>
      </c>
    </row>
    <row r="7" spans="1:8" x14ac:dyDescent="0.35">
      <c r="A7" s="3">
        <v>10</v>
      </c>
      <c r="B7" s="6">
        <v>19</v>
      </c>
      <c r="C7" s="6">
        <v>26</v>
      </c>
      <c r="D7" s="6">
        <v>15</v>
      </c>
      <c r="E7" s="6">
        <v>17</v>
      </c>
      <c r="F7" s="6">
        <v>8</v>
      </c>
      <c r="G7" s="6">
        <v>14</v>
      </c>
      <c r="H7" s="6">
        <v>17</v>
      </c>
    </row>
    <row r="8" spans="1:8" x14ac:dyDescent="0.35">
      <c r="A8" s="3">
        <v>11</v>
      </c>
      <c r="B8" s="6">
        <v>16</v>
      </c>
      <c r="C8" s="6">
        <v>15</v>
      </c>
      <c r="D8" s="6">
        <v>11</v>
      </c>
      <c r="E8" s="6">
        <v>8</v>
      </c>
      <c r="F8" s="6">
        <v>19</v>
      </c>
      <c r="G8" s="6">
        <v>19</v>
      </c>
      <c r="H8" s="6">
        <v>6</v>
      </c>
    </row>
    <row r="9" spans="1:8" x14ac:dyDescent="0.35">
      <c r="A9" s="3">
        <v>12</v>
      </c>
      <c r="B9" s="6">
        <v>11</v>
      </c>
      <c r="C9" s="6">
        <v>18</v>
      </c>
      <c r="D9" s="6">
        <v>12</v>
      </c>
      <c r="E9" s="6">
        <v>11</v>
      </c>
      <c r="F9" s="6">
        <v>10</v>
      </c>
      <c r="G9" s="6">
        <v>18</v>
      </c>
      <c r="H9" s="6">
        <v>11</v>
      </c>
    </row>
    <row r="10" spans="1:8" x14ac:dyDescent="0.35">
      <c r="A10" s="3">
        <v>13</v>
      </c>
      <c r="B10" s="6">
        <v>15</v>
      </c>
      <c r="C10" s="6">
        <v>27</v>
      </c>
      <c r="D10" s="6">
        <v>16</v>
      </c>
      <c r="E10" s="6">
        <v>8</v>
      </c>
      <c r="F10" s="6">
        <v>6</v>
      </c>
      <c r="G10" s="6">
        <v>11</v>
      </c>
      <c r="H10" s="6">
        <v>13</v>
      </c>
    </row>
    <row r="11" spans="1:8" x14ac:dyDescent="0.35">
      <c r="A11" s="3">
        <v>14</v>
      </c>
      <c r="B11" s="6">
        <v>17</v>
      </c>
      <c r="C11" s="6">
        <v>20</v>
      </c>
      <c r="D11" s="6">
        <v>16</v>
      </c>
      <c r="E11" s="6">
        <v>11</v>
      </c>
      <c r="F11" s="6">
        <v>12</v>
      </c>
      <c r="G11" s="6">
        <v>8</v>
      </c>
      <c r="H11" s="6">
        <v>12</v>
      </c>
    </row>
    <row r="12" spans="1:8" x14ac:dyDescent="0.35">
      <c r="A12" s="3">
        <v>15</v>
      </c>
      <c r="B12" s="6">
        <v>18</v>
      </c>
      <c r="C12" s="6">
        <v>22</v>
      </c>
      <c r="D12" s="6">
        <v>11</v>
      </c>
      <c r="E12" s="6">
        <v>8</v>
      </c>
      <c r="F12" s="6">
        <v>11</v>
      </c>
      <c r="G12" s="6">
        <v>7</v>
      </c>
      <c r="H12" s="6">
        <v>16</v>
      </c>
    </row>
    <row r="13" spans="1:8" x14ac:dyDescent="0.35">
      <c r="A13" s="3">
        <v>16</v>
      </c>
      <c r="B13" s="6">
        <v>27</v>
      </c>
      <c r="C13" s="6">
        <v>19</v>
      </c>
      <c r="D13" s="6">
        <v>12</v>
      </c>
      <c r="E13" s="6">
        <v>12</v>
      </c>
      <c r="F13" s="6">
        <v>14</v>
      </c>
      <c r="G13" s="6">
        <v>13</v>
      </c>
      <c r="H13" s="6">
        <v>15</v>
      </c>
    </row>
    <row r="14" spans="1:8" x14ac:dyDescent="0.35">
      <c r="A14" s="3">
        <v>17</v>
      </c>
      <c r="B14" s="6">
        <v>17</v>
      </c>
      <c r="C14" s="6">
        <v>18</v>
      </c>
      <c r="D14" s="6">
        <v>14</v>
      </c>
      <c r="E14" s="6">
        <v>12</v>
      </c>
      <c r="F14" s="6">
        <v>2</v>
      </c>
      <c r="G14" s="6">
        <v>16</v>
      </c>
      <c r="H14" s="6">
        <v>20</v>
      </c>
    </row>
    <row r="18" spans="1:8" x14ac:dyDescent="0.35">
      <c r="A18" s="9" t="s">
        <v>59</v>
      </c>
    </row>
    <row r="19" spans="1:8" x14ac:dyDescent="0.35">
      <c r="A19"/>
      <c r="B19" s="7" t="s">
        <v>52</v>
      </c>
      <c r="C19" s="7" t="s">
        <v>53</v>
      </c>
      <c r="D19" s="7" t="s">
        <v>54</v>
      </c>
      <c r="E19" s="7" t="s">
        <v>55</v>
      </c>
      <c r="F19" s="7" t="s">
        <v>56</v>
      </c>
      <c r="G19" s="7" t="s">
        <v>57</v>
      </c>
      <c r="H19" s="7" t="s">
        <v>58</v>
      </c>
    </row>
    <row r="20" spans="1:8" x14ac:dyDescent="0.35">
      <c r="A20" s="3">
        <v>8</v>
      </c>
      <c r="B20" s="6">
        <v>16</v>
      </c>
      <c r="C20" s="6">
        <v>19</v>
      </c>
      <c r="D20" s="6">
        <v>13</v>
      </c>
      <c r="E20" s="6">
        <v>10</v>
      </c>
      <c r="F20" s="6">
        <v>4</v>
      </c>
      <c r="G20" s="6">
        <v>14</v>
      </c>
      <c r="H20" s="6">
        <v>13</v>
      </c>
    </row>
    <row r="21" spans="1:8" x14ac:dyDescent="0.35">
      <c r="A21" s="4" t="s">
        <v>26</v>
      </c>
      <c r="B21" s="6">
        <v>6</v>
      </c>
      <c r="C21" s="6">
        <v>4</v>
      </c>
      <c r="D21" s="6">
        <v>4</v>
      </c>
      <c r="E21" s="6">
        <v>1</v>
      </c>
      <c r="F21" s="6"/>
      <c r="G21" s="6">
        <v>4</v>
      </c>
      <c r="H21" s="6">
        <v>1</v>
      </c>
    </row>
    <row r="22" spans="1:8" x14ac:dyDescent="0.35">
      <c r="A22" s="4" t="s">
        <v>43</v>
      </c>
      <c r="B22" s="6">
        <v>3</v>
      </c>
      <c r="C22" s="6">
        <v>4</v>
      </c>
      <c r="D22" s="6"/>
      <c r="E22" s="6">
        <v>4</v>
      </c>
      <c r="F22" s="6"/>
      <c r="G22" s="6">
        <v>4</v>
      </c>
      <c r="H22" s="6">
        <v>3</v>
      </c>
    </row>
    <row r="23" spans="1:8" x14ac:dyDescent="0.35">
      <c r="A23" s="4" t="s">
        <v>41</v>
      </c>
      <c r="B23" s="6">
        <v>2</v>
      </c>
      <c r="C23" s="6">
        <v>5</v>
      </c>
      <c r="D23" s="6">
        <v>5</v>
      </c>
      <c r="E23" s="6"/>
      <c r="F23" s="6">
        <v>2</v>
      </c>
      <c r="G23" s="6">
        <v>2</v>
      </c>
      <c r="H23" s="6">
        <v>1</v>
      </c>
    </row>
    <row r="24" spans="1:8" x14ac:dyDescent="0.35">
      <c r="A24" s="4" t="s">
        <v>12</v>
      </c>
      <c r="B24" s="6">
        <v>4</v>
      </c>
      <c r="C24" s="6">
        <v>4</v>
      </c>
      <c r="D24" s="6">
        <v>3</v>
      </c>
      <c r="E24" s="6">
        <v>5</v>
      </c>
      <c r="F24" s="6"/>
      <c r="G24" s="6">
        <v>2</v>
      </c>
      <c r="H24" s="6">
        <v>7</v>
      </c>
    </row>
    <row r="25" spans="1:8" x14ac:dyDescent="0.35">
      <c r="A25" s="4" t="s">
        <v>20</v>
      </c>
      <c r="B25" s="6">
        <v>1</v>
      </c>
      <c r="C25" s="6">
        <v>2</v>
      </c>
      <c r="D25" s="6">
        <v>1</v>
      </c>
      <c r="E25" s="6"/>
      <c r="F25" s="6">
        <v>2</v>
      </c>
      <c r="G25" s="6">
        <v>2</v>
      </c>
      <c r="H25" s="6">
        <v>1</v>
      </c>
    </row>
    <row r="26" spans="1:8" x14ac:dyDescent="0.35">
      <c r="A26" s="3">
        <v>9</v>
      </c>
      <c r="B26" s="6">
        <v>16</v>
      </c>
      <c r="C26" s="6">
        <v>25</v>
      </c>
      <c r="D26" s="6">
        <v>18</v>
      </c>
      <c r="E26" s="6">
        <v>15</v>
      </c>
      <c r="F26" s="6">
        <v>18</v>
      </c>
      <c r="G26" s="6">
        <v>14</v>
      </c>
      <c r="H26" s="6">
        <v>8</v>
      </c>
    </row>
    <row r="27" spans="1:8" x14ac:dyDescent="0.35">
      <c r="A27" s="4" t="s">
        <v>26</v>
      </c>
      <c r="B27" s="6">
        <v>1</v>
      </c>
      <c r="C27" s="6">
        <v>5</v>
      </c>
      <c r="D27" s="6">
        <v>3</v>
      </c>
      <c r="E27" s="6">
        <v>3</v>
      </c>
      <c r="F27" s="6">
        <v>4</v>
      </c>
      <c r="G27" s="6">
        <v>1</v>
      </c>
      <c r="H27" s="6">
        <v>2</v>
      </c>
    </row>
    <row r="28" spans="1:8" x14ac:dyDescent="0.35">
      <c r="A28" s="4" t="s">
        <v>43</v>
      </c>
      <c r="B28" s="6">
        <v>5</v>
      </c>
      <c r="C28" s="6">
        <v>7</v>
      </c>
      <c r="D28" s="6">
        <v>5</v>
      </c>
      <c r="E28" s="6">
        <v>3</v>
      </c>
      <c r="F28" s="6">
        <v>1</v>
      </c>
      <c r="G28" s="6">
        <v>2</v>
      </c>
      <c r="H28" s="6">
        <v>1</v>
      </c>
    </row>
    <row r="29" spans="1:8" x14ac:dyDescent="0.35">
      <c r="A29" s="4" t="s">
        <v>41</v>
      </c>
      <c r="B29" s="6">
        <v>4</v>
      </c>
      <c r="C29" s="6">
        <v>4</v>
      </c>
      <c r="D29" s="6">
        <v>4</v>
      </c>
      <c r="E29" s="6">
        <v>5</v>
      </c>
      <c r="F29" s="6">
        <v>3</v>
      </c>
      <c r="G29" s="6">
        <v>2</v>
      </c>
      <c r="H29" s="6"/>
    </row>
    <row r="30" spans="1:8" x14ac:dyDescent="0.35">
      <c r="A30" s="4" t="s">
        <v>12</v>
      </c>
      <c r="B30" s="6">
        <v>3</v>
      </c>
      <c r="C30" s="6">
        <v>4</v>
      </c>
      <c r="D30" s="6">
        <v>5</v>
      </c>
      <c r="E30" s="6">
        <v>1</v>
      </c>
      <c r="F30" s="6">
        <v>4</v>
      </c>
      <c r="G30" s="6">
        <v>2</v>
      </c>
      <c r="H30" s="6">
        <v>3</v>
      </c>
    </row>
    <row r="31" spans="1:8" x14ac:dyDescent="0.35">
      <c r="A31" s="4" t="s">
        <v>20</v>
      </c>
      <c r="B31" s="6">
        <v>3</v>
      </c>
      <c r="C31" s="6">
        <v>5</v>
      </c>
      <c r="D31" s="6">
        <v>1</v>
      </c>
      <c r="E31" s="6">
        <v>3</v>
      </c>
      <c r="F31" s="6">
        <v>6</v>
      </c>
      <c r="G31" s="6">
        <v>7</v>
      </c>
      <c r="H31" s="6">
        <v>2</v>
      </c>
    </row>
    <row r="32" spans="1:8" x14ac:dyDescent="0.35">
      <c r="A32" s="3">
        <v>10</v>
      </c>
      <c r="B32" s="6">
        <v>19</v>
      </c>
      <c r="C32" s="6">
        <v>26</v>
      </c>
      <c r="D32" s="6">
        <v>15</v>
      </c>
      <c r="E32" s="6">
        <v>17</v>
      </c>
      <c r="F32" s="6">
        <v>8</v>
      </c>
      <c r="G32" s="6">
        <v>14</v>
      </c>
      <c r="H32" s="6">
        <v>17</v>
      </c>
    </row>
    <row r="33" spans="1:8" x14ac:dyDescent="0.35">
      <c r="A33" s="4" t="s">
        <v>26</v>
      </c>
      <c r="B33" s="6">
        <v>6</v>
      </c>
      <c r="C33" s="6">
        <v>9</v>
      </c>
      <c r="D33" s="6">
        <v>4</v>
      </c>
      <c r="E33" s="6">
        <v>5</v>
      </c>
      <c r="F33" s="6">
        <v>2</v>
      </c>
      <c r="G33" s="6">
        <v>2</v>
      </c>
      <c r="H33" s="6">
        <v>4</v>
      </c>
    </row>
    <row r="34" spans="1:8" x14ac:dyDescent="0.35">
      <c r="A34" s="4" t="s">
        <v>43</v>
      </c>
      <c r="B34" s="6">
        <v>7</v>
      </c>
      <c r="C34" s="6">
        <v>4</v>
      </c>
      <c r="D34" s="6">
        <v>2</v>
      </c>
      <c r="E34" s="6">
        <v>4</v>
      </c>
      <c r="F34" s="6">
        <v>1</v>
      </c>
      <c r="G34" s="6">
        <v>1</v>
      </c>
      <c r="H34" s="6">
        <v>5</v>
      </c>
    </row>
    <row r="35" spans="1:8" x14ac:dyDescent="0.35">
      <c r="A35" s="4" t="s">
        <v>41</v>
      </c>
      <c r="B35" s="6">
        <v>1</v>
      </c>
      <c r="C35" s="6">
        <v>6</v>
      </c>
      <c r="D35" s="6">
        <v>2</v>
      </c>
      <c r="E35" s="6">
        <v>6</v>
      </c>
      <c r="F35" s="6">
        <v>2</v>
      </c>
      <c r="G35" s="6">
        <v>1</v>
      </c>
      <c r="H35" s="6">
        <v>1</v>
      </c>
    </row>
    <row r="36" spans="1:8" x14ac:dyDescent="0.35">
      <c r="A36" s="4" t="s">
        <v>12</v>
      </c>
      <c r="B36" s="6">
        <v>3</v>
      </c>
      <c r="C36" s="6">
        <v>3</v>
      </c>
      <c r="D36" s="6"/>
      <c r="E36" s="6"/>
      <c r="F36" s="6">
        <v>2</v>
      </c>
      <c r="G36" s="6">
        <v>4</v>
      </c>
      <c r="H36" s="6">
        <v>4</v>
      </c>
    </row>
    <row r="37" spans="1:8" x14ac:dyDescent="0.35">
      <c r="A37" s="4" t="s">
        <v>20</v>
      </c>
      <c r="B37" s="6">
        <v>2</v>
      </c>
      <c r="C37" s="6">
        <v>4</v>
      </c>
      <c r="D37" s="6">
        <v>7</v>
      </c>
      <c r="E37" s="6">
        <v>2</v>
      </c>
      <c r="F37" s="6">
        <v>1</v>
      </c>
      <c r="G37" s="6">
        <v>6</v>
      </c>
      <c r="H37" s="6">
        <v>3</v>
      </c>
    </row>
    <row r="38" spans="1:8" x14ac:dyDescent="0.35">
      <c r="A38" s="3">
        <v>11</v>
      </c>
      <c r="B38" s="6">
        <v>16</v>
      </c>
      <c r="C38" s="6">
        <v>15</v>
      </c>
      <c r="D38" s="6">
        <v>11</v>
      </c>
      <c r="E38" s="6">
        <v>8</v>
      </c>
      <c r="F38" s="6">
        <v>19</v>
      </c>
      <c r="G38" s="6">
        <v>19</v>
      </c>
      <c r="H38" s="6">
        <v>6</v>
      </c>
    </row>
    <row r="39" spans="1:8" x14ac:dyDescent="0.35">
      <c r="A39" s="4" t="s">
        <v>26</v>
      </c>
      <c r="B39" s="6">
        <v>3</v>
      </c>
      <c r="C39" s="6">
        <v>2</v>
      </c>
      <c r="D39" s="6"/>
      <c r="E39" s="6">
        <v>1</v>
      </c>
      <c r="F39" s="6">
        <v>5</v>
      </c>
      <c r="G39" s="6">
        <v>8</v>
      </c>
      <c r="H39" s="6"/>
    </row>
    <row r="40" spans="1:8" x14ac:dyDescent="0.35">
      <c r="A40" s="4" t="s">
        <v>43</v>
      </c>
      <c r="B40" s="6">
        <v>3</v>
      </c>
      <c r="C40" s="6"/>
      <c r="D40" s="6"/>
      <c r="E40" s="6">
        <v>2</v>
      </c>
      <c r="F40" s="6">
        <v>7</v>
      </c>
      <c r="G40" s="6">
        <v>3</v>
      </c>
      <c r="H40" s="6">
        <v>2</v>
      </c>
    </row>
    <row r="41" spans="1:8" x14ac:dyDescent="0.35">
      <c r="A41" s="4" t="s">
        <v>41</v>
      </c>
      <c r="B41" s="6">
        <v>3</v>
      </c>
      <c r="C41" s="6">
        <v>1</v>
      </c>
      <c r="D41" s="6">
        <v>5</v>
      </c>
      <c r="E41" s="6">
        <v>2</v>
      </c>
      <c r="F41" s="6">
        <v>1</v>
      </c>
      <c r="G41" s="6">
        <v>2</v>
      </c>
      <c r="H41" s="6">
        <v>2</v>
      </c>
    </row>
    <row r="42" spans="1:8" x14ac:dyDescent="0.35">
      <c r="A42" s="4" t="s">
        <v>12</v>
      </c>
      <c r="B42" s="6">
        <v>2</v>
      </c>
      <c r="C42" s="6">
        <v>10</v>
      </c>
      <c r="D42" s="6">
        <v>2</v>
      </c>
      <c r="E42" s="6">
        <v>2</v>
      </c>
      <c r="F42" s="6">
        <v>4</v>
      </c>
      <c r="G42" s="6">
        <v>3</v>
      </c>
      <c r="H42" s="6"/>
    </row>
    <row r="43" spans="1:8" x14ac:dyDescent="0.35">
      <c r="A43" s="4" t="s">
        <v>20</v>
      </c>
      <c r="B43" s="6">
        <v>5</v>
      </c>
      <c r="C43" s="6">
        <v>2</v>
      </c>
      <c r="D43" s="6">
        <v>4</v>
      </c>
      <c r="E43" s="6">
        <v>1</v>
      </c>
      <c r="F43" s="6">
        <v>2</v>
      </c>
      <c r="G43" s="6">
        <v>3</v>
      </c>
      <c r="H43" s="6">
        <v>2</v>
      </c>
    </row>
    <row r="44" spans="1:8" x14ac:dyDescent="0.35">
      <c r="A44" s="3">
        <v>12</v>
      </c>
      <c r="B44" s="6">
        <v>11</v>
      </c>
      <c r="C44" s="6">
        <v>18</v>
      </c>
      <c r="D44" s="6">
        <v>12</v>
      </c>
      <c r="E44" s="6">
        <v>11</v>
      </c>
      <c r="F44" s="6">
        <v>10</v>
      </c>
      <c r="G44" s="6">
        <v>18</v>
      </c>
      <c r="H44" s="6">
        <v>11</v>
      </c>
    </row>
    <row r="45" spans="1:8" x14ac:dyDescent="0.35">
      <c r="A45" s="4" t="s">
        <v>26</v>
      </c>
      <c r="B45" s="6">
        <v>4</v>
      </c>
      <c r="C45" s="6">
        <v>3</v>
      </c>
      <c r="D45" s="6">
        <v>2</v>
      </c>
      <c r="E45" s="6"/>
      <c r="F45" s="6">
        <v>1</v>
      </c>
      <c r="G45" s="6">
        <v>4</v>
      </c>
      <c r="H45" s="6">
        <v>3</v>
      </c>
    </row>
    <row r="46" spans="1:8" x14ac:dyDescent="0.35">
      <c r="A46" s="4" t="s">
        <v>43</v>
      </c>
      <c r="B46" s="6">
        <v>3</v>
      </c>
      <c r="C46" s="6">
        <v>4</v>
      </c>
      <c r="D46" s="6">
        <v>1</v>
      </c>
      <c r="E46" s="6">
        <v>4</v>
      </c>
      <c r="F46" s="6"/>
      <c r="G46" s="6">
        <v>4</v>
      </c>
      <c r="H46" s="6">
        <v>1</v>
      </c>
    </row>
    <row r="47" spans="1:8" x14ac:dyDescent="0.35">
      <c r="A47" s="4" t="s">
        <v>41</v>
      </c>
      <c r="B47" s="6"/>
      <c r="C47" s="6">
        <v>3</v>
      </c>
      <c r="D47" s="6">
        <v>5</v>
      </c>
      <c r="E47" s="6">
        <v>5</v>
      </c>
      <c r="F47" s="6">
        <v>1</v>
      </c>
      <c r="G47" s="6">
        <v>4</v>
      </c>
      <c r="H47" s="6">
        <v>3</v>
      </c>
    </row>
    <row r="48" spans="1:8" x14ac:dyDescent="0.35">
      <c r="A48" s="4" t="s">
        <v>12</v>
      </c>
      <c r="B48" s="6">
        <v>2</v>
      </c>
      <c r="C48" s="6">
        <v>6</v>
      </c>
      <c r="D48" s="6">
        <v>1</v>
      </c>
      <c r="E48" s="6">
        <v>2</v>
      </c>
      <c r="F48" s="6">
        <v>3</v>
      </c>
      <c r="G48" s="6">
        <v>3</v>
      </c>
      <c r="H48" s="6">
        <v>2</v>
      </c>
    </row>
    <row r="49" spans="1:8" x14ac:dyDescent="0.35">
      <c r="A49" s="4" t="s">
        <v>20</v>
      </c>
      <c r="B49" s="6">
        <v>2</v>
      </c>
      <c r="C49" s="6">
        <v>2</v>
      </c>
      <c r="D49" s="6">
        <v>3</v>
      </c>
      <c r="E49" s="6"/>
      <c r="F49" s="6">
        <v>5</v>
      </c>
      <c r="G49" s="6">
        <v>3</v>
      </c>
      <c r="H49" s="6">
        <v>2</v>
      </c>
    </row>
    <row r="50" spans="1:8" x14ac:dyDescent="0.35">
      <c r="A50" s="3">
        <v>13</v>
      </c>
      <c r="B50" s="6">
        <v>15</v>
      </c>
      <c r="C50" s="6">
        <v>27</v>
      </c>
      <c r="D50" s="6">
        <v>16</v>
      </c>
      <c r="E50" s="6">
        <v>8</v>
      </c>
      <c r="F50" s="6">
        <v>6</v>
      </c>
      <c r="G50" s="6">
        <v>11</v>
      </c>
      <c r="H50" s="6">
        <v>13</v>
      </c>
    </row>
    <row r="51" spans="1:8" x14ac:dyDescent="0.35">
      <c r="A51" s="4" t="s">
        <v>26</v>
      </c>
      <c r="B51" s="6">
        <v>4</v>
      </c>
      <c r="C51" s="6">
        <v>7</v>
      </c>
      <c r="D51" s="6">
        <v>6</v>
      </c>
      <c r="E51" s="6"/>
      <c r="F51" s="6">
        <v>2</v>
      </c>
      <c r="G51" s="6">
        <v>1</v>
      </c>
      <c r="H51" s="6">
        <v>4</v>
      </c>
    </row>
    <row r="52" spans="1:8" x14ac:dyDescent="0.35">
      <c r="A52" s="4" t="s">
        <v>43</v>
      </c>
      <c r="B52" s="6">
        <v>5</v>
      </c>
      <c r="C52" s="6">
        <v>7</v>
      </c>
      <c r="D52" s="6">
        <v>2</v>
      </c>
      <c r="E52" s="6"/>
      <c r="F52" s="6">
        <v>2</v>
      </c>
      <c r="G52" s="6">
        <v>2</v>
      </c>
      <c r="H52" s="6">
        <v>1</v>
      </c>
    </row>
    <row r="53" spans="1:8" x14ac:dyDescent="0.35">
      <c r="A53" s="4" t="s">
        <v>41</v>
      </c>
      <c r="B53" s="6"/>
      <c r="C53" s="6">
        <v>3</v>
      </c>
      <c r="D53" s="6">
        <v>3</v>
      </c>
      <c r="E53" s="6">
        <v>5</v>
      </c>
      <c r="F53" s="6"/>
      <c r="G53" s="6">
        <v>1</v>
      </c>
      <c r="H53" s="6">
        <v>4</v>
      </c>
    </row>
    <row r="54" spans="1:8" x14ac:dyDescent="0.35">
      <c r="A54" s="4" t="s">
        <v>12</v>
      </c>
      <c r="B54" s="6">
        <v>1</v>
      </c>
      <c r="C54" s="6">
        <v>7</v>
      </c>
      <c r="D54" s="6">
        <v>2</v>
      </c>
      <c r="E54" s="6">
        <v>1</v>
      </c>
      <c r="F54" s="6">
        <v>1</v>
      </c>
      <c r="G54" s="6">
        <v>5</v>
      </c>
      <c r="H54" s="6">
        <v>3</v>
      </c>
    </row>
    <row r="55" spans="1:8" x14ac:dyDescent="0.35">
      <c r="A55" s="4" t="s">
        <v>20</v>
      </c>
      <c r="B55" s="6">
        <v>5</v>
      </c>
      <c r="C55" s="6">
        <v>3</v>
      </c>
      <c r="D55" s="6">
        <v>3</v>
      </c>
      <c r="E55" s="6">
        <v>2</v>
      </c>
      <c r="F55" s="6">
        <v>1</v>
      </c>
      <c r="G55" s="6">
        <v>2</v>
      </c>
      <c r="H55" s="6">
        <v>1</v>
      </c>
    </row>
    <row r="56" spans="1:8" x14ac:dyDescent="0.35">
      <c r="A56" s="3">
        <v>14</v>
      </c>
      <c r="B56" s="6">
        <v>17</v>
      </c>
      <c r="C56" s="6">
        <v>20</v>
      </c>
      <c r="D56" s="6">
        <v>16</v>
      </c>
      <c r="E56" s="6">
        <v>11</v>
      </c>
      <c r="F56" s="6">
        <v>12</v>
      </c>
      <c r="G56" s="6">
        <v>8</v>
      </c>
      <c r="H56" s="6">
        <v>12</v>
      </c>
    </row>
    <row r="57" spans="1:8" x14ac:dyDescent="0.35">
      <c r="A57" s="4" t="s">
        <v>26</v>
      </c>
      <c r="B57" s="6">
        <v>1</v>
      </c>
      <c r="C57" s="6">
        <v>2</v>
      </c>
      <c r="D57" s="6">
        <v>3</v>
      </c>
      <c r="E57" s="6">
        <v>2</v>
      </c>
      <c r="F57" s="6">
        <v>2</v>
      </c>
      <c r="G57" s="6">
        <v>1</v>
      </c>
      <c r="H57" s="6">
        <v>3</v>
      </c>
    </row>
    <row r="58" spans="1:8" x14ac:dyDescent="0.35">
      <c r="A58" s="4" t="s">
        <v>43</v>
      </c>
      <c r="B58" s="6">
        <v>4</v>
      </c>
      <c r="C58" s="6">
        <v>8</v>
      </c>
      <c r="D58" s="6">
        <v>4</v>
      </c>
      <c r="E58" s="6">
        <v>3</v>
      </c>
      <c r="F58" s="6">
        <v>3</v>
      </c>
      <c r="G58" s="6">
        <v>1</v>
      </c>
      <c r="H58" s="6">
        <v>5</v>
      </c>
    </row>
    <row r="59" spans="1:8" x14ac:dyDescent="0.35">
      <c r="A59" s="4" t="s">
        <v>41</v>
      </c>
      <c r="B59" s="6">
        <v>3</v>
      </c>
      <c r="C59" s="6">
        <v>2</v>
      </c>
      <c r="D59" s="6">
        <v>3</v>
      </c>
      <c r="E59" s="6">
        <v>2</v>
      </c>
      <c r="F59" s="6">
        <v>3</v>
      </c>
      <c r="G59" s="6">
        <v>2</v>
      </c>
      <c r="H59" s="6">
        <v>2</v>
      </c>
    </row>
    <row r="60" spans="1:8" x14ac:dyDescent="0.35">
      <c r="A60" s="4" t="s">
        <v>12</v>
      </c>
      <c r="B60" s="6">
        <v>6</v>
      </c>
      <c r="C60" s="6">
        <v>3</v>
      </c>
      <c r="D60" s="6">
        <v>1</v>
      </c>
      <c r="E60" s="6">
        <v>2</v>
      </c>
      <c r="F60" s="6">
        <v>1</v>
      </c>
      <c r="G60" s="6">
        <v>3</v>
      </c>
      <c r="H60" s="6">
        <v>1</v>
      </c>
    </row>
    <row r="61" spans="1:8" x14ac:dyDescent="0.35">
      <c r="A61" s="4" t="s">
        <v>20</v>
      </c>
      <c r="B61" s="6">
        <v>3</v>
      </c>
      <c r="C61" s="6">
        <v>5</v>
      </c>
      <c r="D61" s="6">
        <v>5</v>
      </c>
      <c r="E61" s="6">
        <v>2</v>
      </c>
      <c r="F61" s="6">
        <v>3</v>
      </c>
      <c r="G61" s="6">
        <v>1</v>
      </c>
      <c r="H61" s="6">
        <v>1</v>
      </c>
    </row>
    <row r="62" spans="1:8" x14ac:dyDescent="0.35">
      <c r="A62" s="3">
        <v>15</v>
      </c>
      <c r="B62" s="6">
        <v>18</v>
      </c>
      <c r="C62" s="6">
        <v>22</v>
      </c>
      <c r="D62" s="6">
        <v>11</v>
      </c>
      <c r="E62" s="6">
        <v>8</v>
      </c>
      <c r="F62" s="6">
        <v>11</v>
      </c>
      <c r="G62" s="6">
        <v>7</v>
      </c>
      <c r="H62" s="6">
        <v>16</v>
      </c>
    </row>
    <row r="63" spans="1:8" x14ac:dyDescent="0.35">
      <c r="A63" s="4" t="s">
        <v>26</v>
      </c>
      <c r="B63" s="6">
        <v>4</v>
      </c>
      <c r="C63" s="6">
        <v>6</v>
      </c>
      <c r="D63" s="6">
        <v>2</v>
      </c>
      <c r="E63" s="6">
        <v>2</v>
      </c>
      <c r="F63" s="6">
        <v>1</v>
      </c>
      <c r="G63" s="6">
        <v>1</v>
      </c>
      <c r="H63" s="6">
        <v>3</v>
      </c>
    </row>
    <row r="64" spans="1:8" x14ac:dyDescent="0.35">
      <c r="A64" s="4" t="s">
        <v>43</v>
      </c>
      <c r="B64" s="6">
        <v>3</v>
      </c>
      <c r="C64" s="6">
        <v>4</v>
      </c>
      <c r="D64" s="6">
        <v>3</v>
      </c>
      <c r="E64" s="6">
        <v>3</v>
      </c>
      <c r="F64" s="6">
        <v>1</v>
      </c>
      <c r="G64" s="6">
        <v>2</v>
      </c>
      <c r="H64" s="6">
        <v>2</v>
      </c>
    </row>
    <row r="65" spans="1:8" x14ac:dyDescent="0.35">
      <c r="A65" s="4" t="s">
        <v>41</v>
      </c>
      <c r="B65" s="6">
        <v>3</v>
      </c>
      <c r="C65" s="6">
        <v>3</v>
      </c>
      <c r="D65" s="6">
        <v>1</v>
      </c>
      <c r="E65" s="6">
        <v>1</v>
      </c>
      <c r="F65" s="6">
        <v>1</v>
      </c>
      <c r="G65" s="6">
        <v>3</v>
      </c>
      <c r="H65" s="6"/>
    </row>
    <row r="66" spans="1:8" x14ac:dyDescent="0.35">
      <c r="A66" s="4" t="s">
        <v>12</v>
      </c>
      <c r="B66" s="6">
        <v>4</v>
      </c>
      <c r="C66" s="6">
        <v>6</v>
      </c>
      <c r="D66" s="6">
        <v>2</v>
      </c>
      <c r="E66" s="6">
        <v>1</v>
      </c>
      <c r="F66" s="6">
        <v>6</v>
      </c>
      <c r="G66" s="6"/>
      <c r="H66" s="6">
        <v>6</v>
      </c>
    </row>
    <row r="67" spans="1:8" x14ac:dyDescent="0.35">
      <c r="A67" s="4" t="s">
        <v>20</v>
      </c>
      <c r="B67" s="6">
        <v>4</v>
      </c>
      <c r="C67" s="6">
        <v>3</v>
      </c>
      <c r="D67" s="6">
        <v>3</v>
      </c>
      <c r="E67" s="6">
        <v>1</v>
      </c>
      <c r="F67" s="6">
        <v>2</v>
      </c>
      <c r="G67" s="6">
        <v>1</v>
      </c>
      <c r="H67" s="6">
        <v>5</v>
      </c>
    </row>
    <row r="68" spans="1:8" x14ac:dyDescent="0.35">
      <c r="A68" s="3">
        <v>16</v>
      </c>
      <c r="B68" s="6">
        <v>27</v>
      </c>
      <c r="C68" s="6">
        <v>19</v>
      </c>
      <c r="D68" s="6">
        <v>12</v>
      </c>
      <c r="E68" s="6">
        <v>12</v>
      </c>
      <c r="F68" s="6">
        <v>14</v>
      </c>
      <c r="G68" s="6">
        <v>13</v>
      </c>
      <c r="H68" s="6">
        <v>15</v>
      </c>
    </row>
    <row r="69" spans="1:8" x14ac:dyDescent="0.35">
      <c r="A69" s="4" t="s">
        <v>26</v>
      </c>
      <c r="B69" s="6">
        <v>6</v>
      </c>
      <c r="C69" s="6">
        <v>2</v>
      </c>
      <c r="D69" s="6">
        <v>4</v>
      </c>
      <c r="E69" s="6">
        <v>2</v>
      </c>
      <c r="F69" s="6">
        <v>3</v>
      </c>
      <c r="G69" s="6">
        <v>1</v>
      </c>
      <c r="H69" s="6">
        <v>1</v>
      </c>
    </row>
    <row r="70" spans="1:8" x14ac:dyDescent="0.35">
      <c r="A70" s="4" t="s">
        <v>43</v>
      </c>
      <c r="B70" s="6">
        <v>6</v>
      </c>
      <c r="C70" s="6">
        <v>2</v>
      </c>
      <c r="D70" s="6">
        <v>1</v>
      </c>
      <c r="E70" s="6">
        <v>3</v>
      </c>
      <c r="F70" s="6">
        <v>1</v>
      </c>
      <c r="G70" s="6">
        <v>1</v>
      </c>
      <c r="H70" s="6">
        <v>3</v>
      </c>
    </row>
    <row r="71" spans="1:8" x14ac:dyDescent="0.35">
      <c r="A71" s="4" t="s">
        <v>41</v>
      </c>
      <c r="B71" s="6">
        <v>5</v>
      </c>
      <c r="C71" s="6">
        <v>6</v>
      </c>
      <c r="D71" s="6">
        <v>3</v>
      </c>
      <c r="E71" s="6">
        <v>2</v>
      </c>
      <c r="F71" s="6">
        <v>3</v>
      </c>
      <c r="G71" s="6">
        <v>2</v>
      </c>
      <c r="H71" s="6">
        <v>4</v>
      </c>
    </row>
    <row r="72" spans="1:8" x14ac:dyDescent="0.35">
      <c r="A72" s="4" t="s">
        <v>12</v>
      </c>
      <c r="B72" s="6">
        <v>6</v>
      </c>
      <c r="C72" s="6">
        <v>5</v>
      </c>
      <c r="D72" s="6">
        <v>1</v>
      </c>
      <c r="E72" s="6">
        <v>3</v>
      </c>
      <c r="F72" s="6">
        <v>4</v>
      </c>
      <c r="G72" s="6">
        <v>5</v>
      </c>
      <c r="H72" s="6">
        <v>2</v>
      </c>
    </row>
    <row r="73" spans="1:8" x14ac:dyDescent="0.35">
      <c r="A73" s="4" t="s">
        <v>20</v>
      </c>
      <c r="B73" s="6">
        <v>4</v>
      </c>
      <c r="C73" s="6">
        <v>4</v>
      </c>
      <c r="D73" s="6">
        <v>3</v>
      </c>
      <c r="E73" s="6">
        <v>2</v>
      </c>
      <c r="F73" s="6">
        <v>3</v>
      </c>
      <c r="G73" s="6">
        <v>4</v>
      </c>
      <c r="H73" s="6">
        <v>5</v>
      </c>
    </row>
    <row r="74" spans="1:8" x14ac:dyDescent="0.35">
      <c r="A74" s="3">
        <v>17</v>
      </c>
      <c r="B74" s="6">
        <v>17</v>
      </c>
      <c r="C74" s="6">
        <v>18</v>
      </c>
      <c r="D74" s="6">
        <v>14</v>
      </c>
      <c r="E74" s="6">
        <v>12</v>
      </c>
      <c r="F74" s="6">
        <v>2</v>
      </c>
      <c r="G74" s="6">
        <v>16</v>
      </c>
      <c r="H74" s="6">
        <v>20</v>
      </c>
    </row>
    <row r="75" spans="1:8" x14ac:dyDescent="0.35">
      <c r="A75" s="4" t="s">
        <v>26</v>
      </c>
      <c r="B75" s="6">
        <v>5</v>
      </c>
      <c r="C75" s="6">
        <v>4</v>
      </c>
      <c r="D75" s="6">
        <v>6</v>
      </c>
      <c r="E75" s="6">
        <v>2</v>
      </c>
      <c r="F75" s="6">
        <v>1</v>
      </c>
      <c r="G75" s="6">
        <v>3</v>
      </c>
      <c r="H75" s="6">
        <v>6</v>
      </c>
    </row>
    <row r="76" spans="1:8" x14ac:dyDescent="0.35">
      <c r="A76" s="4" t="s">
        <v>43</v>
      </c>
      <c r="B76" s="6">
        <v>6</v>
      </c>
      <c r="C76" s="6">
        <v>5</v>
      </c>
      <c r="D76" s="6">
        <v>2</v>
      </c>
      <c r="E76" s="6">
        <v>6</v>
      </c>
      <c r="F76" s="6"/>
      <c r="G76" s="6">
        <v>1</v>
      </c>
      <c r="H76" s="6">
        <v>2</v>
      </c>
    </row>
    <row r="77" spans="1:8" x14ac:dyDescent="0.35">
      <c r="A77" s="4" t="s">
        <v>41</v>
      </c>
      <c r="B77" s="6">
        <v>1</v>
      </c>
      <c r="C77" s="6">
        <v>3</v>
      </c>
      <c r="D77" s="6">
        <v>1</v>
      </c>
      <c r="E77" s="6">
        <v>2</v>
      </c>
      <c r="F77" s="6">
        <v>1</v>
      </c>
      <c r="G77" s="6">
        <v>2</v>
      </c>
      <c r="H77" s="6">
        <v>5</v>
      </c>
    </row>
    <row r="78" spans="1:8" x14ac:dyDescent="0.35">
      <c r="A78" s="4" t="s">
        <v>12</v>
      </c>
      <c r="B78" s="6">
        <v>1</v>
      </c>
      <c r="C78" s="6">
        <v>3</v>
      </c>
      <c r="D78" s="6">
        <v>2</v>
      </c>
      <c r="E78" s="6"/>
      <c r="F78" s="6"/>
      <c r="G78" s="6">
        <v>7</v>
      </c>
      <c r="H78" s="6">
        <v>3</v>
      </c>
    </row>
    <row r="79" spans="1:8" x14ac:dyDescent="0.35">
      <c r="A79" s="4" t="s">
        <v>20</v>
      </c>
      <c r="B79" s="6">
        <v>4</v>
      </c>
      <c r="C79" s="6">
        <v>3</v>
      </c>
      <c r="D79" s="6">
        <v>3</v>
      </c>
      <c r="E79" s="6">
        <v>2</v>
      </c>
      <c r="F79" s="6"/>
      <c r="G79" s="6">
        <v>3</v>
      </c>
      <c r="H79" s="6">
        <v>4</v>
      </c>
    </row>
  </sheetData>
  <conditionalFormatting pivot="1" sqref="B5:H14">
    <cfRule type="colorScale" priority="2">
      <colorScale>
        <cfvo type="min"/>
        <cfvo type="percentile" val="50"/>
        <cfvo type="max"/>
        <color rgb="FF7D3CDC"/>
        <color rgb="FFFCFCFF"/>
        <color rgb="FF446FD9"/>
      </colorScale>
    </cfRule>
  </conditionalFormatting>
  <conditionalFormatting pivot="1" sqref="B20:H79">
    <cfRule type="colorScale" priority="1">
      <colorScale>
        <cfvo type="min"/>
        <cfvo type="percentile" val="50"/>
        <cfvo type="max"/>
        <color rgb="FF7D3CDC"/>
        <color rgb="FFFCFCFF"/>
        <color rgb="FF446FD9"/>
      </colorScale>
    </cfRule>
  </conditionalFormatting>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D9554-4A0D-4E25-B616-978EEE7E3BEA}">
  <dimension ref="A1:G11"/>
  <sheetViews>
    <sheetView workbookViewId="0">
      <selection activeCell="H5" sqref="H5"/>
    </sheetView>
  </sheetViews>
  <sheetFormatPr defaultRowHeight="14.5" x14ac:dyDescent="0.35"/>
  <cols>
    <col min="1" max="1" width="17" bestFit="1" customWidth="1"/>
    <col min="2" max="2" width="19.36328125" bestFit="1" customWidth="1"/>
    <col min="3" max="6" width="1.81640625" bestFit="1" customWidth="1"/>
    <col min="7" max="7" width="6.7265625" bestFit="1" customWidth="1"/>
    <col min="8" max="8" width="10.7265625" bestFit="1" customWidth="1"/>
  </cols>
  <sheetData>
    <row r="1" spans="1:7" x14ac:dyDescent="0.35">
      <c r="A1" s="2" t="s">
        <v>11</v>
      </c>
      <c r="B1" s="3">
        <v>5</v>
      </c>
    </row>
    <row r="3" spans="1:7" x14ac:dyDescent="0.35">
      <c r="A3" s="2" t="s">
        <v>50</v>
      </c>
      <c r="B3" t="s">
        <v>60</v>
      </c>
      <c r="G3" t="s">
        <v>62</v>
      </c>
    </row>
    <row r="4" spans="1:7" x14ac:dyDescent="0.35">
      <c r="A4" s="3" t="s">
        <v>44</v>
      </c>
      <c r="B4">
        <v>35</v>
      </c>
    </row>
    <row r="5" spans="1:7" x14ac:dyDescent="0.35">
      <c r="A5" s="3" t="s">
        <v>38</v>
      </c>
      <c r="B5">
        <v>23</v>
      </c>
    </row>
    <row r="6" spans="1:7" x14ac:dyDescent="0.35">
      <c r="A6" s="3" t="s">
        <v>21</v>
      </c>
      <c r="B6">
        <v>22</v>
      </c>
    </row>
    <row r="7" spans="1:7" x14ac:dyDescent="0.35">
      <c r="A7" s="3" t="s">
        <v>46</v>
      </c>
      <c r="B7">
        <v>34</v>
      </c>
    </row>
    <row r="8" spans="1:7" x14ac:dyDescent="0.35">
      <c r="A8" s="3" t="s">
        <v>34</v>
      </c>
      <c r="B8">
        <v>28</v>
      </c>
    </row>
    <row r="9" spans="1:7" x14ac:dyDescent="0.35">
      <c r="A9" s="3" t="s">
        <v>13</v>
      </c>
      <c r="B9">
        <v>30</v>
      </c>
    </row>
    <row r="10" spans="1:7" x14ac:dyDescent="0.35">
      <c r="A10" s="3" t="s">
        <v>27</v>
      </c>
      <c r="B10">
        <v>41</v>
      </c>
    </row>
    <row r="11" spans="1:7" x14ac:dyDescent="0.35">
      <c r="A11" s="3" t="s">
        <v>51</v>
      </c>
      <c r="B11">
        <v>213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07A89-3C6D-48C5-BD33-FAAF4BB73371}">
  <dimension ref="A3:B7"/>
  <sheetViews>
    <sheetView showGridLines="0" workbookViewId="0">
      <selection activeCell="B5" sqref="B5"/>
    </sheetView>
  </sheetViews>
  <sheetFormatPr defaultRowHeight="14.5" x14ac:dyDescent="0.35"/>
  <cols>
    <col min="1" max="1" width="15.81640625" bestFit="1" customWidth="1"/>
    <col min="2" max="2" width="8.90625" bestFit="1" customWidth="1"/>
  </cols>
  <sheetData>
    <row r="3" spans="1:2" x14ac:dyDescent="0.35">
      <c r="A3" s="2" t="s">
        <v>8</v>
      </c>
      <c r="B3" t="s">
        <v>61</v>
      </c>
    </row>
    <row r="4" spans="1:2" x14ac:dyDescent="0.35">
      <c r="A4" s="3" t="s">
        <v>40</v>
      </c>
      <c r="B4" s="10">
        <v>1559.0100000000009</v>
      </c>
    </row>
    <row r="5" spans="1:2" x14ac:dyDescent="0.35">
      <c r="A5" s="3" t="s">
        <v>32</v>
      </c>
      <c r="B5" s="10">
        <v>1614.6199999999994</v>
      </c>
    </row>
    <row r="6" spans="1:2" x14ac:dyDescent="0.35">
      <c r="A6" s="3" t="s">
        <v>18</v>
      </c>
      <c r="B6" s="10">
        <v>1807.9199999999994</v>
      </c>
    </row>
    <row r="7" spans="1:2" x14ac:dyDescent="0.35">
      <c r="A7" s="3" t="s">
        <v>51</v>
      </c>
      <c r="B7">
        <v>4981.5499999999993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6CEE0-C508-48F4-ACD4-FB65C9F175F0}">
  <dimension ref="A3:B7"/>
  <sheetViews>
    <sheetView showGridLines="0" workbookViewId="0">
      <selection activeCell="E19" sqref="E19"/>
    </sheetView>
  </sheetViews>
  <sheetFormatPr defaultRowHeight="14.5" x14ac:dyDescent="0.35"/>
  <cols>
    <col min="1" max="1" width="12.36328125" bestFit="1" customWidth="1"/>
    <col min="2" max="2" width="25.453125" bestFit="1" customWidth="1"/>
  </cols>
  <sheetData>
    <row r="3" spans="1:2" x14ac:dyDescent="0.35">
      <c r="A3" s="2" t="s">
        <v>50</v>
      </c>
      <c r="B3" t="s">
        <v>63</v>
      </c>
    </row>
    <row r="4" spans="1:2" x14ac:dyDescent="0.35">
      <c r="A4" s="3" t="s">
        <v>14</v>
      </c>
      <c r="B4" s="11">
        <v>0.35799999999999998</v>
      </c>
    </row>
    <row r="5" spans="1:2" x14ac:dyDescent="0.35">
      <c r="A5" s="3" t="s">
        <v>35</v>
      </c>
      <c r="B5" s="11">
        <v>0.317</v>
      </c>
    </row>
    <row r="6" spans="1:2" x14ac:dyDescent="0.35">
      <c r="A6" s="3" t="s">
        <v>22</v>
      </c>
      <c r="B6" s="11">
        <v>0.32500000000000001</v>
      </c>
    </row>
    <row r="7" spans="1:2" x14ac:dyDescent="0.35">
      <c r="A7" s="3" t="s">
        <v>51</v>
      </c>
      <c r="B7" s="11">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F5941-E1F4-4BE9-95AB-7C6C7B369BEF}">
  <dimension ref="A3:E9"/>
  <sheetViews>
    <sheetView workbookViewId="0">
      <selection activeCell="P12" sqref="P12"/>
    </sheetView>
  </sheetViews>
  <sheetFormatPr defaultRowHeight="14.5" x14ac:dyDescent="0.35"/>
  <cols>
    <col min="1" max="1" width="12.36328125" bestFit="1" customWidth="1"/>
    <col min="2" max="2" width="25.453125" bestFit="1" customWidth="1"/>
  </cols>
  <sheetData>
    <row r="3" spans="1:5" x14ac:dyDescent="0.35">
      <c r="A3" s="2" t="s">
        <v>50</v>
      </c>
      <c r="B3" t="s">
        <v>63</v>
      </c>
    </row>
    <row r="4" spans="1:5" x14ac:dyDescent="0.35">
      <c r="A4" s="3" t="s">
        <v>26</v>
      </c>
      <c r="B4">
        <v>210</v>
      </c>
      <c r="D4" t="s">
        <v>26</v>
      </c>
      <c r="E4">
        <v>210</v>
      </c>
    </row>
    <row r="5" spans="1:5" x14ac:dyDescent="0.35">
      <c r="A5" s="3" t="s">
        <v>43</v>
      </c>
      <c r="B5">
        <v>204</v>
      </c>
      <c r="D5" t="s">
        <v>43</v>
      </c>
      <c r="E5">
        <v>204</v>
      </c>
    </row>
    <row r="6" spans="1:5" x14ac:dyDescent="0.35">
      <c r="A6" s="3" t="s">
        <v>41</v>
      </c>
      <c r="B6">
        <v>180</v>
      </c>
      <c r="D6" t="s">
        <v>41</v>
      </c>
      <c r="E6">
        <v>180</v>
      </c>
    </row>
    <row r="7" spans="1:5" x14ac:dyDescent="0.35">
      <c r="A7" s="3" t="s">
        <v>12</v>
      </c>
      <c r="B7">
        <v>209</v>
      </c>
      <c r="D7" t="s">
        <v>12</v>
      </c>
      <c r="E7">
        <v>209</v>
      </c>
    </row>
    <row r="8" spans="1:5" x14ac:dyDescent="0.35">
      <c r="A8" s="3" t="s">
        <v>20</v>
      </c>
      <c r="B8">
        <v>197</v>
      </c>
      <c r="D8" t="s">
        <v>20</v>
      </c>
      <c r="E8">
        <v>197</v>
      </c>
    </row>
    <row r="9" spans="1:5" x14ac:dyDescent="0.35">
      <c r="A9" s="3" t="s">
        <v>51</v>
      </c>
      <c r="B9">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0D2CF-72E3-49A5-8F2F-B3E83632C7DB}">
  <dimension ref="A4:G15"/>
  <sheetViews>
    <sheetView workbookViewId="0">
      <selection activeCell="A11" sqref="A11"/>
    </sheetView>
  </sheetViews>
  <sheetFormatPr defaultRowHeight="14.5" x14ac:dyDescent="0.35"/>
  <cols>
    <col min="1" max="1" width="25.453125" bestFit="1" customWidth="1"/>
    <col min="2" max="2" width="21.08984375" customWidth="1"/>
    <col min="3" max="3" width="21.08984375" bestFit="1" customWidth="1"/>
    <col min="4" max="4" width="10.453125" bestFit="1" customWidth="1"/>
    <col min="5" max="5" width="17.08984375" bestFit="1" customWidth="1"/>
    <col min="6" max="6" width="8.1796875" bestFit="1" customWidth="1"/>
    <col min="7" max="7" width="9.453125" bestFit="1" customWidth="1"/>
    <col min="8" max="8" width="9" bestFit="1" customWidth="1"/>
    <col min="9" max="9" width="6.54296875" bestFit="1" customWidth="1"/>
    <col min="10" max="10" width="10.7265625" bestFit="1" customWidth="1"/>
  </cols>
  <sheetData>
    <row r="4" spans="1:7" x14ac:dyDescent="0.35">
      <c r="A4" t="s">
        <v>64</v>
      </c>
      <c r="D4" t="s">
        <v>65</v>
      </c>
      <c r="E4" s="12" t="s">
        <v>69</v>
      </c>
    </row>
    <row r="5" spans="1:7" x14ac:dyDescent="0.35">
      <c r="A5">
        <v>3.073</v>
      </c>
      <c r="C5" t="s">
        <v>66</v>
      </c>
      <c r="D5">
        <v>3.073</v>
      </c>
      <c r="E5">
        <f>D5*20</f>
        <v>61.46</v>
      </c>
      <c r="G5" t="str">
        <f>TEXT(D5,"0.00") &amp; " / 5"</f>
        <v>3.07 / 5</v>
      </c>
    </row>
    <row r="6" spans="1:7" x14ac:dyDescent="0.35">
      <c r="C6" t="s">
        <v>67</v>
      </c>
      <c r="D6">
        <v>1.93</v>
      </c>
      <c r="E6">
        <f>D6*20</f>
        <v>38.6</v>
      </c>
    </row>
    <row r="7" spans="1:7" x14ac:dyDescent="0.35">
      <c r="C7" t="s">
        <v>68</v>
      </c>
      <c r="E7">
        <v>100</v>
      </c>
    </row>
    <row r="10" spans="1:7" x14ac:dyDescent="0.35">
      <c r="A10" t="s">
        <v>70</v>
      </c>
    </row>
    <row r="11" spans="1:7" x14ac:dyDescent="0.35">
      <c r="A11" s="15">
        <v>4.9815500000000075</v>
      </c>
    </row>
    <row r="14" spans="1:7" x14ac:dyDescent="0.35">
      <c r="A14" t="s">
        <v>63</v>
      </c>
    </row>
    <row r="15" spans="1:7" x14ac:dyDescent="0.35">
      <c r="A15">
        <v>1000</v>
      </c>
    </row>
  </sheetData>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42DEB-837E-4A07-A393-F57A5F55C76A}">
  <dimension ref="A10:V50"/>
  <sheetViews>
    <sheetView showGridLines="0" zoomScale="55" zoomScaleNormal="55" workbookViewId="0">
      <selection activeCell="G39" sqref="G39"/>
    </sheetView>
  </sheetViews>
  <sheetFormatPr defaultRowHeight="14.5" x14ac:dyDescent="0.35"/>
  <sheetData>
    <row r="10" spans="1:8" x14ac:dyDescent="0.35">
      <c r="A10" s="13"/>
      <c r="B10" s="14" t="s">
        <v>52</v>
      </c>
      <c r="C10" s="14" t="s">
        <v>53</v>
      </c>
      <c r="D10" s="14" t="s">
        <v>54</v>
      </c>
      <c r="E10" s="14" t="s">
        <v>55</v>
      </c>
      <c r="F10" s="14" t="s">
        <v>56</v>
      </c>
      <c r="G10" s="14" t="s">
        <v>57</v>
      </c>
      <c r="H10" s="14" t="s">
        <v>58</v>
      </c>
    </row>
    <row r="11" spans="1:8" x14ac:dyDescent="0.35">
      <c r="A11" s="3">
        <v>8</v>
      </c>
      <c r="B11" s="6">
        <v>16</v>
      </c>
      <c r="C11" s="6">
        <v>19</v>
      </c>
      <c r="D11" s="6">
        <v>13</v>
      </c>
      <c r="E11" s="6">
        <v>10</v>
      </c>
      <c r="F11" s="6">
        <v>4</v>
      </c>
      <c r="G11" s="6">
        <v>14</v>
      </c>
      <c r="H11" s="6">
        <v>13</v>
      </c>
    </row>
    <row r="12" spans="1:8" x14ac:dyDescent="0.35">
      <c r="A12" s="3">
        <v>9</v>
      </c>
      <c r="B12" s="6">
        <v>16</v>
      </c>
      <c r="C12" s="6">
        <v>25</v>
      </c>
      <c r="D12" s="6">
        <v>18</v>
      </c>
      <c r="E12" s="6">
        <v>15</v>
      </c>
      <c r="F12" s="6">
        <v>18</v>
      </c>
      <c r="G12" s="6">
        <v>14</v>
      </c>
      <c r="H12" s="6">
        <v>8</v>
      </c>
    </row>
    <row r="13" spans="1:8" x14ac:dyDescent="0.35">
      <c r="A13" s="3">
        <v>10</v>
      </c>
      <c r="B13" s="6">
        <v>19</v>
      </c>
      <c r="C13" s="6">
        <v>26</v>
      </c>
      <c r="D13" s="6">
        <v>15</v>
      </c>
      <c r="E13" s="6">
        <v>17</v>
      </c>
      <c r="F13" s="6">
        <v>8</v>
      </c>
      <c r="G13" s="6">
        <v>14</v>
      </c>
      <c r="H13" s="6">
        <v>17</v>
      </c>
    </row>
    <row r="14" spans="1:8" x14ac:dyDescent="0.35">
      <c r="A14" s="3">
        <v>11</v>
      </c>
      <c r="B14" s="6">
        <v>16</v>
      </c>
      <c r="C14" s="6">
        <v>15</v>
      </c>
      <c r="D14" s="6">
        <v>11</v>
      </c>
      <c r="E14" s="6">
        <v>8</v>
      </c>
      <c r="F14" s="6">
        <v>19</v>
      </c>
      <c r="G14" s="6">
        <v>19</v>
      </c>
      <c r="H14" s="6">
        <v>6</v>
      </c>
    </row>
    <row r="15" spans="1:8" x14ac:dyDescent="0.35">
      <c r="A15" s="3">
        <v>12</v>
      </c>
      <c r="B15" s="6">
        <v>11</v>
      </c>
      <c r="C15" s="6">
        <v>18</v>
      </c>
      <c r="D15" s="6">
        <v>12</v>
      </c>
      <c r="E15" s="6">
        <v>11</v>
      </c>
      <c r="F15" s="6">
        <v>10</v>
      </c>
      <c r="G15" s="6">
        <v>18</v>
      </c>
      <c r="H15" s="6">
        <v>11</v>
      </c>
    </row>
    <row r="16" spans="1:8" x14ac:dyDescent="0.35">
      <c r="A16" s="3">
        <v>13</v>
      </c>
      <c r="B16" s="6">
        <v>15</v>
      </c>
      <c r="C16" s="6">
        <v>27</v>
      </c>
      <c r="D16" s="6">
        <v>16</v>
      </c>
      <c r="E16" s="6">
        <v>8</v>
      </c>
      <c r="F16" s="6">
        <v>6</v>
      </c>
      <c r="G16" s="6">
        <v>11</v>
      </c>
      <c r="H16" s="6">
        <v>13</v>
      </c>
    </row>
    <row r="17" spans="1:8" x14ac:dyDescent="0.35">
      <c r="A17" s="3">
        <v>14</v>
      </c>
      <c r="B17" s="6">
        <v>17</v>
      </c>
      <c r="C17" s="6">
        <v>20</v>
      </c>
      <c r="D17" s="6">
        <v>16</v>
      </c>
      <c r="E17" s="6">
        <v>11</v>
      </c>
      <c r="F17" s="6">
        <v>12</v>
      </c>
      <c r="G17" s="6">
        <v>8</v>
      </c>
      <c r="H17" s="6">
        <v>12</v>
      </c>
    </row>
    <row r="18" spans="1:8" x14ac:dyDescent="0.35">
      <c r="A18" s="3">
        <v>15</v>
      </c>
      <c r="B18" s="6">
        <v>18</v>
      </c>
      <c r="C18" s="6">
        <v>22</v>
      </c>
      <c r="D18" s="6">
        <v>11</v>
      </c>
      <c r="E18" s="6">
        <v>8</v>
      </c>
      <c r="F18" s="6">
        <v>11</v>
      </c>
      <c r="G18" s="6">
        <v>7</v>
      </c>
      <c r="H18" s="6">
        <v>16</v>
      </c>
    </row>
    <row r="19" spans="1:8" x14ac:dyDescent="0.35">
      <c r="A19" s="3">
        <v>16</v>
      </c>
      <c r="B19" s="6">
        <v>27</v>
      </c>
      <c r="C19" s="6">
        <v>19</v>
      </c>
      <c r="D19" s="6">
        <v>12</v>
      </c>
      <c r="E19" s="6">
        <v>12</v>
      </c>
      <c r="F19" s="6">
        <v>14</v>
      </c>
      <c r="G19" s="6">
        <v>13</v>
      </c>
      <c r="H19" s="6">
        <v>15</v>
      </c>
    </row>
    <row r="20" spans="1:8" x14ac:dyDescent="0.35">
      <c r="A20" s="3">
        <v>17</v>
      </c>
      <c r="B20" s="6">
        <v>17</v>
      </c>
      <c r="C20" s="6">
        <v>18</v>
      </c>
      <c r="D20" s="6">
        <v>14</v>
      </c>
      <c r="E20" s="6">
        <v>12</v>
      </c>
      <c r="F20" s="6">
        <v>2</v>
      </c>
      <c r="G20" s="6">
        <v>16</v>
      </c>
      <c r="H20" s="6">
        <v>20</v>
      </c>
    </row>
    <row r="50" spans="22:22" x14ac:dyDescent="0.35">
      <c r="V50" s="12"/>
    </row>
  </sheetData>
  <conditionalFormatting sqref="B11:H20">
    <cfRule type="colorScale" priority="1">
      <colorScale>
        <cfvo type="min"/>
        <cfvo type="percentile" val="50"/>
        <cfvo type="max"/>
        <color rgb="FF7D3CDC"/>
        <color rgb="FFFCFCFF"/>
        <color rgb="FF446FD9"/>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5026A0-BC28-4BC4-A212-517CE17763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 In class</vt:lpstr>
      <vt:lpstr>Coffee_Sales_Dataset</vt:lpstr>
      <vt:lpstr>Pivot_Busyhours</vt:lpstr>
      <vt:lpstr>Pivot_5star_rating</vt:lpstr>
      <vt:lpstr>Pivot_Customertype vs Sales</vt:lpstr>
      <vt:lpstr>Pivot_Sales Channels</vt:lpstr>
      <vt:lpstr>Pivot_Map</vt:lpstr>
      <vt:lpstr>Pivot_Rating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Siddhant Singh</dc:creator>
  <cp:lastModifiedBy>Siddhant Singh</cp:lastModifiedBy>
  <dcterms:created xsi:type="dcterms:W3CDTF">2015-06-05T18:17:20Z</dcterms:created>
  <dcterms:modified xsi:type="dcterms:W3CDTF">2025-06-11T17:51:49Z</dcterms:modified>
</cp:coreProperties>
</file>